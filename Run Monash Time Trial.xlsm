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6D7BE3D0-9255-6837-6703-DDC3ED590948}"/>
  <workbookPr codeName="ThisWorkbook"/>
  <bookViews>
    <workbookView xWindow="0" yWindow="0" windowWidth="28800" windowHeight="12210"/>
  </bookViews>
  <sheets>
    <sheet name="Names" sheetId="2" r:id="rId1"/>
    <sheet name="Template" sheetId="1" r:id="rId2"/>
    <sheet name="Template2" sheetId="22" r:id="rId3"/>
    <sheet name="formulas" sheetId="21" r:id="rId4"/>
    <sheet name="Chart" sheetId="24" r:id="rId5"/>
    <sheet name="Attendance" sheetId="27" r:id="rId6"/>
  </sheets>
  <definedNames>
    <definedName name="_xlnm._FilterDatabase" localSheetId="0" hidden="1">Names!$A$9:$AQ$777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150" i="2"/>
  <c r="AT174"/>
  <c r="AT238"/>
  <c r="AT246"/>
  <c r="AT275"/>
  <c r="AT318"/>
  <c r="AT327"/>
  <c r="AT374"/>
  <c r="AT426"/>
  <c r="AT482"/>
  <c r="AT487"/>
  <c r="AT495"/>
  <c r="AT511"/>
  <c r="AT518"/>
  <c r="AT683"/>
  <c r="AT690"/>
  <c r="AT755"/>
  <c r="AT762"/>
  <c r="AT36"/>
  <c r="AT92"/>
  <c r="AT98"/>
  <c r="AT99"/>
  <c r="AT127"/>
  <c r="AR781"/>
  <c r="AR780"/>
  <c r="AR779"/>
  <c r="AQ65"/>
  <c r="AT65" s="1"/>
  <c r="AQ66"/>
  <c r="AT66" s="1"/>
  <c r="AQ92"/>
  <c r="AQ99"/>
  <c r="AQ127"/>
  <c r="AQ133"/>
  <c r="AT133" s="1"/>
  <c r="AQ143"/>
  <c r="AT143" s="1"/>
  <c r="AQ144"/>
  <c r="AT144" s="1"/>
  <c r="AQ150"/>
  <c r="AQ163"/>
  <c r="AT163" s="1"/>
  <c r="AQ172"/>
  <c r="AT172" s="1"/>
  <c r="AQ174"/>
  <c r="AQ208"/>
  <c r="AT208" s="1"/>
  <c r="AQ211"/>
  <c r="AT211" s="1"/>
  <c r="AQ233"/>
  <c r="AT233" s="1"/>
  <c r="AQ236"/>
  <c r="AT236" s="1"/>
  <c r="AQ238"/>
  <c r="AQ239"/>
  <c r="AT239" s="1"/>
  <c r="AQ245"/>
  <c r="AT245" s="1"/>
  <c r="AQ246"/>
  <c r="AQ253"/>
  <c r="AT253" s="1"/>
  <c r="AQ264"/>
  <c r="AT264" s="1"/>
  <c r="AQ266"/>
  <c r="AT266" s="1"/>
  <c r="AQ273"/>
  <c r="AT273" s="1"/>
  <c r="AQ277"/>
  <c r="AT277" s="1"/>
  <c r="AQ290"/>
  <c r="AT290" s="1"/>
  <c r="AQ293"/>
  <c r="AT293" s="1"/>
  <c r="AQ317"/>
  <c r="AT317" s="1"/>
  <c r="AQ327"/>
  <c r="AQ333"/>
  <c r="AT333" s="1"/>
  <c r="AQ358"/>
  <c r="AT358" s="1"/>
  <c r="AQ372"/>
  <c r="AT372" s="1"/>
  <c r="AQ374"/>
  <c r="AQ379"/>
  <c r="AT379" s="1"/>
  <c r="AQ416"/>
  <c r="AT416" s="1"/>
  <c r="AQ426"/>
  <c r="AQ432"/>
  <c r="AT432" s="1"/>
  <c r="AQ459"/>
  <c r="AT459" s="1"/>
  <c r="AQ466"/>
  <c r="AT466" s="1"/>
  <c r="AQ482"/>
  <c r="AQ487"/>
  <c r="AQ493"/>
  <c r="AT493" s="1"/>
  <c r="AQ498"/>
  <c r="AT498" s="1"/>
  <c r="AQ511"/>
  <c r="AQ518"/>
  <c r="AQ521"/>
  <c r="AT521" s="1"/>
  <c r="AQ525"/>
  <c r="AT525" s="1"/>
  <c r="AQ544"/>
  <c r="AT544" s="1"/>
  <c r="AQ569"/>
  <c r="AT569" s="1"/>
  <c r="AQ625"/>
  <c r="AT625" s="1"/>
  <c r="AQ641"/>
  <c r="AT641" s="1"/>
  <c r="AQ657"/>
  <c r="AT657" s="1"/>
  <c r="AQ690"/>
  <c r="AQ706"/>
  <c r="AT706" s="1"/>
  <c r="AQ709"/>
  <c r="AT709" s="1"/>
  <c r="AQ716"/>
  <c r="AT716" s="1"/>
  <c r="AQ721"/>
  <c r="AT721" s="1"/>
  <c r="AQ754"/>
  <c r="AT754" s="1"/>
  <c r="AQ755"/>
  <c r="AQ762"/>
  <c r="AQ768"/>
  <c r="AT768" s="1"/>
  <c r="AQ35"/>
  <c r="AT35" s="1"/>
  <c r="AQ36"/>
  <c r="AQ41"/>
  <c r="AT41" s="1"/>
  <c r="AQ46"/>
  <c r="AT46" s="1"/>
  <c r="AQ50"/>
  <c r="AT50" s="1"/>
  <c r="AP781"/>
  <c r="AP780"/>
  <c r="AP779"/>
  <c r="AO83"/>
  <c r="AQ83" s="1"/>
  <c r="AT83" s="1"/>
  <c r="AO94"/>
  <c r="AQ94" s="1"/>
  <c r="AT94" s="1"/>
  <c r="AO105"/>
  <c r="AQ105" s="1"/>
  <c r="AT105" s="1"/>
  <c r="AO110"/>
  <c r="AQ110" s="1"/>
  <c r="AT110" s="1"/>
  <c r="AO126"/>
  <c r="AQ126" s="1"/>
  <c r="AT126" s="1"/>
  <c r="AO265"/>
  <c r="AQ265" s="1"/>
  <c r="AT265" s="1"/>
  <c r="AO275"/>
  <c r="AQ275" s="1"/>
  <c r="AO318"/>
  <c r="AQ318" s="1"/>
  <c r="AO442"/>
  <c r="AQ442" s="1"/>
  <c r="AT442" s="1"/>
  <c r="AO443"/>
  <c r="AQ443" s="1"/>
  <c r="AT443" s="1"/>
  <c r="AO489"/>
  <c r="AQ489" s="1"/>
  <c r="AT489" s="1"/>
  <c r="AO495"/>
  <c r="AQ495" s="1"/>
  <c r="AO500"/>
  <c r="AQ500" s="1"/>
  <c r="AT500" s="1"/>
  <c r="AO560"/>
  <c r="AQ560" s="1"/>
  <c r="AT560" s="1"/>
  <c r="AO565"/>
  <c r="AQ565" s="1"/>
  <c r="AT565" s="1"/>
  <c r="AO613"/>
  <c r="AQ613" s="1"/>
  <c r="AT613" s="1"/>
  <c r="AO640"/>
  <c r="AQ640" s="1"/>
  <c r="AT640" s="1"/>
  <c r="AO683"/>
  <c r="AQ683" s="1"/>
  <c r="AO776"/>
  <c r="AQ776" s="1"/>
  <c r="AT776" s="1"/>
  <c r="AM781" l="1"/>
  <c r="AM780"/>
  <c r="AM779"/>
  <c r="A779"/>
  <c r="AL43"/>
  <c r="AO43" s="1"/>
  <c r="AQ43" s="1"/>
  <c r="AT43" s="1"/>
  <c r="AL57"/>
  <c r="AO57" s="1"/>
  <c r="AQ57" s="1"/>
  <c r="AT57" s="1"/>
  <c r="AL69"/>
  <c r="AO69" s="1"/>
  <c r="AQ69" s="1"/>
  <c r="AT69" s="1"/>
  <c r="AL142"/>
  <c r="AO142" s="1"/>
  <c r="AQ142" s="1"/>
  <c r="AT142" s="1"/>
  <c r="AL154"/>
  <c r="AO154" s="1"/>
  <c r="AQ154" s="1"/>
  <c r="AT154" s="1"/>
  <c r="AL210"/>
  <c r="AO210" s="1"/>
  <c r="AQ210" s="1"/>
  <c r="AT210" s="1"/>
  <c r="AL223"/>
  <c r="AO223" s="1"/>
  <c r="AQ223" s="1"/>
  <c r="AT223" s="1"/>
  <c r="AL242"/>
  <c r="AO242" s="1"/>
  <c r="AQ242" s="1"/>
  <c r="AT242" s="1"/>
  <c r="AL254"/>
  <c r="AO254" s="1"/>
  <c r="AQ254" s="1"/>
  <c r="AT254" s="1"/>
  <c r="AL287"/>
  <c r="AO287" s="1"/>
  <c r="AQ287" s="1"/>
  <c r="AT287" s="1"/>
  <c r="AL298"/>
  <c r="AO298" s="1"/>
  <c r="AQ298" s="1"/>
  <c r="AT298" s="1"/>
  <c r="AL309"/>
  <c r="AO309" s="1"/>
  <c r="AQ309" s="1"/>
  <c r="AT309" s="1"/>
  <c r="AL321"/>
  <c r="AO321" s="1"/>
  <c r="AQ321" s="1"/>
  <c r="AT321" s="1"/>
  <c r="AL367"/>
  <c r="AO367" s="1"/>
  <c r="AQ367" s="1"/>
  <c r="AT367" s="1"/>
  <c r="AL368"/>
  <c r="AO368" s="1"/>
  <c r="AQ368" s="1"/>
  <c r="AT368" s="1"/>
  <c r="AL378"/>
  <c r="AO378" s="1"/>
  <c r="AQ378" s="1"/>
  <c r="AT378" s="1"/>
  <c r="AL391"/>
  <c r="AO391" s="1"/>
  <c r="AQ391" s="1"/>
  <c r="AT391" s="1"/>
  <c r="AL325"/>
  <c r="AO325" s="1"/>
  <c r="AQ325" s="1"/>
  <c r="AT325" s="1"/>
  <c r="AL497"/>
  <c r="AO497" s="1"/>
  <c r="AQ497" s="1"/>
  <c r="AT497" s="1"/>
  <c r="AL743"/>
  <c r="AO743" s="1"/>
  <c r="AQ743" s="1"/>
  <c r="AT743" s="1"/>
  <c r="AL422"/>
  <c r="AO422" s="1"/>
  <c r="AQ422" s="1"/>
  <c r="AT422" s="1"/>
  <c r="AL732"/>
  <c r="AO732" s="1"/>
  <c r="AQ732" s="1"/>
  <c r="AT732" s="1"/>
  <c r="AL745"/>
  <c r="AO745" s="1"/>
  <c r="AQ745" s="1"/>
  <c r="AT745" s="1"/>
  <c r="AL435"/>
  <c r="AO435" s="1"/>
  <c r="AQ435" s="1"/>
  <c r="AT435" s="1"/>
  <c r="AL437"/>
  <c r="AO437" s="1"/>
  <c r="AQ437" s="1"/>
  <c r="AT437" s="1"/>
  <c r="AL455"/>
  <c r="AO455" s="1"/>
  <c r="AQ455" s="1"/>
  <c r="AT455" s="1"/>
  <c r="AL473"/>
  <c r="AO473" s="1"/>
  <c r="AQ473" s="1"/>
  <c r="AT473" s="1"/>
  <c r="AL496"/>
  <c r="AO496" s="1"/>
  <c r="AQ496" s="1"/>
  <c r="AT496" s="1"/>
  <c r="AL680"/>
  <c r="AO680" s="1"/>
  <c r="AQ680" s="1"/>
  <c r="AT680" s="1"/>
  <c r="AL708"/>
  <c r="AO708" s="1"/>
  <c r="AQ708" s="1"/>
  <c r="AT708" s="1"/>
  <c r="AL729"/>
  <c r="AO729" s="1"/>
  <c r="AQ729" s="1"/>
  <c r="AT729" s="1"/>
  <c r="AL736"/>
  <c r="AO736" s="1"/>
  <c r="AQ736" s="1"/>
  <c r="AT736" s="1"/>
  <c r="AL756"/>
  <c r="AO756" s="1"/>
  <c r="AQ756" s="1"/>
  <c r="AT756" s="1"/>
  <c r="AL757"/>
  <c r="AO757" s="1"/>
  <c r="AQ757" s="1"/>
  <c r="AT757" s="1"/>
  <c r="AL24"/>
  <c r="AO24" s="1"/>
  <c r="AQ24" s="1"/>
  <c r="AT24" s="1"/>
  <c r="AJ781"/>
  <c r="AJ780"/>
  <c r="AJ779"/>
  <c r="AI342"/>
  <c r="AL342" s="1"/>
  <c r="AO342" s="1"/>
  <c r="AQ342" s="1"/>
  <c r="AT342" s="1"/>
  <c r="AI67"/>
  <c r="AL67" s="1"/>
  <c r="AO67" s="1"/>
  <c r="AQ67" s="1"/>
  <c r="AT67" s="1"/>
  <c r="AG781"/>
  <c r="AG780"/>
  <c r="AG779"/>
  <c r="AF39"/>
  <c r="AI39" s="1"/>
  <c r="AL39" s="1"/>
  <c r="AO39" s="1"/>
  <c r="AQ39" s="1"/>
  <c r="AT39" s="1"/>
  <c r="AF63"/>
  <c r="AI63" s="1"/>
  <c r="AL63" s="1"/>
  <c r="AO63" s="1"/>
  <c r="AQ63" s="1"/>
  <c r="AT63" s="1"/>
  <c r="AF72"/>
  <c r="AI72" s="1"/>
  <c r="AL72" s="1"/>
  <c r="AO72" s="1"/>
  <c r="AQ72" s="1"/>
  <c r="AT72" s="1"/>
  <c r="AF78"/>
  <c r="AI78" s="1"/>
  <c r="AL78" s="1"/>
  <c r="AO78" s="1"/>
  <c r="AQ78" s="1"/>
  <c r="AT78" s="1"/>
  <c r="AF101"/>
  <c r="AI101" s="1"/>
  <c r="AL101" s="1"/>
  <c r="AO101" s="1"/>
  <c r="AQ101" s="1"/>
  <c r="AT101" s="1"/>
  <c r="AF131"/>
  <c r="AI131" s="1"/>
  <c r="AL131" s="1"/>
  <c r="AO131" s="1"/>
  <c r="AQ131" s="1"/>
  <c r="AT131" s="1"/>
  <c r="AF157"/>
  <c r="AI157" s="1"/>
  <c r="AL157" s="1"/>
  <c r="AO157" s="1"/>
  <c r="AQ157" s="1"/>
  <c r="AT157" s="1"/>
  <c r="AF169"/>
  <c r="AI169" s="1"/>
  <c r="AL169" s="1"/>
  <c r="AO169" s="1"/>
  <c r="AQ169" s="1"/>
  <c r="AT169" s="1"/>
  <c r="AF194"/>
  <c r="AI194" s="1"/>
  <c r="AL194" s="1"/>
  <c r="AO194" s="1"/>
  <c r="AQ194" s="1"/>
  <c r="AT194" s="1"/>
  <c r="AF226"/>
  <c r="AI226" s="1"/>
  <c r="AL226" s="1"/>
  <c r="AO226" s="1"/>
  <c r="AQ226" s="1"/>
  <c r="AT226" s="1"/>
  <c r="AF229"/>
  <c r="AI229" s="1"/>
  <c r="AL229" s="1"/>
  <c r="AO229" s="1"/>
  <c r="AQ229" s="1"/>
  <c r="AT229" s="1"/>
  <c r="AF259"/>
  <c r="AI259" s="1"/>
  <c r="AL259" s="1"/>
  <c r="AO259" s="1"/>
  <c r="AQ259" s="1"/>
  <c r="AT259" s="1"/>
  <c r="AF260"/>
  <c r="AI260" s="1"/>
  <c r="AL260" s="1"/>
  <c r="AO260" s="1"/>
  <c r="AQ260" s="1"/>
  <c r="AT260" s="1"/>
  <c r="AF303"/>
  <c r="AI303" s="1"/>
  <c r="AL303" s="1"/>
  <c r="AO303" s="1"/>
  <c r="AQ303" s="1"/>
  <c r="AT303" s="1"/>
  <c r="AF324"/>
  <c r="AI324" s="1"/>
  <c r="AL324" s="1"/>
  <c r="AO324" s="1"/>
  <c r="AQ324" s="1"/>
  <c r="AT324" s="1"/>
  <c r="AF328"/>
  <c r="AI328" s="1"/>
  <c r="AL328" s="1"/>
  <c r="AO328" s="1"/>
  <c r="AQ328" s="1"/>
  <c r="AT328" s="1"/>
  <c r="AF343"/>
  <c r="AI343" s="1"/>
  <c r="AL343" s="1"/>
  <c r="AO343" s="1"/>
  <c r="AQ343" s="1"/>
  <c r="AT343" s="1"/>
  <c r="AF357"/>
  <c r="AI357" s="1"/>
  <c r="AL357" s="1"/>
  <c r="AO357" s="1"/>
  <c r="AQ357" s="1"/>
  <c r="AT357" s="1"/>
  <c r="AF371"/>
  <c r="AI371" s="1"/>
  <c r="AL371" s="1"/>
  <c r="AO371" s="1"/>
  <c r="AQ371" s="1"/>
  <c r="AT371" s="1"/>
  <c r="AF380"/>
  <c r="AI380" s="1"/>
  <c r="AL380" s="1"/>
  <c r="AO380" s="1"/>
  <c r="AQ380" s="1"/>
  <c r="AT380" s="1"/>
  <c r="AF469"/>
  <c r="AI469" s="1"/>
  <c r="AL469" s="1"/>
  <c r="AO469" s="1"/>
  <c r="AQ469" s="1"/>
  <c r="AT469" s="1"/>
  <c r="AF471"/>
  <c r="AI471" s="1"/>
  <c r="AL471" s="1"/>
  <c r="AO471" s="1"/>
  <c r="AQ471" s="1"/>
  <c r="AT471" s="1"/>
  <c r="AF548"/>
  <c r="AI548" s="1"/>
  <c r="AL548" s="1"/>
  <c r="AO548" s="1"/>
  <c r="AQ548" s="1"/>
  <c r="AT548" s="1"/>
  <c r="AF620"/>
  <c r="AI620" s="1"/>
  <c r="AL620" s="1"/>
  <c r="AO620" s="1"/>
  <c r="AQ620" s="1"/>
  <c r="AT620" s="1"/>
  <c r="AF647"/>
  <c r="AI647" s="1"/>
  <c r="AL647" s="1"/>
  <c r="AO647" s="1"/>
  <c r="AQ647" s="1"/>
  <c r="AT647" s="1"/>
  <c r="AF658"/>
  <c r="AI658" s="1"/>
  <c r="AL658" s="1"/>
  <c r="AO658" s="1"/>
  <c r="AQ658" s="1"/>
  <c r="AT658" s="1"/>
  <c r="AF669"/>
  <c r="AI669" s="1"/>
  <c r="AL669" s="1"/>
  <c r="AO669" s="1"/>
  <c r="AQ669" s="1"/>
  <c r="AT669" s="1"/>
  <c r="AF689"/>
  <c r="AI689" s="1"/>
  <c r="AL689" s="1"/>
  <c r="AO689" s="1"/>
  <c r="AQ689" s="1"/>
  <c r="AT689" s="1"/>
  <c r="AF698"/>
  <c r="AI698" s="1"/>
  <c r="AL698" s="1"/>
  <c r="AO698" s="1"/>
  <c r="AQ698" s="1"/>
  <c r="AT698" s="1"/>
  <c r="AF726"/>
  <c r="AI726" s="1"/>
  <c r="AL726" s="1"/>
  <c r="AO726" s="1"/>
  <c r="AQ726" s="1"/>
  <c r="AT726" s="1"/>
  <c r="AF728"/>
  <c r="AI728" s="1"/>
  <c r="AL728" s="1"/>
  <c r="AO728" s="1"/>
  <c r="AQ728" s="1"/>
  <c r="AT728" s="1"/>
  <c r="AF773"/>
  <c r="AI773" s="1"/>
  <c r="AL773" s="1"/>
  <c r="AO773" s="1"/>
  <c r="AQ773" s="1"/>
  <c r="AT773" s="1"/>
  <c r="AF774"/>
  <c r="AI774" s="1"/>
  <c r="AL774" s="1"/>
  <c r="AO774" s="1"/>
  <c r="AQ774" s="1"/>
  <c r="AT774" s="1"/>
  <c r="AF14"/>
  <c r="AI14" s="1"/>
  <c r="AL14" s="1"/>
  <c r="AO14" s="1"/>
  <c r="AQ14" s="1"/>
  <c r="AT14" s="1"/>
  <c r="AF26"/>
  <c r="AI26" s="1"/>
  <c r="AL26" s="1"/>
  <c r="AO26" s="1"/>
  <c r="AQ26" s="1"/>
  <c r="AT26" s="1"/>
  <c r="AF27"/>
  <c r="AI27" s="1"/>
  <c r="AL27" s="1"/>
  <c r="AO27" s="1"/>
  <c r="AQ27" s="1"/>
  <c r="AT27" s="1"/>
  <c r="AD781"/>
  <c r="AD780"/>
  <c r="AD779"/>
  <c r="AC140"/>
  <c r="AF140" s="1"/>
  <c r="AI140" s="1"/>
  <c r="AL140" s="1"/>
  <c r="AO140" s="1"/>
  <c r="AQ140" s="1"/>
  <c r="AT140" s="1"/>
  <c r="AC166"/>
  <c r="AF166" s="1"/>
  <c r="AI166" s="1"/>
  <c r="AL166" s="1"/>
  <c r="AO166" s="1"/>
  <c r="AQ166" s="1"/>
  <c r="AT166" s="1"/>
  <c r="AC234"/>
  <c r="AF234" s="1"/>
  <c r="AI234" s="1"/>
  <c r="AL234" s="1"/>
  <c r="AO234" s="1"/>
  <c r="AQ234" s="1"/>
  <c r="AT234" s="1"/>
  <c r="AC288"/>
  <c r="AF288" s="1"/>
  <c r="AI288" s="1"/>
  <c r="AL288" s="1"/>
  <c r="AO288" s="1"/>
  <c r="AQ288" s="1"/>
  <c r="AT288" s="1"/>
  <c r="AC295"/>
  <c r="AF295" s="1"/>
  <c r="AI295" s="1"/>
  <c r="AL295" s="1"/>
  <c r="AO295" s="1"/>
  <c r="AQ295" s="1"/>
  <c r="AT295" s="1"/>
  <c r="AC301"/>
  <c r="AF301" s="1"/>
  <c r="AI301" s="1"/>
  <c r="AL301" s="1"/>
  <c r="AO301" s="1"/>
  <c r="AQ301" s="1"/>
  <c r="AT301" s="1"/>
  <c r="AC356"/>
  <c r="AF356" s="1"/>
  <c r="AI356" s="1"/>
  <c r="AL356" s="1"/>
  <c r="AO356" s="1"/>
  <c r="AQ356" s="1"/>
  <c r="AT356" s="1"/>
  <c r="AC388"/>
  <c r="AF388" s="1"/>
  <c r="AI388" s="1"/>
  <c r="AL388" s="1"/>
  <c r="AO388" s="1"/>
  <c r="AQ388" s="1"/>
  <c r="AT388" s="1"/>
  <c r="AC404"/>
  <c r="AF404" s="1"/>
  <c r="AI404" s="1"/>
  <c r="AL404" s="1"/>
  <c r="AO404" s="1"/>
  <c r="AQ404" s="1"/>
  <c r="AT404" s="1"/>
  <c r="AC414"/>
  <c r="AF414" s="1"/>
  <c r="AI414" s="1"/>
  <c r="AL414" s="1"/>
  <c r="AO414" s="1"/>
  <c r="AQ414" s="1"/>
  <c r="AT414" s="1"/>
  <c r="AC446"/>
  <c r="AF446" s="1"/>
  <c r="AI446" s="1"/>
  <c r="AL446" s="1"/>
  <c r="AO446" s="1"/>
  <c r="AQ446" s="1"/>
  <c r="AT446" s="1"/>
  <c r="AC449"/>
  <c r="AF449" s="1"/>
  <c r="AI449" s="1"/>
  <c r="AL449" s="1"/>
  <c r="AO449" s="1"/>
  <c r="AQ449" s="1"/>
  <c r="AT449" s="1"/>
  <c r="AC458"/>
  <c r="AF458" s="1"/>
  <c r="AI458" s="1"/>
  <c r="AL458" s="1"/>
  <c r="AO458" s="1"/>
  <c r="AQ458" s="1"/>
  <c r="AT458" s="1"/>
  <c r="AC504"/>
  <c r="AF504" s="1"/>
  <c r="AI504" s="1"/>
  <c r="AL504" s="1"/>
  <c r="AO504" s="1"/>
  <c r="AQ504" s="1"/>
  <c r="AT504" s="1"/>
  <c r="AC510"/>
  <c r="AF510" s="1"/>
  <c r="AI510" s="1"/>
  <c r="AL510" s="1"/>
  <c r="AO510" s="1"/>
  <c r="AQ510" s="1"/>
  <c r="AT510" s="1"/>
  <c r="AC568"/>
  <c r="AF568" s="1"/>
  <c r="AI568" s="1"/>
  <c r="AL568" s="1"/>
  <c r="AO568" s="1"/>
  <c r="AQ568" s="1"/>
  <c r="AT568" s="1"/>
  <c r="AC551"/>
  <c r="AF551" s="1"/>
  <c r="AI551" s="1"/>
  <c r="AL551" s="1"/>
  <c r="AO551" s="1"/>
  <c r="AQ551" s="1"/>
  <c r="AT551" s="1"/>
  <c r="AC615"/>
  <c r="AF615" s="1"/>
  <c r="AI615" s="1"/>
  <c r="AL615" s="1"/>
  <c r="AO615" s="1"/>
  <c r="AQ615" s="1"/>
  <c r="AT615" s="1"/>
  <c r="AC746"/>
  <c r="AF746" s="1"/>
  <c r="AI746" s="1"/>
  <c r="AL746" s="1"/>
  <c r="AO746" s="1"/>
  <c r="AQ746" s="1"/>
  <c r="AT746" s="1"/>
  <c r="AC758"/>
  <c r="AF758" s="1"/>
  <c r="AI758" s="1"/>
  <c r="AL758" s="1"/>
  <c r="AO758" s="1"/>
  <c r="AQ758" s="1"/>
  <c r="AT758" s="1"/>
  <c r="AC760"/>
  <c r="AF760" s="1"/>
  <c r="AI760" s="1"/>
  <c r="AL760" s="1"/>
  <c r="AO760" s="1"/>
  <c r="AQ760" s="1"/>
  <c r="AT760" s="1"/>
  <c r="AA781"/>
  <c r="AA780"/>
  <c r="AA779"/>
  <c r="Z21"/>
  <c r="AC21" s="1"/>
  <c r="AF21" s="1"/>
  <c r="AI21" s="1"/>
  <c r="AL21" s="1"/>
  <c r="AO21" s="1"/>
  <c r="AQ21" s="1"/>
  <c r="AT21" s="1"/>
  <c r="Z32"/>
  <c r="AC32" s="1"/>
  <c r="AF32" s="1"/>
  <c r="AI32" s="1"/>
  <c r="AL32" s="1"/>
  <c r="AO32" s="1"/>
  <c r="AQ32" s="1"/>
  <c r="AT32" s="1"/>
  <c r="Z44"/>
  <c r="AC44" s="1"/>
  <c r="AF44" s="1"/>
  <c r="AI44" s="1"/>
  <c r="AL44" s="1"/>
  <c r="AO44" s="1"/>
  <c r="AQ44" s="1"/>
  <c r="AT44" s="1"/>
  <c r="Z68"/>
  <c r="AC68" s="1"/>
  <c r="AF68" s="1"/>
  <c r="AI68" s="1"/>
  <c r="AL68" s="1"/>
  <c r="AO68" s="1"/>
  <c r="AQ68" s="1"/>
  <c r="AT68" s="1"/>
  <c r="Z84"/>
  <c r="AC84" s="1"/>
  <c r="AF84" s="1"/>
  <c r="AI84" s="1"/>
  <c r="AL84" s="1"/>
  <c r="AO84" s="1"/>
  <c r="AQ84" s="1"/>
  <c r="AT84" s="1"/>
  <c r="Z91"/>
  <c r="AC91" s="1"/>
  <c r="AF91" s="1"/>
  <c r="AI91" s="1"/>
  <c r="AL91" s="1"/>
  <c r="AO91" s="1"/>
  <c r="AQ91" s="1"/>
  <c r="AT91" s="1"/>
  <c r="Z104"/>
  <c r="AC104" s="1"/>
  <c r="AF104" s="1"/>
  <c r="AI104" s="1"/>
  <c r="AL104" s="1"/>
  <c r="AO104" s="1"/>
  <c r="AQ104" s="1"/>
  <c r="AT104" s="1"/>
  <c r="Z118"/>
  <c r="AC118" s="1"/>
  <c r="AF118" s="1"/>
  <c r="AI118" s="1"/>
  <c r="AL118" s="1"/>
  <c r="AO118" s="1"/>
  <c r="AQ118" s="1"/>
  <c r="AT118" s="1"/>
  <c r="Z132"/>
  <c r="AC132" s="1"/>
  <c r="AF132" s="1"/>
  <c r="AI132" s="1"/>
  <c r="AL132" s="1"/>
  <c r="AO132" s="1"/>
  <c r="AQ132" s="1"/>
  <c r="AT132" s="1"/>
  <c r="Z145"/>
  <c r="AC145" s="1"/>
  <c r="AF145" s="1"/>
  <c r="AI145" s="1"/>
  <c r="AL145" s="1"/>
  <c r="AO145" s="1"/>
  <c r="AQ145" s="1"/>
  <c r="AT145" s="1"/>
  <c r="Z180"/>
  <c r="AC180" s="1"/>
  <c r="AF180" s="1"/>
  <c r="AI180" s="1"/>
  <c r="AL180" s="1"/>
  <c r="AO180" s="1"/>
  <c r="AQ180" s="1"/>
  <c r="AT180" s="1"/>
  <c r="Z197"/>
  <c r="AC197" s="1"/>
  <c r="AF197" s="1"/>
  <c r="AI197" s="1"/>
  <c r="AL197" s="1"/>
  <c r="AO197" s="1"/>
  <c r="AQ197" s="1"/>
  <c r="AT197" s="1"/>
  <c r="Z205"/>
  <c r="AC205" s="1"/>
  <c r="AF205" s="1"/>
  <c r="AI205" s="1"/>
  <c r="AL205" s="1"/>
  <c r="AO205" s="1"/>
  <c r="AQ205" s="1"/>
  <c r="AT205" s="1"/>
  <c r="Z207"/>
  <c r="AC207" s="1"/>
  <c r="AF207" s="1"/>
  <c r="AI207" s="1"/>
  <c r="AL207" s="1"/>
  <c r="AO207" s="1"/>
  <c r="AQ207" s="1"/>
  <c r="AT207" s="1"/>
  <c r="Z218"/>
  <c r="AC218" s="1"/>
  <c r="AF218" s="1"/>
  <c r="AI218" s="1"/>
  <c r="AL218" s="1"/>
  <c r="AO218" s="1"/>
  <c r="AQ218" s="1"/>
  <c r="AT218" s="1"/>
  <c r="Z220"/>
  <c r="AC220" s="1"/>
  <c r="AF220" s="1"/>
  <c r="AI220" s="1"/>
  <c r="AL220" s="1"/>
  <c r="AO220" s="1"/>
  <c r="AQ220" s="1"/>
  <c r="AT220" s="1"/>
  <c r="Z225"/>
  <c r="AC225" s="1"/>
  <c r="AF225" s="1"/>
  <c r="AI225" s="1"/>
  <c r="AL225" s="1"/>
  <c r="AO225" s="1"/>
  <c r="AQ225" s="1"/>
  <c r="AT225" s="1"/>
  <c r="Z228"/>
  <c r="AC228" s="1"/>
  <c r="AF228" s="1"/>
  <c r="AI228" s="1"/>
  <c r="AL228" s="1"/>
  <c r="AO228" s="1"/>
  <c r="AQ228" s="1"/>
  <c r="AT228" s="1"/>
  <c r="Z248"/>
  <c r="AC248" s="1"/>
  <c r="AF248" s="1"/>
  <c r="AI248" s="1"/>
  <c r="AL248" s="1"/>
  <c r="AO248" s="1"/>
  <c r="AQ248" s="1"/>
  <c r="AT248" s="1"/>
  <c r="Z249"/>
  <c r="AC249" s="1"/>
  <c r="AF249" s="1"/>
  <c r="AI249" s="1"/>
  <c r="AL249" s="1"/>
  <c r="AO249" s="1"/>
  <c r="AQ249" s="1"/>
  <c r="AT249" s="1"/>
  <c r="Z256"/>
  <c r="AC256" s="1"/>
  <c r="AF256" s="1"/>
  <c r="AI256" s="1"/>
  <c r="AL256" s="1"/>
  <c r="AO256" s="1"/>
  <c r="AQ256" s="1"/>
  <c r="AT256" s="1"/>
  <c r="Z258"/>
  <c r="AC258" s="1"/>
  <c r="AF258" s="1"/>
  <c r="AI258" s="1"/>
  <c r="AL258" s="1"/>
  <c r="AO258" s="1"/>
  <c r="AQ258" s="1"/>
  <c r="AT258" s="1"/>
  <c r="Z281"/>
  <c r="AC281" s="1"/>
  <c r="AF281" s="1"/>
  <c r="AI281" s="1"/>
  <c r="AL281" s="1"/>
  <c r="AO281" s="1"/>
  <c r="AQ281" s="1"/>
  <c r="AT281" s="1"/>
  <c r="Z283"/>
  <c r="AC283" s="1"/>
  <c r="AF283" s="1"/>
  <c r="AI283" s="1"/>
  <c r="AL283" s="1"/>
  <c r="AO283" s="1"/>
  <c r="AQ283" s="1"/>
  <c r="AT283" s="1"/>
  <c r="Z284"/>
  <c r="AC284" s="1"/>
  <c r="AF284" s="1"/>
  <c r="AI284" s="1"/>
  <c r="AL284" s="1"/>
  <c r="AO284" s="1"/>
  <c r="AQ284" s="1"/>
  <c r="AT284" s="1"/>
  <c r="Z286"/>
  <c r="AC286" s="1"/>
  <c r="AF286" s="1"/>
  <c r="AI286" s="1"/>
  <c r="AL286" s="1"/>
  <c r="AO286" s="1"/>
  <c r="AQ286" s="1"/>
  <c r="AT286" s="1"/>
  <c r="Z291"/>
  <c r="AC291" s="1"/>
  <c r="AF291" s="1"/>
  <c r="AI291" s="1"/>
  <c r="AL291" s="1"/>
  <c r="AO291" s="1"/>
  <c r="AQ291" s="1"/>
  <c r="AT291" s="1"/>
  <c r="Z312"/>
  <c r="AC312" s="1"/>
  <c r="AF312" s="1"/>
  <c r="AI312" s="1"/>
  <c r="AL312" s="1"/>
  <c r="AO312" s="1"/>
  <c r="AQ312" s="1"/>
  <c r="AT312" s="1"/>
  <c r="Z334"/>
  <c r="AC334" s="1"/>
  <c r="AF334" s="1"/>
  <c r="AI334" s="1"/>
  <c r="AL334" s="1"/>
  <c r="AO334" s="1"/>
  <c r="AQ334" s="1"/>
  <c r="AT334" s="1"/>
  <c r="Z336"/>
  <c r="AC336" s="1"/>
  <c r="AF336" s="1"/>
  <c r="AI336" s="1"/>
  <c r="AL336" s="1"/>
  <c r="AO336" s="1"/>
  <c r="AQ336" s="1"/>
  <c r="AT336" s="1"/>
  <c r="Z359"/>
  <c r="AC359" s="1"/>
  <c r="AF359" s="1"/>
  <c r="AI359" s="1"/>
  <c r="AL359" s="1"/>
  <c r="AO359" s="1"/>
  <c r="AQ359" s="1"/>
  <c r="AT359" s="1"/>
  <c r="Z360"/>
  <c r="AC360" s="1"/>
  <c r="AF360" s="1"/>
  <c r="AI360" s="1"/>
  <c r="AL360" s="1"/>
  <c r="AO360" s="1"/>
  <c r="AQ360" s="1"/>
  <c r="AT360" s="1"/>
  <c r="Z363"/>
  <c r="AC363" s="1"/>
  <c r="AF363" s="1"/>
  <c r="AI363" s="1"/>
  <c r="AL363" s="1"/>
  <c r="AO363" s="1"/>
  <c r="AQ363" s="1"/>
  <c r="AT363" s="1"/>
  <c r="Z366"/>
  <c r="AC366" s="1"/>
  <c r="AF366" s="1"/>
  <c r="AI366" s="1"/>
  <c r="AL366" s="1"/>
  <c r="AO366" s="1"/>
  <c r="AQ366" s="1"/>
  <c r="AT366" s="1"/>
  <c r="Z370"/>
  <c r="AC370" s="1"/>
  <c r="AF370" s="1"/>
  <c r="AI370" s="1"/>
  <c r="AL370" s="1"/>
  <c r="AO370" s="1"/>
  <c r="AQ370" s="1"/>
  <c r="AT370" s="1"/>
  <c r="Z375"/>
  <c r="AC375" s="1"/>
  <c r="AF375" s="1"/>
  <c r="AI375" s="1"/>
  <c r="AL375" s="1"/>
  <c r="AO375" s="1"/>
  <c r="AQ375" s="1"/>
  <c r="AT375" s="1"/>
  <c r="Z383"/>
  <c r="AC383" s="1"/>
  <c r="AF383" s="1"/>
  <c r="AI383" s="1"/>
  <c r="AL383" s="1"/>
  <c r="AO383" s="1"/>
  <c r="AQ383" s="1"/>
  <c r="AT383" s="1"/>
  <c r="Z385"/>
  <c r="AC385" s="1"/>
  <c r="AF385" s="1"/>
  <c r="AI385" s="1"/>
  <c r="AL385" s="1"/>
  <c r="AO385" s="1"/>
  <c r="AQ385" s="1"/>
  <c r="AT385" s="1"/>
  <c r="Z386"/>
  <c r="AC386" s="1"/>
  <c r="AF386" s="1"/>
  <c r="AI386" s="1"/>
  <c r="AL386" s="1"/>
  <c r="AO386" s="1"/>
  <c r="AQ386" s="1"/>
  <c r="AT386" s="1"/>
  <c r="Z392"/>
  <c r="AC392" s="1"/>
  <c r="AF392" s="1"/>
  <c r="AI392" s="1"/>
  <c r="AL392" s="1"/>
  <c r="AO392" s="1"/>
  <c r="AQ392" s="1"/>
  <c r="AT392" s="1"/>
  <c r="Z396"/>
  <c r="AC396" s="1"/>
  <c r="AF396" s="1"/>
  <c r="AI396" s="1"/>
  <c r="AL396" s="1"/>
  <c r="AO396" s="1"/>
  <c r="AQ396" s="1"/>
  <c r="AT396" s="1"/>
  <c r="Z399"/>
  <c r="AC399" s="1"/>
  <c r="AF399" s="1"/>
  <c r="AI399" s="1"/>
  <c r="AL399" s="1"/>
  <c r="AO399" s="1"/>
  <c r="AQ399" s="1"/>
  <c r="AT399" s="1"/>
  <c r="Z409"/>
  <c r="AC409" s="1"/>
  <c r="AF409" s="1"/>
  <c r="AI409" s="1"/>
  <c r="AL409" s="1"/>
  <c r="AO409" s="1"/>
  <c r="AQ409" s="1"/>
  <c r="AT409" s="1"/>
  <c r="Z410"/>
  <c r="AC410" s="1"/>
  <c r="AF410" s="1"/>
  <c r="AI410" s="1"/>
  <c r="AL410" s="1"/>
  <c r="AO410" s="1"/>
  <c r="AQ410" s="1"/>
  <c r="AT410" s="1"/>
  <c r="Z434"/>
  <c r="AC434" s="1"/>
  <c r="AF434" s="1"/>
  <c r="AI434" s="1"/>
  <c r="AL434" s="1"/>
  <c r="AO434" s="1"/>
  <c r="AQ434" s="1"/>
  <c r="AT434" s="1"/>
  <c r="Z439"/>
  <c r="AC439" s="1"/>
  <c r="AF439" s="1"/>
  <c r="AI439" s="1"/>
  <c r="AL439" s="1"/>
  <c r="AO439" s="1"/>
  <c r="AQ439" s="1"/>
  <c r="AT439" s="1"/>
  <c r="Z450"/>
  <c r="AC450" s="1"/>
  <c r="AF450" s="1"/>
  <c r="AI450" s="1"/>
  <c r="AL450" s="1"/>
  <c r="AO450" s="1"/>
  <c r="AQ450" s="1"/>
  <c r="AT450" s="1"/>
  <c r="Z462"/>
  <c r="AC462" s="1"/>
  <c r="AF462" s="1"/>
  <c r="AI462" s="1"/>
  <c r="AL462" s="1"/>
  <c r="AO462" s="1"/>
  <c r="AQ462" s="1"/>
  <c r="AT462" s="1"/>
  <c r="Z468"/>
  <c r="AC468" s="1"/>
  <c r="AF468" s="1"/>
  <c r="AI468" s="1"/>
  <c r="AL468" s="1"/>
  <c r="AO468" s="1"/>
  <c r="AQ468" s="1"/>
  <c r="AT468" s="1"/>
  <c r="Z501"/>
  <c r="AC501" s="1"/>
  <c r="AF501" s="1"/>
  <c r="AI501" s="1"/>
  <c r="AL501" s="1"/>
  <c r="AO501" s="1"/>
  <c r="AQ501" s="1"/>
  <c r="AT501" s="1"/>
  <c r="Z546"/>
  <c r="AC546" s="1"/>
  <c r="AF546" s="1"/>
  <c r="AI546" s="1"/>
  <c r="AL546" s="1"/>
  <c r="AO546" s="1"/>
  <c r="AQ546" s="1"/>
  <c r="AT546" s="1"/>
  <c r="Z553"/>
  <c r="AC553" s="1"/>
  <c r="AF553" s="1"/>
  <c r="AI553" s="1"/>
  <c r="AL553" s="1"/>
  <c r="AO553" s="1"/>
  <c r="AQ553" s="1"/>
  <c r="AT553" s="1"/>
  <c r="Z558"/>
  <c r="AC558" s="1"/>
  <c r="AF558" s="1"/>
  <c r="AI558" s="1"/>
  <c r="AL558" s="1"/>
  <c r="AO558" s="1"/>
  <c r="AQ558" s="1"/>
  <c r="AT558" s="1"/>
  <c r="Z561"/>
  <c r="AC561" s="1"/>
  <c r="AF561" s="1"/>
  <c r="AI561" s="1"/>
  <c r="AL561" s="1"/>
  <c r="AO561" s="1"/>
  <c r="AQ561" s="1"/>
  <c r="AT561" s="1"/>
  <c r="Z573"/>
  <c r="AC573" s="1"/>
  <c r="AF573" s="1"/>
  <c r="AI573" s="1"/>
  <c r="AL573" s="1"/>
  <c r="AO573" s="1"/>
  <c r="AQ573" s="1"/>
  <c r="AT573" s="1"/>
  <c r="Z574"/>
  <c r="AC574" s="1"/>
  <c r="AF574" s="1"/>
  <c r="AI574" s="1"/>
  <c r="AL574" s="1"/>
  <c r="AO574" s="1"/>
  <c r="AQ574" s="1"/>
  <c r="AT574" s="1"/>
  <c r="Z575"/>
  <c r="AC575" s="1"/>
  <c r="AF575" s="1"/>
  <c r="AI575" s="1"/>
  <c r="AL575" s="1"/>
  <c r="AO575" s="1"/>
  <c r="AQ575" s="1"/>
  <c r="AT575" s="1"/>
  <c r="Z582"/>
  <c r="AC582" s="1"/>
  <c r="AF582" s="1"/>
  <c r="AI582" s="1"/>
  <c r="AL582" s="1"/>
  <c r="AO582" s="1"/>
  <c r="AQ582" s="1"/>
  <c r="AT582" s="1"/>
  <c r="Z583"/>
  <c r="AC583" s="1"/>
  <c r="AF583" s="1"/>
  <c r="AI583" s="1"/>
  <c r="AL583" s="1"/>
  <c r="AO583" s="1"/>
  <c r="AQ583" s="1"/>
  <c r="AT583" s="1"/>
  <c r="Z586"/>
  <c r="AC586" s="1"/>
  <c r="AF586" s="1"/>
  <c r="AI586" s="1"/>
  <c r="AL586" s="1"/>
  <c r="AO586" s="1"/>
  <c r="AQ586" s="1"/>
  <c r="AT586" s="1"/>
  <c r="Z603"/>
  <c r="AC603" s="1"/>
  <c r="AF603" s="1"/>
  <c r="AI603" s="1"/>
  <c r="AL603" s="1"/>
  <c r="AO603" s="1"/>
  <c r="AQ603" s="1"/>
  <c r="AT603" s="1"/>
  <c r="Z607"/>
  <c r="AC607" s="1"/>
  <c r="AF607" s="1"/>
  <c r="AI607" s="1"/>
  <c r="AL607" s="1"/>
  <c r="AO607" s="1"/>
  <c r="AQ607" s="1"/>
  <c r="AT607" s="1"/>
  <c r="Z655"/>
  <c r="AC655" s="1"/>
  <c r="AF655" s="1"/>
  <c r="AI655" s="1"/>
  <c r="AL655" s="1"/>
  <c r="AO655" s="1"/>
  <c r="AQ655" s="1"/>
  <c r="AT655" s="1"/>
  <c r="Z668"/>
  <c r="AC668" s="1"/>
  <c r="AF668" s="1"/>
  <c r="AI668" s="1"/>
  <c r="AL668" s="1"/>
  <c r="AO668" s="1"/>
  <c r="AQ668" s="1"/>
  <c r="AT668" s="1"/>
  <c r="Z681"/>
  <c r="AC681" s="1"/>
  <c r="AF681" s="1"/>
  <c r="AI681" s="1"/>
  <c r="AL681" s="1"/>
  <c r="AO681" s="1"/>
  <c r="AQ681" s="1"/>
  <c r="AT681" s="1"/>
  <c r="Z682"/>
  <c r="AC682" s="1"/>
  <c r="AF682" s="1"/>
  <c r="AI682" s="1"/>
  <c r="AL682" s="1"/>
  <c r="AO682" s="1"/>
  <c r="AQ682" s="1"/>
  <c r="AT682" s="1"/>
  <c r="Z692"/>
  <c r="AC692" s="1"/>
  <c r="AF692" s="1"/>
  <c r="AI692" s="1"/>
  <c r="AL692" s="1"/>
  <c r="AO692" s="1"/>
  <c r="AQ692" s="1"/>
  <c r="AT692" s="1"/>
  <c r="Z710"/>
  <c r="AC710" s="1"/>
  <c r="AF710" s="1"/>
  <c r="AI710" s="1"/>
  <c r="AL710" s="1"/>
  <c r="AO710" s="1"/>
  <c r="AQ710" s="1"/>
  <c r="AT710" s="1"/>
  <c r="Z711"/>
  <c r="AC711" s="1"/>
  <c r="AF711" s="1"/>
  <c r="AI711" s="1"/>
  <c r="AL711" s="1"/>
  <c r="AO711" s="1"/>
  <c r="AQ711" s="1"/>
  <c r="AT711" s="1"/>
  <c r="Z730"/>
  <c r="AC730" s="1"/>
  <c r="AF730" s="1"/>
  <c r="AI730" s="1"/>
  <c r="AL730" s="1"/>
  <c r="AO730" s="1"/>
  <c r="AQ730" s="1"/>
  <c r="AT730" s="1"/>
  <c r="Z733"/>
  <c r="AC733" s="1"/>
  <c r="AF733" s="1"/>
  <c r="AI733" s="1"/>
  <c r="AL733" s="1"/>
  <c r="AO733" s="1"/>
  <c r="AQ733" s="1"/>
  <c r="AT733" s="1"/>
  <c r="Z738"/>
  <c r="AC738" s="1"/>
  <c r="AF738" s="1"/>
  <c r="AI738" s="1"/>
  <c r="AL738" s="1"/>
  <c r="AO738" s="1"/>
  <c r="AQ738" s="1"/>
  <c r="AT738" s="1"/>
  <c r="Z740"/>
  <c r="AC740" s="1"/>
  <c r="AF740" s="1"/>
  <c r="AI740" s="1"/>
  <c r="AL740" s="1"/>
  <c r="AO740" s="1"/>
  <c r="AQ740" s="1"/>
  <c r="AT740" s="1"/>
  <c r="Z741"/>
  <c r="AC741" s="1"/>
  <c r="AF741" s="1"/>
  <c r="AI741" s="1"/>
  <c r="AL741" s="1"/>
  <c r="AO741" s="1"/>
  <c r="AQ741" s="1"/>
  <c r="AT741" s="1"/>
  <c r="Z761"/>
  <c r="AC761" s="1"/>
  <c r="AF761" s="1"/>
  <c r="AI761" s="1"/>
  <c r="AL761" s="1"/>
  <c r="AO761" s="1"/>
  <c r="AQ761" s="1"/>
  <c r="AT761" s="1"/>
  <c r="Z769"/>
  <c r="AC769" s="1"/>
  <c r="AF769" s="1"/>
  <c r="AI769" s="1"/>
  <c r="AL769" s="1"/>
  <c r="AO769" s="1"/>
  <c r="AQ769" s="1"/>
  <c r="AT769" s="1"/>
  <c r="Z775"/>
  <c r="AC775" s="1"/>
  <c r="AF775" s="1"/>
  <c r="AI775" s="1"/>
  <c r="AL775" s="1"/>
  <c r="AO775" s="1"/>
  <c r="AQ775" s="1"/>
  <c r="AT775" s="1"/>
  <c r="X781"/>
  <c r="X780"/>
  <c r="X779"/>
  <c r="U781"/>
  <c r="U780"/>
  <c r="W121"/>
  <c r="Z121" s="1"/>
  <c r="AC121" s="1"/>
  <c r="AF121" s="1"/>
  <c r="AI121" s="1"/>
  <c r="AL121" s="1"/>
  <c r="AO121" s="1"/>
  <c r="AQ121" s="1"/>
  <c r="AT121" s="1"/>
  <c r="T559"/>
  <c r="W559" s="1"/>
  <c r="Z559" s="1"/>
  <c r="AC559" s="1"/>
  <c r="AF559" s="1"/>
  <c r="AI559" s="1"/>
  <c r="AL559" s="1"/>
  <c r="AO559" s="1"/>
  <c r="AQ559" s="1"/>
  <c r="AT559" s="1"/>
  <c r="T19"/>
  <c r="W19" s="1"/>
  <c r="Z19" s="1"/>
  <c r="AC19" s="1"/>
  <c r="AF19" s="1"/>
  <c r="AI19" s="1"/>
  <c r="AL19" s="1"/>
  <c r="AO19" s="1"/>
  <c r="AQ19" s="1"/>
  <c r="AT19" s="1"/>
  <c r="T139"/>
  <c r="W139" s="1"/>
  <c r="Z139" s="1"/>
  <c r="AC139" s="1"/>
  <c r="AF139" s="1"/>
  <c r="AI139" s="1"/>
  <c r="AL139" s="1"/>
  <c r="AO139" s="1"/>
  <c r="AQ139" s="1"/>
  <c r="AT139" s="1"/>
  <c r="U779"/>
  <c r="T75"/>
  <c r="W75" s="1"/>
  <c r="Z75" s="1"/>
  <c r="AC75" s="1"/>
  <c r="AF75" s="1"/>
  <c r="AI75" s="1"/>
  <c r="AL75" s="1"/>
  <c r="AO75" s="1"/>
  <c r="AQ75" s="1"/>
  <c r="AT75" s="1"/>
  <c r="T331"/>
  <c r="W331" s="1"/>
  <c r="Z331" s="1"/>
  <c r="AC331" s="1"/>
  <c r="AF331" s="1"/>
  <c r="AI331" s="1"/>
  <c r="AL331" s="1"/>
  <c r="AO331" s="1"/>
  <c r="AQ331" s="1"/>
  <c r="AT331" s="1"/>
  <c r="T314"/>
  <c r="W314" s="1"/>
  <c r="Z314" s="1"/>
  <c r="AC314" s="1"/>
  <c r="AF314" s="1"/>
  <c r="AI314" s="1"/>
  <c r="AL314" s="1"/>
  <c r="AO314" s="1"/>
  <c r="AQ314" s="1"/>
  <c r="AT314" s="1"/>
  <c r="T160"/>
  <c r="W160" s="1"/>
  <c r="Z160" s="1"/>
  <c r="AC160" s="1"/>
  <c r="AF160" s="1"/>
  <c r="AI160" s="1"/>
  <c r="AL160" s="1"/>
  <c r="AO160" s="1"/>
  <c r="AQ160" s="1"/>
  <c r="AT160" s="1"/>
  <c r="T494"/>
  <c r="W494" s="1"/>
  <c r="Z494" s="1"/>
  <c r="AC494" s="1"/>
  <c r="AF494" s="1"/>
  <c r="AI494" s="1"/>
  <c r="AL494" s="1"/>
  <c r="AO494" s="1"/>
  <c r="AQ494" s="1"/>
  <c r="AT494" s="1"/>
  <c r="T528"/>
  <c r="W528" s="1"/>
  <c r="Z528" s="1"/>
  <c r="AC528" s="1"/>
  <c r="AF528" s="1"/>
  <c r="AI528" s="1"/>
  <c r="AL528" s="1"/>
  <c r="AO528" s="1"/>
  <c r="AQ528" s="1"/>
  <c r="AT528" s="1"/>
  <c r="T271"/>
  <c r="W271" s="1"/>
  <c r="Z271" s="1"/>
  <c r="AC271" s="1"/>
  <c r="AF271" s="1"/>
  <c r="AI271" s="1"/>
  <c r="AL271" s="1"/>
  <c r="AO271" s="1"/>
  <c r="AQ271" s="1"/>
  <c r="AT271" s="1"/>
  <c r="T17"/>
  <c r="W17" s="1"/>
  <c r="Z17" s="1"/>
  <c r="AC17" s="1"/>
  <c r="AF17" s="1"/>
  <c r="AI17" s="1"/>
  <c r="AL17" s="1"/>
  <c r="AO17" s="1"/>
  <c r="AQ17" s="1"/>
  <c r="AT17" s="1"/>
  <c r="T106"/>
  <c r="W106" s="1"/>
  <c r="Z106" s="1"/>
  <c r="AC106" s="1"/>
  <c r="AF106" s="1"/>
  <c r="AI106" s="1"/>
  <c r="AL106" s="1"/>
  <c r="AO106" s="1"/>
  <c r="AQ106" s="1"/>
  <c r="AT106" s="1"/>
  <c r="T123"/>
  <c r="W123" s="1"/>
  <c r="Z123" s="1"/>
  <c r="AC123" s="1"/>
  <c r="AF123" s="1"/>
  <c r="AI123" s="1"/>
  <c r="AL123" s="1"/>
  <c r="AO123" s="1"/>
  <c r="AQ123" s="1"/>
  <c r="AT123" s="1"/>
  <c r="T176"/>
  <c r="W176" s="1"/>
  <c r="Z176" s="1"/>
  <c r="AC176" s="1"/>
  <c r="AF176" s="1"/>
  <c r="AI176" s="1"/>
  <c r="AL176" s="1"/>
  <c r="AO176" s="1"/>
  <c r="AQ176" s="1"/>
  <c r="AT176" s="1"/>
  <c r="T322"/>
  <c r="W322" s="1"/>
  <c r="Z322" s="1"/>
  <c r="AC322" s="1"/>
  <c r="AF322" s="1"/>
  <c r="AI322" s="1"/>
  <c r="AL322" s="1"/>
  <c r="AO322" s="1"/>
  <c r="AQ322" s="1"/>
  <c r="AT322" s="1"/>
  <c r="T398"/>
  <c r="W398" s="1"/>
  <c r="Z398" s="1"/>
  <c r="AC398" s="1"/>
  <c r="AF398" s="1"/>
  <c r="AI398" s="1"/>
  <c r="AL398" s="1"/>
  <c r="AO398" s="1"/>
  <c r="AQ398" s="1"/>
  <c r="AT398" s="1"/>
  <c r="T402"/>
  <c r="W402" s="1"/>
  <c r="Z402" s="1"/>
  <c r="AC402" s="1"/>
  <c r="AF402" s="1"/>
  <c r="AI402" s="1"/>
  <c r="AL402" s="1"/>
  <c r="AO402" s="1"/>
  <c r="AQ402" s="1"/>
  <c r="AT402" s="1"/>
  <c r="T403"/>
  <c r="W403" s="1"/>
  <c r="Z403" s="1"/>
  <c r="AC403" s="1"/>
  <c r="AF403" s="1"/>
  <c r="AI403" s="1"/>
  <c r="AL403" s="1"/>
  <c r="AO403" s="1"/>
  <c r="AQ403" s="1"/>
  <c r="AT403" s="1"/>
  <c r="T453"/>
  <c r="W453" s="1"/>
  <c r="Z453" s="1"/>
  <c r="AC453" s="1"/>
  <c r="AF453" s="1"/>
  <c r="AI453" s="1"/>
  <c r="AL453" s="1"/>
  <c r="AO453" s="1"/>
  <c r="AQ453" s="1"/>
  <c r="AT453" s="1"/>
  <c r="T472"/>
  <c r="W472" s="1"/>
  <c r="Z472" s="1"/>
  <c r="AC472" s="1"/>
  <c r="AF472" s="1"/>
  <c r="AI472" s="1"/>
  <c r="AL472" s="1"/>
  <c r="AO472" s="1"/>
  <c r="AQ472" s="1"/>
  <c r="AT472" s="1"/>
  <c r="T499"/>
  <c r="W499" s="1"/>
  <c r="Z499" s="1"/>
  <c r="AC499" s="1"/>
  <c r="AF499" s="1"/>
  <c r="AI499" s="1"/>
  <c r="AL499" s="1"/>
  <c r="AO499" s="1"/>
  <c r="AQ499" s="1"/>
  <c r="AT499" s="1"/>
  <c r="T514"/>
  <c r="W514" s="1"/>
  <c r="Z514" s="1"/>
  <c r="AC514" s="1"/>
  <c r="AF514" s="1"/>
  <c r="AI514" s="1"/>
  <c r="AL514" s="1"/>
  <c r="AO514" s="1"/>
  <c r="AQ514" s="1"/>
  <c r="AT514" s="1"/>
  <c r="T628"/>
  <c r="W628" s="1"/>
  <c r="Z628" s="1"/>
  <c r="AC628" s="1"/>
  <c r="AF628" s="1"/>
  <c r="AI628" s="1"/>
  <c r="AL628" s="1"/>
  <c r="AO628" s="1"/>
  <c r="AQ628" s="1"/>
  <c r="AT628" s="1"/>
  <c r="T631"/>
  <c r="W631" s="1"/>
  <c r="Z631" s="1"/>
  <c r="AC631" s="1"/>
  <c r="AF631" s="1"/>
  <c r="AI631" s="1"/>
  <c r="AL631" s="1"/>
  <c r="AO631" s="1"/>
  <c r="AQ631" s="1"/>
  <c r="AT631" s="1"/>
  <c r="T662"/>
  <c r="W662" s="1"/>
  <c r="Z662" s="1"/>
  <c r="AC662" s="1"/>
  <c r="AF662" s="1"/>
  <c r="AI662" s="1"/>
  <c r="AL662" s="1"/>
  <c r="AO662" s="1"/>
  <c r="AQ662" s="1"/>
  <c r="AT662" s="1"/>
  <c r="T671"/>
  <c r="W671" s="1"/>
  <c r="Z671" s="1"/>
  <c r="AC671" s="1"/>
  <c r="AF671" s="1"/>
  <c r="AI671" s="1"/>
  <c r="AL671" s="1"/>
  <c r="AO671" s="1"/>
  <c r="AQ671" s="1"/>
  <c r="AT671" s="1"/>
  <c r="T702"/>
  <c r="W702" s="1"/>
  <c r="Z702" s="1"/>
  <c r="AC702" s="1"/>
  <c r="AF702" s="1"/>
  <c r="AI702" s="1"/>
  <c r="AL702" s="1"/>
  <c r="AO702" s="1"/>
  <c r="AQ702" s="1"/>
  <c r="AT702" s="1"/>
  <c r="T731"/>
  <c r="W731" s="1"/>
  <c r="Z731" s="1"/>
  <c r="AC731" s="1"/>
  <c r="AF731" s="1"/>
  <c r="AI731" s="1"/>
  <c r="AL731" s="1"/>
  <c r="AO731" s="1"/>
  <c r="AQ731" s="1"/>
  <c r="AT731" s="1"/>
  <c r="T744"/>
  <c r="W744" s="1"/>
  <c r="Z744" s="1"/>
  <c r="AC744" s="1"/>
  <c r="AF744" s="1"/>
  <c r="AI744" s="1"/>
  <c r="AL744" s="1"/>
  <c r="AO744" s="1"/>
  <c r="AQ744" s="1"/>
  <c r="AT744" s="1"/>
  <c r="T764"/>
  <c r="W764" s="1"/>
  <c r="Z764" s="1"/>
  <c r="AC764" s="1"/>
  <c r="AF764" s="1"/>
  <c r="AI764" s="1"/>
  <c r="AL764" s="1"/>
  <c r="AO764" s="1"/>
  <c r="AQ764" s="1"/>
  <c r="AT764" s="1"/>
  <c r="T765"/>
  <c r="W765" s="1"/>
  <c r="Z765" s="1"/>
  <c r="AC765" s="1"/>
  <c r="AF765" s="1"/>
  <c r="AI765" s="1"/>
  <c r="AL765" s="1"/>
  <c r="AO765" s="1"/>
  <c r="AQ765" s="1"/>
  <c r="AT765" s="1"/>
  <c r="T129"/>
  <c r="W129" s="1"/>
  <c r="Z129" s="1"/>
  <c r="AC129" s="1"/>
  <c r="AF129" s="1"/>
  <c r="AI129" s="1"/>
  <c r="AL129" s="1"/>
  <c r="AO129" s="1"/>
  <c r="AQ129" s="1"/>
  <c r="AT129" s="1"/>
  <c r="T405"/>
  <c r="W405" s="1"/>
  <c r="Z405" s="1"/>
  <c r="AC405" s="1"/>
  <c r="AF405" s="1"/>
  <c r="AI405" s="1"/>
  <c r="AL405" s="1"/>
  <c r="AO405" s="1"/>
  <c r="AQ405" s="1"/>
  <c r="AT405" s="1"/>
  <c r="T23"/>
  <c r="W23" s="1"/>
  <c r="Z23" s="1"/>
  <c r="AC23" s="1"/>
  <c r="AF23" s="1"/>
  <c r="AI23" s="1"/>
  <c r="AL23" s="1"/>
  <c r="AO23" s="1"/>
  <c r="AQ23" s="1"/>
  <c r="AT23" s="1"/>
  <c r="T31"/>
  <c r="W31" s="1"/>
  <c r="Z31" s="1"/>
  <c r="AC31" s="1"/>
  <c r="AF31" s="1"/>
  <c r="AI31" s="1"/>
  <c r="AL31" s="1"/>
  <c r="AO31" s="1"/>
  <c r="AQ31" s="1"/>
  <c r="AT31" s="1"/>
  <c r="A21" i="21"/>
  <c r="R781" i="2"/>
  <c r="R780"/>
  <c r="R779"/>
  <c r="Q11"/>
  <c r="T11" s="1"/>
  <c r="W11" s="1"/>
  <c r="Z11" s="1"/>
  <c r="AC11" s="1"/>
  <c r="AF11" s="1"/>
  <c r="AI11" s="1"/>
  <c r="AL11" s="1"/>
  <c r="AO11" s="1"/>
  <c r="AQ11" s="1"/>
  <c r="AT11" s="1"/>
  <c r="Q12"/>
  <c r="T12" s="1"/>
  <c r="W12" s="1"/>
  <c r="Z12" s="1"/>
  <c r="AC12" s="1"/>
  <c r="AF12" s="1"/>
  <c r="AI12" s="1"/>
  <c r="AL12" s="1"/>
  <c r="AO12" s="1"/>
  <c r="AQ12" s="1"/>
  <c r="AT12" s="1"/>
  <c r="Q13"/>
  <c r="T13" s="1"/>
  <c r="W13" s="1"/>
  <c r="Z13" s="1"/>
  <c r="AC13" s="1"/>
  <c r="AF13" s="1"/>
  <c r="AI13" s="1"/>
  <c r="AL13" s="1"/>
  <c r="AO13" s="1"/>
  <c r="AQ13" s="1"/>
  <c r="AT13" s="1"/>
  <c r="Q15"/>
  <c r="T15" s="1"/>
  <c r="W15" s="1"/>
  <c r="Z15" s="1"/>
  <c r="AC15" s="1"/>
  <c r="AF15" s="1"/>
  <c r="AI15" s="1"/>
  <c r="AL15" s="1"/>
  <c r="AO15" s="1"/>
  <c r="AQ15" s="1"/>
  <c r="AT15" s="1"/>
  <c r="Q16"/>
  <c r="T16" s="1"/>
  <c r="W16" s="1"/>
  <c r="Z16" s="1"/>
  <c r="AC16" s="1"/>
  <c r="AF16" s="1"/>
  <c r="AI16" s="1"/>
  <c r="AL16" s="1"/>
  <c r="AO16" s="1"/>
  <c r="AQ16" s="1"/>
  <c r="AT16" s="1"/>
  <c r="Q18"/>
  <c r="T18" s="1"/>
  <c r="W18" s="1"/>
  <c r="Z18" s="1"/>
  <c r="AC18" s="1"/>
  <c r="AF18" s="1"/>
  <c r="AI18" s="1"/>
  <c r="AL18" s="1"/>
  <c r="AO18" s="1"/>
  <c r="AQ18" s="1"/>
  <c r="AT18" s="1"/>
  <c r="Q20"/>
  <c r="T20" s="1"/>
  <c r="W20" s="1"/>
  <c r="Z20" s="1"/>
  <c r="AC20" s="1"/>
  <c r="AF20" s="1"/>
  <c r="AI20" s="1"/>
  <c r="AL20" s="1"/>
  <c r="AO20" s="1"/>
  <c r="AQ20" s="1"/>
  <c r="AT20" s="1"/>
  <c r="Q22"/>
  <c r="T22" s="1"/>
  <c r="W22" s="1"/>
  <c r="Z22" s="1"/>
  <c r="AC22" s="1"/>
  <c r="AF22" s="1"/>
  <c r="AI22" s="1"/>
  <c r="AL22" s="1"/>
  <c r="AO22" s="1"/>
  <c r="AQ22" s="1"/>
  <c r="AT22" s="1"/>
  <c r="Q25"/>
  <c r="T25" s="1"/>
  <c r="W25" s="1"/>
  <c r="Z25" s="1"/>
  <c r="AC25" s="1"/>
  <c r="AF25" s="1"/>
  <c r="AI25" s="1"/>
  <c r="AL25" s="1"/>
  <c r="AO25" s="1"/>
  <c r="AQ25" s="1"/>
  <c r="AT25" s="1"/>
  <c r="Q28"/>
  <c r="T28" s="1"/>
  <c r="W28" s="1"/>
  <c r="Z28" s="1"/>
  <c r="AC28" s="1"/>
  <c r="AF28" s="1"/>
  <c r="AI28" s="1"/>
  <c r="AL28" s="1"/>
  <c r="AO28" s="1"/>
  <c r="AQ28" s="1"/>
  <c r="AT28" s="1"/>
  <c r="Q29"/>
  <c r="T29" s="1"/>
  <c r="W29" s="1"/>
  <c r="Z29" s="1"/>
  <c r="AC29" s="1"/>
  <c r="AF29" s="1"/>
  <c r="AI29" s="1"/>
  <c r="AL29" s="1"/>
  <c r="AO29" s="1"/>
  <c r="AQ29" s="1"/>
  <c r="AT29" s="1"/>
  <c r="Q30"/>
  <c r="T30" s="1"/>
  <c r="W30" s="1"/>
  <c r="Z30" s="1"/>
  <c r="AC30" s="1"/>
  <c r="AF30" s="1"/>
  <c r="AI30" s="1"/>
  <c r="AL30" s="1"/>
  <c r="AO30" s="1"/>
  <c r="AQ30" s="1"/>
  <c r="AT30" s="1"/>
  <c r="Q33"/>
  <c r="T33" s="1"/>
  <c r="W33" s="1"/>
  <c r="Z33" s="1"/>
  <c r="AC33" s="1"/>
  <c r="AF33" s="1"/>
  <c r="AI33" s="1"/>
  <c r="AL33" s="1"/>
  <c r="AO33" s="1"/>
  <c r="AQ33" s="1"/>
  <c r="AT33" s="1"/>
  <c r="Q34"/>
  <c r="T34" s="1"/>
  <c r="W34" s="1"/>
  <c r="Z34" s="1"/>
  <c r="AC34" s="1"/>
  <c r="AF34" s="1"/>
  <c r="AI34" s="1"/>
  <c r="AL34" s="1"/>
  <c r="AO34" s="1"/>
  <c r="AQ34" s="1"/>
  <c r="AT34" s="1"/>
  <c r="Q37"/>
  <c r="T37" s="1"/>
  <c r="W37" s="1"/>
  <c r="Z37" s="1"/>
  <c r="AC37" s="1"/>
  <c r="AF37" s="1"/>
  <c r="AI37" s="1"/>
  <c r="AL37" s="1"/>
  <c r="AO37" s="1"/>
  <c r="AQ37" s="1"/>
  <c r="AT37" s="1"/>
  <c r="Q40"/>
  <c r="T40" s="1"/>
  <c r="W40" s="1"/>
  <c r="Z40" s="1"/>
  <c r="AC40" s="1"/>
  <c r="AF40" s="1"/>
  <c r="AI40" s="1"/>
  <c r="AL40" s="1"/>
  <c r="AO40" s="1"/>
  <c r="AQ40" s="1"/>
  <c r="AT40" s="1"/>
  <c r="Q38"/>
  <c r="T38" s="1"/>
  <c r="W38" s="1"/>
  <c r="Z38" s="1"/>
  <c r="AC38" s="1"/>
  <c r="AF38" s="1"/>
  <c r="AI38" s="1"/>
  <c r="AL38" s="1"/>
  <c r="AO38" s="1"/>
  <c r="AQ38" s="1"/>
  <c r="AT38" s="1"/>
  <c r="Q42"/>
  <c r="T42" s="1"/>
  <c r="W42" s="1"/>
  <c r="Z42" s="1"/>
  <c r="AC42" s="1"/>
  <c r="AF42" s="1"/>
  <c r="AI42" s="1"/>
  <c r="AL42" s="1"/>
  <c r="AO42" s="1"/>
  <c r="AQ42" s="1"/>
  <c r="AT42" s="1"/>
  <c r="Q45"/>
  <c r="T45" s="1"/>
  <c r="W45" s="1"/>
  <c r="Z45" s="1"/>
  <c r="AC45" s="1"/>
  <c r="AF45" s="1"/>
  <c r="AI45" s="1"/>
  <c r="AL45" s="1"/>
  <c r="AO45" s="1"/>
  <c r="AQ45" s="1"/>
  <c r="AT45" s="1"/>
  <c r="Q47"/>
  <c r="T47" s="1"/>
  <c r="W47" s="1"/>
  <c r="Z47" s="1"/>
  <c r="AC47" s="1"/>
  <c r="AF47" s="1"/>
  <c r="AI47" s="1"/>
  <c r="AL47" s="1"/>
  <c r="AO47" s="1"/>
  <c r="AQ47" s="1"/>
  <c r="AT47" s="1"/>
  <c r="Q48"/>
  <c r="T48" s="1"/>
  <c r="W48" s="1"/>
  <c r="Z48" s="1"/>
  <c r="AC48" s="1"/>
  <c r="AF48" s="1"/>
  <c r="AI48" s="1"/>
  <c r="AL48" s="1"/>
  <c r="AO48" s="1"/>
  <c r="AQ48" s="1"/>
  <c r="AT48" s="1"/>
  <c r="Q49"/>
  <c r="T49" s="1"/>
  <c r="W49" s="1"/>
  <c r="Z49" s="1"/>
  <c r="AC49" s="1"/>
  <c r="AF49" s="1"/>
  <c r="AI49" s="1"/>
  <c r="AL49" s="1"/>
  <c r="AO49" s="1"/>
  <c r="AQ49" s="1"/>
  <c r="AT49" s="1"/>
  <c r="Q51"/>
  <c r="T51" s="1"/>
  <c r="W51" s="1"/>
  <c r="Z51" s="1"/>
  <c r="AC51" s="1"/>
  <c r="AF51" s="1"/>
  <c r="AI51" s="1"/>
  <c r="AL51" s="1"/>
  <c r="AO51" s="1"/>
  <c r="AQ51" s="1"/>
  <c r="AT51" s="1"/>
  <c r="Q52"/>
  <c r="T52" s="1"/>
  <c r="W52" s="1"/>
  <c r="Z52" s="1"/>
  <c r="AC52" s="1"/>
  <c r="AF52" s="1"/>
  <c r="AI52" s="1"/>
  <c r="AL52" s="1"/>
  <c r="AO52" s="1"/>
  <c r="AQ52" s="1"/>
  <c r="AT52" s="1"/>
  <c r="Q53"/>
  <c r="T53" s="1"/>
  <c r="W53" s="1"/>
  <c r="Z53" s="1"/>
  <c r="AC53" s="1"/>
  <c r="AF53" s="1"/>
  <c r="AI53" s="1"/>
  <c r="AL53" s="1"/>
  <c r="AO53" s="1"/>
  <c r="AQ53" s="1"/>
  <c r="AT53" s="1"/>
  <c r="Q54"/>
  <c r="T54" s="1"/>
  <c r="W54" s="1"/>
  <c r="Z54" s="1"/>
  <c r="AC54" s="1"/>
  <c r="AF54" s="1"/>
  <c r="AI54" s="1"/>
  <c r="AL54" s="1"/>
  <c r="AO54" s="1"/>
  <c r="AQ54" s="1"/>
  <c r="AT54" s="1"/>
  <c r="Q55"/>
  <c r="T55" s="1"/>
  <c r="W55" s="1"/>
  <c r="Z55" s="1"/>
  <c r="AC55" s="1"/>
  <c r="AF55" s="1"/>
  <c r="AI55" s="1"/>
  <c r="AL55" s="1"/>
  <c r="AO55" s="1"/>
  <c r="AQ55" s="1"/>
  <c r="AT55" s="1"/>
  <c r="Q56"/>
  <c r="T56" s="1"/>
  <c r="W56" s="1"/>
  <c r="Z56" s="1"/>
  <c r="AC56" s="1"/>
  <c r="AF56" s="1"/>
  <c r="AI56" s="1"/>
  <c r="AL56" s="1"/>
  <c r="AO56" s="1"/>
  <c r="AQ56" s="1"/>
  <c r="AT56" s="1"/>
  <c r="Q58"/>
  <c r="T58" s="1"/>
  <c r="W58" s="1"/>
  <c r="Z58" s="1"/>
  <c r="AC58" s="1"/>
  <c r="AF58" s="1"/>
  <c r="AI58" s="1"/>
  <c r="AL58" s="1"/>
  <c r="AO58" s="1"/>
  <c r="AQ58" s="1"/>
  <c r="AT58" s="1"/>
  <c r="Q59"/>
  <c r="T59" s="1"/>
  <c r="W59" s="1"/>
  <c r="Z59" s="1"/>
  <c r="AC59" s="1"/>
  <c r="AF59" s="1"/>
  <c r="AI59" s="1"/>
  <c r="AL59" s="1"/>
  <c r="AO59" s="1"/>
  <c r="AQ59" s="1"/>
  <c r="AT59" s="1"/>
  <c r="Q60"/>
  <c r="T60" s="1"/>
  <c r="W60" s="1"/>
  <c r="Z60" s="1"/>
  <c r="AC60" s="1"/>
  <c r="AF60" s="1"/>
  <c r="AI60" s="1"/>
  <c r="AL60" s="1"/>
  <c r="AO60" s="1"/>
  <c r="AQ60" s="1"/>
  <c r="AT60" s="1"/>
  <c r="Q61"/>
  <c r="T61" s="1"/>
  <c r="W61" s="1"/>
  <c r="Z61" s="1"/>
  <c r="AC61" s="1"/>
  <c r="AF61" s="1"/>
  <c r="AI61" s="1"/>
  <c r="AL61" s="1"/>
  <c r="AO61" s="1"/>
  <c r="AQ61" s="1"/>
  <c r="AT61" s="1"/>
  <c r="Q62"/>
  <c r="T62" s="1"/>
  <c r="W62" s="1"/>
  <c r="Z62" s="1"/>
  <c r="AC62" s="1"/>
  <c r="AF62" s="1"/>
  <c r="AI62" s="1"/>
  <c r="AL62" s="1"/>
  <c r="AO62" s="1"/>
  <c r="AQ62" s="1"/>
  <c r="AT62" s="1"/>
  <c r="Q64"/>
  <c r="T64" s="1"/>
  <c r="W64" s="1"/>
  <c r="Z64" s="1"/>
  <c r="AC64" s="1"/>
  <c r="AF64" s="1"/>
  <c r="AI64" s="1"/>
  <c r="AL64" s="1"/>
  <c r="AO64" s="1"/>
  <c r="AQ64" s="1"/>
  <c r="AT64" s="1"/>
  <c r="Q70"/>
  <c r="T70" s="1"/>
  <c r="W70" s="1"/>
  <c r="Z70" s="1"/>
  <c r="AC70" s="1"/>
  <c r="AF70" s="1"/>
  <c r="AI70" s="1"/>
  <c r="AL70" s="1"/>
  <c r="AO70" s="1"/>
  <c r="AQ70" s="1"/>
  <c r="AT70" s="1"/>
  <c r="Q71"/>
  <c r="T71" s="1"/>
  <c r="W71" s="1"/>
  <c r="Z71" s="1"/>
  <c r="AC71" s="1"/>
  <c r="AF71" s="1"/>
  <c r="AI71" s="1"/>
  <c r="AL71" s="1"/>
  <c r="AO71" s="1"/>
  <c r="AQ71" s="1"/>
  <c r="AT71" s="1"/>
  <c r="Q73"/>
  <c r="T73" s="1"/>
  <c r="W73" s="1"/>
  <c r="Z73" s="1"/>
  <c r="AC73" s="1"/>
  <c r="AF73" s="1"/>
  <c r="AI73" s="1"/>
  <c r="AL73" s="1"/>
  <c r="AO73" s="1"/>
  <c r="AQ73" s="1"/>
  <c r="AT73" s="1"/>
  <c r="Q74"/>
  <c r="T74" s="1"/>
  <c r="W74" s="1"/>
  <c r="Z74" s="1"/>
  <c r="AC74" s="1"/>
  <c r="AF74" s="1"/>
  <c r="AI74" s="1"/>
  <c r="AL74" s="1"/>
  <c r="AO74" s="1"/>
  <c r="AQ74" s="1"/>
  <c r="AT74" s="1"/>
  <c r="Q76"/>
  <c r="T76" s="1"/>
  <c r="W76" s="1"/>
  <c r="Z76" s="1"/>
  <c r="AC76" s="1"/>
  <c r="AF76" s="1"/>
  <c r="AI76" s="1"/>
  <c r="AL76" s="1"/>
  <c r="AO76" s="1"/>
  <c r="AQ76" s="1"/>
  <c r="AT76" s="1"/>
  <c r="Q77"/>
  <c r="T77" s="1"/>
  <c r="W77" s="1"/>
  <c r="Z77" s="1"/>
  <c r="AC77" s="1"/>
  <c r="AF77" s="1"/>
  <c r="AI77" s="1"/>
  <c r="AL77" s="1"/>
  <c r="AO77" s="1"/>
  <c r="AQ77" s="1"/>
  <c r="AT77" s="1"/>
  <c r="Q79"/>
  <c r="T79" s="1"/>
  <c r="W79" s="1"/>
  <c r="Z79" s="1"/>
  <c r="AC79" s="1"/>
  <c r="AF79" s="1"/>
  <c r="AI79" s="1"/>
  <c r="AL79" s="1"/>
  <c r="AO79" s="1"/>
  <c r="AQ79" s="1"/>
  <c r="AT79" s="1"/>
  <c r="Q80"/>
  <c r="T80" s="1"/>
  <c r="W80" s="1"/>
  <c r="Z80" s="1"/>
  <c r="AC80" s="1"/>
  <c r="AF80" s="1"/>
  <c r="AI80" s="1"/>
  <c r="AL80" s="1"/>
  <c r="AO80" s="1"/>
  <c r="AQ80" s="1"/>
  <c r="AT80" s="1"/>
  <c r="Q81"/>
  <c r="T81" s="1"/>
  <c r="W81" s="1"/>
  <c r="Z81" s="1"/>
  <c r="AC81" s="1"/>
  <c r="AF81" s="1"/>
  <c r="AI81" s="1"/>
  <c r="AL81" s="1"/>
  <c r="AO81" s="1"/>
  <c r="AQ81" s="1"/>
  <c r="AT81" s="1"/>
  <c r="Q82"/>
  <c r="T82" s="1"/>
  <c r="W82" s="1"/>
  <c r="Z82" s="1"/>
  <c r="AC82" s="1"/>
  <c r="AF82" s="1"/>
  <c r="AI82" s="1"/>
  <c r="AL82" s="1"/>
  <c r="AO82" s="1"/>
  <c r="AQ82" s="1"/>
  <c r="AT82" s="1"/>
  <c r="Q85"/>
  <c r="T85" s="1"/>
  <c r="W85" s="1"/>
  <c r="Z85" s="1"/>
  <c r="AC85" s="1"/>
  <c r="AF85" s="1"/>
  <c r="AI85" s="1"/>
  <c r="AL85" s="1"/>
  <c r="AO85" s="1"/>
  <c r="AQ85" s="1"/>
  <c r="AT85" s="1"/>
  <c r="Q86"/>
  <c r="T86" s="1"/>
  <c r="W86" s="1"/>
  <c r="Z86" s="1"/>
  <c r="AC86" s="1"/>
  <c r="AF86" s="1"/>
  <c r="AI86" s="1"/>
  <c r="AL86" s="1"/>
  <c r="AO86" s="1"/>
  <c r="AQ86" s="1"/>
  <c r="AT86" s="1"/>
  <c r="Q87"/>
  <c r="T87" s="1"/>
  <c r="W87" s="1"/>
  <c r="Z87" s="1"/>
  <c r="AC87" s="1"/>
  <c r="AF87" s="1"/>
  <c r="AI87" s="1"/>
  <c r="AL87" s="1"/>
  <c r="AO87" s="1"/>
  <c r="AQ87" s="1"/>
  <c r="AT87" s="1"/>
  <c r="Q88"/>
  <c r="T88" s="1"/>
  <c r="W88" s="1"/>
  <c r="Z88" s="1"/>
  <c r="AC88" s="1"/>
  <c r="AF88" s="1"/>
  <c r="AI88" s="1"/>
  <c r="AL88" s="1"/>
  <c r="AO88" s="1"/>
  <c r="AQ88" s="1"/>
  <c r="AT88" s="1"/>
  <c r="Q89"/>
  <c r="T89" s="1"/>
  <c r="W89" s="1"/>
  <c r="Z89" s="1"/>
  <c r="AC89" s="1"/>
  <c r="AF89" s="1"/>
  <c r="AI89" s="1"/>
  <c r="AL89" s="1"/>
  <c r="AO89" s="1"/>
  <c r="AQ89" s="1"/>
  <c r="AT89" s="1"/>
  <c r="Q90"/>
  <c r="T90" s="1"/>
  <c r="W90" s="1"/>
  <c r="Z90" s="1"/>
  <c r="AC90" s="1"/>
  <c r="AF90" s="1"/>
  <c r="AI90" s="1"/>
  <c r="AL90" s="1"/>
  <c r="AO90" s="1"/>
  <c r="AQ90" s="1"/>
  <c r="AT90" s="1"/>
  <c r="Q93"/>
  <c r="T93" s="1"/>
  <c r="W93" s="1"/>
  <c r="Z93" s="1"/>
  <c r="AC93" s="1"/>
  <c r="AF93" s="1"/>
  <c r="AI93" s="1"/>
  <c r="AL93" s="1"/>
  <c r="AO93" s="1"/>
  <c r="AQ93" s="1"/>
  <c r="AT93" s="1"/>
  <c r="Q95"/>
  <c r="T95" s="1"/>
  <c r="W95" s="1"/>
  <c r="Z95" s="1"/>
  <c r="AC95" s="1"/>
  <c r="AF95" s="1"/>
  <c r="AI95" s="1"/>
  <c r="AL95" s="1"/>
  <c r="AO95" s="1"/>
  <c r="AQ95" s="1"/>
  <c r="AT95" s="1"/>
  <c r="Q96"/>
  <c r="T96" s="1"/>
  <c r="W96" s="1"/>
  <c r="Z96" s="1"/>
  <c r="AC96" s="1"/>
  <c r="AF96" s="1"/>
  <c r="AI96" s="1"/>
  <c r="AL96" s="1"/>
  <c r="AO96" s="1"/>
  <c r="AQ96" s="1"/>
  <c r="AT96" s="1"/>
  <c r="Q97"/>
  <c r="T97" s="1"/>
  <c r="W97" s="1"/>
  <c r="Z97" s="1"/>
  <c r="AC97" s="1"/>
  <c r="AF97" s="1"/>
  <c r="AI97" s="1"/>
  <c r="AL97" s="1"/>
  <c r="AO97" s="1"/>
  <c r="AQ97" s="1"/>
  <c r="AT97" s="1"/>
  <c r="Q100"/>
  <c r="T100" s="1"/>
  <c r="W100" s="1"/>
  <c r="Z100" s="1"/>
  <c r="AC100" s="1"/>
  <c r="AF100" s="1"/>
  <c r="AI100" s="1"/>
  <c r="AL100" s="1"/>
  <c r="AO100" s="1"/>
  <c r="AQ100" s="1"/>
  <c r="AT100" s="1"/>
  <c r="Q102"/>
  <c r="T102" s="1"/>
  <c r="W102" s="1"/>
  <c r="Z102" s="1"/>
  <c r="AC102" s="1"/>
  <c r="AF102" s="1"/>
  <c r="AI102" s="1"/>
  <c r="AL102" s="1"/>
  <c r="AO102" s="1"/>
  <c r="AQ102" s="1"/>
  <c r="AT102" s="1"/>
  <c r="Q103"/>
  <c r="T103" s="1"/>
  <c r="W103" s="1"/>
  <c r="Z103" s="1"/>
  <c r="AC103" s="1"/>
  <c r="AF103" s="1"/>
  <c r="AI103" s="1"/>
  <c r="AL103" s="1"/>
  <c r="AO103" s="1"/>
  <c r="AQ103" s="1"/>
  <c r="AT103" s="1"/>
  <c r="Q107"/>
  <c r="T107" s="1"/>
  <c r="W107" s="1"/>
  <c r="Z107" s="1"/>
  <c r="AC107" s="1"/>
  <c r="AF107" s="1"/>
  <c r="AI107" s="1"/>
  <c r="AL107" s="1"/>
  <c r="AO107" s="1"/>
  <c r="AQ107" s="1"/>
  <c r="AT107" s="1"/>
  <c r="Q108"/>
  <c r="T108" s="1"/>
  <c r="W108" s="1"/>
  <c r="Z108" s="1"/>
  <c r="AC108" s="1"/>
  <c r="AF108" s="1"/>
  <c r="AI108" s="1"/>
  <c r="AL108" s="1"/>
  <c r="AO108" s="1"/>
  <c r="AQ108" s="1"/>
  <c r="AT108" s="1"/>
  <c r="Q109"/>
  <c r="T109" s="1"/>
  <c r="W109" s="1"/>
  <c r="Z109" s="1"/>
  <c r="AC109" s="1"/>
  <c r="AF109" s="1"/>
  <c r="AI109" s="1"/>
  <c r="AL109" s="1"/>
  <c r="AO109" s="1"/>
  <c r="AQ109" s="1"/>
  <c r="AT109" s="1"/>
  <c r="Q111"/>
  <c r="T111" s="1"/>
  <c r="W111" s="1"/>
  <c r="Z111" s="1"/>
  <c r="AC111" s="1"/>
  <c r="AF111" s="1"/>
  <c r="AI111" s="1"/>
  <c r="AL111" s="1"/>
  <c r="AO111" s="1"/>
  <c r="AQ111" s="1"/>
  <c r="AT111" s="1"/>
  <c r="Q112"/>
  <c r="T112" s="1"/>
  <c r="W112" s="1"/>
  <c r="Z112" s="1"/>
  <c r="AC112" s="1"/>
  <c r="AF112" s="1"/>
  <c r="AI112" s="1"/>
  <c r="AL112" s="1"/>
  <c r="AO112" s="1"/>
  <c r="AQ112" s="1"/>
  <c r="AT112" s="1"/>
  <c r="Q113"/>
  <c r="T113" s="1"/>
  <c r="W113" s="1"/>
  <c r="Z113" s="1"/>
  <c r="AC113" s="1"/>
  <c r="AF113" s="1"/>
  <c r="AI113" s="1"/>
  <c r="AL113" s="1"/>
  <c r="AO113" s="1"/>
  <c r="AQ113" s="1"/>
  <c r="AT113" s="1"/>
  <c r="Q114"/>
  <c r="T114" s="1"/>
  <c r="W114" s="1"/>
  <c r="Z114" s="1"/>
  <c r="AC114" s="1"/>
  <c r="AF114" s="1"/>
  <c r="AI114" s="1"/>
  <c r="AL114" s="1"/>
  <c r="AO114" s="1"/>
  <c r="AQ114" s="1"/>
  <c r="AT114" s="1"/>
  <c r="Q115"/>
  <c r="T115" s="1"/>
  <c r="W115" s="1"/>
  <c r="Z115" s="1"/>
  <c r="AC115" s="1"/>
  <c r="AF115" s="1"/>
  <c r="AI115" s="1"/>
  <c r="AL115" s="1"/>
  <c r="AO115" s="1"/>
  <c r="AQ115" s="1"/>
  <c r="AT115" s="1"/>
  <c r="Q116"/>
  <c r="T116" s="1"/>
  <c r="W116" s="1"/>
  <c r="Z116" s="1"/>
  <c r="AC116" s="1"/>
  <c r="AF116" s="1"/>
  <c r="AI116" s="1"/>
  <c r="AL116" s="1"/>
  <c r="AO116" s="1"/>
  <c r="AQ116" s="1"/>
  <c r="AT116" s="1"/>
  <c r="Q117"/>
  <c r="T117" s="1"/>
  <c r="W117" s="1"/>
  <c r="Z117" s="1"/>
  <c r="AC117" s="1"/>
  <c r="AF117" s="1"/>
  <c r="AI117" s="1"/>
  <c r="AL117" s="1"/>
  <c r="AO117" s="1"/>
  <c r="AQ117" s="1"/>
  <c r="AT117" s="1"/>
  <c r="Q119"/>
  <c r="T119" s="1"/>
  <c r="W119" s="1"/>
  <c r="Z119" s="1"/>
  <c r="AC119" s="1"/>
  <c r="AF119" s="1"/>
  <c r="AI119" s="1"/>
  <c r="AL119" s="1"/>
  <c r="AO119" s="1"/>
  <c r="AQ119" s="1"/>
  <c r="AT119" s="1"/>
  <c r="Q120"/>
  <c r="T120" s="1"/>
  <c r="W120" s="1"/>
  <c r="Z120" s="1"/>
  <c r="AC120" s="1"/>
  <c r="AF120" s="1"/>
  <c r="AI120" s="1"/>
  <c r="AL120" s="1"/>
  <c r="AO120" s="1"/>
  <c r="AQ120" s="1"/>
  <c r="AT120" s="1"/>
  <c r="Q122"/>
  <c r="T122" s="1"/>
  <c r="W122" s="1"/>
  <c r="Z122" s="1"/>
  <c r="AC122" s="1"/>
  <c r="AF122" s="1"/>
  <c r="AI122" s="1"/>
  <c r="AL122" s="1"/>
  <c r="AO122" s="1"/>
  <c r="AQ122" s="1"/>
  <c r="AT122" s="1"/>
  <c r="Q124"/>
  <c r="T124" s="1"/>
  <c r="W124" s="1"/>
  <c r="Z124" s="1"/>
  <c r="AC124" s="1"/>
  <c r="AF124" s="1"/>
  <c r="AI124" s="1"/>
  <c r="AL124" s="1"/>
  <c r="AO124" s="1"/>
  <c r="AQ124" s="1"/>
  <c r="AT124" s="1"/>
  <c r="Q125"/>
  <c r="T125" s="1"/>
  <c r="W125" s="1"/>
  <c r="Z125" s="1"/>
  <c r="AC125" s="1"/>
  <c r="AF125" s="1"/>
  <c r="AI125" s="1"/>
  <c r="AL125" s="1"/>
  <c r="AO125" s="1"/>
  <c r="AQ125" s="1"/>
  <c r="AT125" s="1"/>
  <c r="Q128"/>
  <c r="T128" s="1"/>
  <c r="W128" s="1"/>
  <c r="Z128" s="1"/>
  <c r="AC128" s="1"/>
  <c r="AF128" s="1"/>
  <c r="AI128" s="1"/>
  <c r="AL128" s="1"/>
  <c r="AO128" s="1"/>
  <c r="AQ128" s="1"/>
  <c r="AT128" s="1"/>
  <c r="Q130"/>
  <c r="T130" s="1"/>
  <c r="W130" s="1"/>
  <c r="Z130" s="1"/>
  <c r="AC130" s="1"/>
  <c r="AF130" s="1"/>
  <c r="AI130" s="1"/>
  <c r="AL130" s="1"/>
  <c r="AO130" s="1"/>
  <c r="AQ130" s="1"/>
  <c r="AT130" s="1"/>
  <c r="Q134"/>
  <c r="T134" s="1"/>
  <c r="W134" s="1"/>
  <c r="Z134" s="1"/>
  <c r="AC134" s="1"/>
  <c r="AF134" s="1"/>
  <c r="AI134" s="1"/>
  <c r="AL134" s="1"/>
  <c r="AO134" s="1"/>
  <c r="AQ134" s="1"/>
  <c r="AT134" s="1"/>
  <c r="Q135"/>
  <c r="T135" s="1"/>
  <c r="W135" s="1"/>
  <c r="Z135" s="1"/>
  <c r="AC135" s="1"/>
  <c r="AF135" s="1"/>
  <c r="AI135" s="1"/>
  <c r="AL135" s="1"/>
  <c r="AO135" s="1"/>
  <c r="AQ135" s="1"/>
  <c r="AT135" s="1"/>
  <c r="Q136"/>
  <c r="T136" s="1"/>
  <c r="W136" s="1"/>
  <c r="Z136" s="1"/>
  <c r="AC136" s="1"/>
  <c r="AF136" s="1"/>
  <c r="AI136" s="1"/>
  <c r="AL136" s="1"/>
  <c r="AO136" s="1"/>
  <c r="AQ136" s="1"/>
  <c r="AT136" s="1"/>
  <c r="Q137"/>
  <c r="T137" s="1"/>
  <c r="W137" s="1"/>
  <c r="Z137" s="1"/>
  <c r="AC137" s="1"/>
  <c r="AF137" s="1"/>
  <c r="AI137" s="1"/>
  <c r="AL137" s="1"/>
  <c r="AO137" s="1"/>
  <c r="AQ137" s="1"/>
  <c r="AT137" s="1"/>
  <c r="Q138"/>
  <c r="T138" s="1"/>
  <c r="W138" s="1"/>
  <c r="Z138" s="1"/>
  <c r="AC138" s="1"/>
  <c r="AF138" s="1"/>
  <c r="AI138" s="1"/>
  <c r="AL138" s="1"/>
  <c r="AO138" s="1"/>
  <c r="AQ138" s="1"/>
  <c r="AT138" s="1"/>
  <c r="Q141"/>
  <c r="T141" s="1"/>
  <c r="W141" s="1"/>
  <c r="Z141" s="1"/>
  <c r="AC141" s="1"/>
  <c r="AF141" s="1"/>
  <c r="AI141" s="1"/>
  <c r="AL141" s="1"/>
  <c r="AO141" s="1"/>
  <c r="AQ141" s="1"/>
  <c r="AT141" s="1"/>
  <c r="Q146"/>
  <c r="T146" s="1"/>
  <c r="W146" s="1"/>
  <c r="Z146" s="1"/>
  <c r="AC146" s="1"/>
  <c r="AF146" s="1"/>
  <c r="AI146" s="1"/>
  <c r="AL146" s="1"/>
  <c r="AO146" s="1"/>
  <c r="AQ146" s="1"/>
  <c r="AT146" s="1"/>
  <c r="Q147"/>
  <c r="T147" s="1"/>
  <c r="W147" s="1"/>
  <c r="Z147" s="1"/>
  <c r="AC147" s="1"/>
  <c r="AF147" s="1"/>
  <c r="AI147" s="1"/>
  <c r="AL147" s="1"/>
  <c r="AO147" s="1"/>
  <c r="AQ147" s="1"/>
  <c r="AT147" s="1"/>
  <c r="Q148"/>
  <c r="T148" s="1"/>
  <c r="W148" s="1"/>
  <c r="Z148" s="1"/>
  <c r="AC148" s="1"/>
  <c r="AF148" s="1"/>
  <c r="AI148" s="1"/>
  <c r="AL148" s="1"/>
  <c r="AO148" s="1"/>
  <c r="AQ148" s="1"/>
  <c r="AT148" s="1"/>
  <c r="Q149"/>
  <c r="T149" s="1"/>
  <c r="W149" s="1"/>
  <c r="Z149" s="1"/>
  <c r="AC149" s="1"/>
  <c r="AF149" s="1"/>
  <c r="AI149" s="1"/>
  <c r="AL149" s="1"/>
  <c r="AO149" s="1"/>
  <c r="AQ149" s="1"/>
  <c r="AT149" s="1"/>
  <c r="Q151"/>
  <c r="T151" s="1"/>
  <c r="W151" s="1"/>
  <c r="Z151" s="1"/>
  <c r="AC151" s="1"/>
  <c r="AF151" s="1"/>
  <c r="AI151" s="1"/>
  <c r="AL151" s="1"/>
  <c r="AO151" s="1"/>
  <c r="AQ151" s="1"/>
  <c r="AT151" s="1"/>
  <c r="Q152"/>
  <c r="T152" s="1"/>
  <c r="W152" s="1"/>
  <c r="Z152" s="1"/>
  <c r="AC152" s="1"/>
  <c r="AF152" s="1"/>
  <c r="AI152" s="1"/>
  <c r="AL152" s="1"/>
  <c r="AO152" s="1"/>
  <c r="AQ152" s="1"/>
  <c r="AT152" s="1"/>
  <c r="Q153"/>
  <c r="T153" s="1"/>
  <c r="W153" s="1"/>
  <c r="Z153" s="1"/>
  <c r="AC153" s="1"/>
  <c r="AF153" s="1"/>
  <c r="AI153" s="1"/>
  <c r="AL153" s="1"/>
  <c r="AO153" s="1"/>
  <c r="AQ153" s="1"/>
  <c r="AT153" s="1"/>
  <c r="Q155"/>
  <c r="T155" s="1"/>
  <c r="W155" s="1"/>
  <c r="Z155" s="1"/>
  <c r="AC155" s="1"/>
  <c r="AF155" s="1"/>
  <c r="AI155" s="1"/>
  <c r="AL155" s="1"/>
  <c r="AO155" s="1"/>
  <c r="AQ155" s="1"/>
  <c r="AT155" s="1"/>
  <c r="Q156"/>
  <c r="T156" s="1"/>
  <c r="W156" s="1"/>
  <c r="Z156" s="1"/>
  <c r="AC156" s="1"/>
  <c r="AF156" s="1"/>
  <c r="AI156" s="1"/>
  <c r="AL156" s="1"/>
  <c r="AO156" s="1"/>
  <c r="AQ156" s="1"/>
  <c r="AT156" s="1"/>
  <c r="Q158"/>
  <c r="T158" s="1"/>
  <c r="W158" s="1"/>
  <c r="Z158" s="1"/>
  <c r="AC158" s="1"/>
  <c r="AF158" s="1"/>
  <c r="AI158" s="1"/>
  <c r="AL158" s="1"/>
  <c r="AO158" s="1"/>
  <c r="AQ158" s="1"/>
  <c r="AT158" s="1"/>
  <c r="Q159"/>
  <c r="T159" s="1"/>
  <c r="W159" s="1"/>
  <c r="Z159" s="1"/>
  <c r="AC159" s="1"/>
  <c r="AF159" s="1"/>
  <c r="AI159" s="1"/>
  <c r="AL159" s="1"/>
  <c r="AO159" s="1"/>
  <c r="AQ159" s="1"/>
  <c r="AT159" s="1"/>
  <c r="Q161"/>
  <c r="T161" s="1"/>
  <c r="W161" s="1"/>
  <c r="Z161" s="1"/>
  <c r="AC161" s="1"/>
  <c r="AF161" s="1"/>
  <c r="AI161" s="1"/>
  <c r="AL161" s="1"/>
  <c r="AO161" s="1"/>
  <c r="AQ161" s="1"/>
  <c r="AT161" s="1"/>
  <c r="Q162"/>
  <c r="T162" s="1"/>
  <c r="W162" s="1"/>
  <c r="Z162" s="1"/>
  <c r="AC162" s="1"/>
  <c r="AF162" s="1"/>
  <c r="AI162" s="1"/>
  <c r="AL162" s="1"/>
  <c r="AO162" s="1"/>
  <c r="AQ162" s="1"/>
  <c r="AT162" s="1"/>
  <c r="Q164"/>
  <c r="T164" s="1"/>
  <c r="W164" s="1"/>
  <c r="Z164" s="1"/>
  <c r="AC164" s="1"/>
  <c r="AF164" s="1"/>
  <c r="AI164" s="1"/>
  <c r="AL164" s="1"/>
  <c r="AO164" s="1"/>
  <c r="AQ164" s="1"/>
  <c r="AT164" s="1"/>
  <c r="Q165"/>
  <c r="T165" s="1"/>
  <c r="W165" s="1"/>
  <c r="Z165" s="1"/>
  <c r="AC165" s="1"/>
  <c r="AF165" s="1"/>
  <c r="AI165" s="1"/>
  <c r="AL165" s="1"/>
  <c r="AO165" s="1"/>
  <c r="AQ165" s="1"/>
  <c r="AT165" s="1"/>
  <c r="Q167"/>
  <c r="T167" s="1"/>
  <c r="W167" s="1"/>
  <c r="Z167" s="1"/>
  <c r="AC167" s="1"/>
  <c r="AF167" s="1"/>
  <c r="AI167" s="1"/>
  <c r="AL167" s="1"/>
  <c r="AO167" s="1"/>
  <c r="AQ167" s="1"/>
  <c r="AT167" s="1"/>
  <c r="Q168"/>
  <c r="T168" s="1"/>
  <c r="W168" s="1"/>
  <c r="Z168" s="1"/>
  <c r="AC168" s="1"/>
  <c r="AF168" s="1"/>
  <c r="AI168" s="1"/>
  <c r="AL168" s="1"/>
  <c r="AO168" s="1"/>
  <c r="AQ168" s="1"/>
  <c r="AT168" s="1"/>
  <c r="Q170"/>
  <c r="T170" s="1"/>
  <c r="W170" s="1"/>
  <c r="Z170" s="1"/>
  <c r="AC170" s="1"/>
  <c r="AF170" s="1"/>
  <c r="AI170" s="1"/>
  <c r="AL170" s="1"/>
  <c r="AO170" s="1"/>
  <c r="AQ170" s="1"/>
  <c r="AT170" s="1"/>
  <c r="Q171"/>
  <c r="T171" s="1"/>
  <c r="W171" s="1"/>
  <c r="Z171" s="1"/>
  <c r="AC171" s="1"/>
  <c r="AF171" s="1"/>
  <c r="AI171" s="1"/>
  <c r="AL171" s="1"/>
  <c r="AO171" s="1"/>
  <c r="AQ171" s="1"/>
  <c r="AT171" s="1"/>
  <c r="Q173"/>
  <c r="T173" s="1"/>
  <c r="W173" s="1"/>
  <c r="Z173" s="1"/>
  <c r="AC173" s="1"/>
  <c r="AF173" s="1"/>
  <c r="AI173" s="1"/>
  <c r="AL173" s="1"/>
  <c r="AO173" s="1"/>
  <c r="AQ173" s="1"/>
  <c r="AT173" s="1"/>
  <c r="Q175"/>
  <c r="T175" s="1"/>
  <c r="W175" s="1"/>
  <c r="Z175" s="1"/>
  <c r="AC175" s="1"/>
  <c r="AF175" s="1"/>
  <c r="AI175" s="1"/>
  <c r="AL175" s="1"/>
  <c r="AO175" s="1"/>
  <c r="AQ175" s="1"/>
  <c r="AT175" s="1"/>
  <c r="Q177"/>
  <c r="T177" s="1"/>
  <c r="W177" s="1"/>
  <c r="Z177" s="1"/>
  <c r="AC177" s="1"/>
  <c r="AF177" s="1"/>
  <c r="AI177" s="1"/>
  <c r="AL177" s="1"/>
  <c r="AO177" s="1"/>
  <c r="AQ177" s="1"/>
  <c r="AT177" s="1"/>
  <c r="Q178"/>
  <c r="T178" s="1"/>
  <c r="W178" s="1"/>
  <c r="Z178" s="1"/>
  <c r="AC178" s="1"/>
  <c r="AF178" s="1"/>
  <c r="AI178" s="1"/>
  <c r="AL178" s="1"/>
  <c r="AO178" s="1"/>
  <c r="AQ178" s="1"/>
  <c r="AT178" s="1"/>
  <c r="Q179"/>
  <c r="T179" s="1"/>
  <c r="W179" s="1"/>
  <c r="Z179" s="1"/>
  <c r="AC179" s="1"/>
  <c r="AF179" s="1"/>
  <c r="AI179" s="1"/>
  <c r="AL179" s="1"/>
  <c r="AO179" s="1"/>
  <c r="AQ179" s="1"/>
  <c r="AT179" s="1"/>
  <c r="Q181"/>
  <c r="T181" s="1"/>
  <c r="W181" s="1"/>
  <c r="Z181" s="1"/>
  <c r="AC181" s="1"/>
  <c r="AF181" s="1"/>
  <c r="AI181" s="1"/>
  <c r="AL181" s="1"/>
  <c r="AO181" s="1"/>
  <c r="AQ181" s="1"/>
  <c r="AT181" s="1"/>
  <c r="Q182"/>
  <c r="T182" s="1"/>
  <c r="W182" s="1"/>
  <c r="Z182" s="1"/>
  <c r="AC182" s="1"/>
  <c r="AF182" s="1"/>
  <c r="AI182" s="1"/>
  <c r="AL182" s="1"/>
  <c r="AO182" s="1"/>
  <c r="AQ182" s="1"/>
  <c r="AT182" s="1"/>
  <c r="Q183"/>
  <c r="T183" s="1"/>
  <c r="W183" s="1"/>
  <c r="Z183" s="1"/>
  <c r="AC183" s="1"/>
  <c r="AF183" s="1"/>
  <c r="AI183" s="1"/>
  <c r="AL183" s="1"/>
  <c r="AO183" s="1"/>
  <c r="AQ183" s="1"/>
  <c r="AT183" s="1"/>
  <c r="Q184"/>
  <c r="T184" s="1"/>
  <c r="W184" s="1"/>
  <c r="Z184" s="1"/>
  <c r="AC184" s="1"/>
  <c r="AF184" s="1"/>
  <c r="AI184" s="1"/>
  <c r="AL184" s="1"/>
  <c r="AO184" s="1"/>
  <c r="AQ184" s="1"/>
  <c r="AT184" s="1"/>
  <c r="Q185"/>
  <c r="T185" s="1"/>
  <c r="W185" s="1"/>
  <c r="Z185" s="1"/>
  <c r="AC185" s="1"/>
  <c r="AF185" s="1"/>
  <c r="AI185" s="1"/>
  <c r="AL185" s="1"/>
  <c r="AO185" s="1"/>
  <c r="AQ185" s="1"/>
  <c r="AT185" s="1"/>
  <c r="Q186"/>
  <c r="T186" s="1"/>
  <c r="W186" s="1"/>
  <c r="Z186" s="1"/>
  <c r="AC186" s="1"/>
  <c r="AF186" s="1"/>
  <c r="AI186" s="1"/>
  <c r="AL186" s="1"/>
  <c r="AO186" s="1"/>
  <c r="AQ186" s="1"/>
  <c r="AT186" s="1"/>
  <c r="Q187"/>
  <c r="T187" s="1"/>
  <c r="W187" s="1"/>
  <c r="Z187" s="1"/>
  <c r="AC187" s="1"/>
  <c r="AF187" s="1"/>
  <c r="AI187" s="1"/>
  <c r="AL187" s="1"/>
  <c r="AO187" s="1"/>
  <c r="AQ187" s="1"/>
  <c r="AT187" s="1"/>
  <c r="Q188"/>
  <c r="T188" s="1"/>
  <c r="W188" s="1"/>
  <c r="Z188" s="1"/>
  <c r="AC188" s="1"/>
  <c r="AF188" s="1"/>
  <c r="AI188" s="1"/>
  <c r="AL188" s="1"/>
  <c r="AO188" s="1"/>
  <c r="AQ188" s="1"/>
  <c r="AT188" s="1"/>
  <c r="Q189"/>
  <c r="T189" s="1"/>
  <c r="W189" s="1"/>
  <c r="Z189" s="1"/>
  <c r="AC189" s="1"/>
  <c r="AF189" s="1"/>
  <c r="AI189" s="1"/>
  <c r="AL189" s="1"/>
  <c r="AO189" s="1"/>
  <c r="AQ189" s="1"/>
  <c r="AT189" s="1"/>
  <c r="Q190"/>
  <c r="T190" s="1"/>
  <c r="W190" s="1"/>
  <c r="Z190" s="1"/>
  <c r="AC190" s="1"/>
  <c r="AF190" s="1"/>
  <c r="AI190" s="1"/>
  <c r="AL190" s="1"/>
  <c r="AO190" s="1"/>
  <c r="AQ190" s="1"/>
  <c r="AT190" s="1"/>
  <c r="Q191"/>
  <c r="T191" s="1"/>
  <c r="W191" s="1"/>
  <c r="Z191" s="1"/>
  <c r="AC191" s="1"/>
  <c r="AF191" s="1"/>
  <c r="AI191" s="1"/>
  <c r="AL191" s="1"/>
  <c r="AO191" s="1"/>
  <c r="AQ191" s="1"/>
  <c r="AT191" s="1"/>
  <c r="Q192"/>
  <c r="T192" s="1"/>
  <c r="W192" s="1"/>
  <c r="Z192" s="1"/>
  <c r="AC192" s="1"/>
  <c r="AF192" s="1"/>
  <c r="AI192" s="1"/>
  <c r="AL192" s="1"/>
  <c r="AO192" s="1"/>
  <c r="AQ192" s="1"/>
  <c r="AT192" s="1"/>
  <c r="Q193"/>
  <c r="T193" s="1"/>
  <c r="W193" s="1"/>
  <c r="Z193" s="1"/>
  <c r="AC193" s="1"/>
  <c r="AF193" s="1"/>
  <c r="AI193" s="1"/>
  <c r="AL193" s="1"/>
  <c r="AO193" s="1"/>
  <c r="AQ193" s="1"/>
  <c r="AT193" s="1"/>
  <c r="Q195"/>
  <c r="T195" s="1"/>
  <c r="W195" s="1"/>
  <c r="Z195" s="1"/>
  <c r="AC195" s="1"/>
  <c r="AF195" s="1"/>
  <c r="AI195" s="1"/>
  <c r="AL195" s="1"/>
  <c r="AO195" s="1"/>
  <c r="AQ195" s="1"/>
  <c r="AT195" s="1"/>
  <c r="Q196"/>
  <c r="T196" s="1"/>
  <c r="W196" s="1"/>
  <c r="Z196" s="1"/>
  <c r="AC196" s="1"/>
  <c r="AF196" s="1"/>
  <c r="AI196" s="1"/>
  <c r="AL196" s="1"/>
  <c r="AO196" s="1"/>
  <c r="AQ196" s="1"/>
  <c r="AT196" s="1"/>
  <c r="Q198"/>
  <c r="T198" s="1"/>
  <c r="W198" s="1"/>
  <c r="Z198" s="1"/>
  <c r="AC198" s="1"/>
  <c r="AF198" s="1"/>
  <c r="AI198" s="1"/>
  <c r="AL198" s="1"/>
  <c r="AO198" s="1"/>
  <c r="AQ198" s="1"/>
  <c r="AT198" s="1"/>
  <c r="Q199"/>
  <c r="T199" s="1"/>
  <c r="W199" s="1"/>
  <c r="Z199" s="1"/>
  <c r="AC199" s="1"/>
  <c r="AF199" s="1"/>
  <c r="AI199" s="1"/>
  <c r="AL199" s="1"/>
  <c r="AO199" s="1"/>
  <c r="AQ199" s="1"/>
  <c r="AT199" s="1"/>
  <c r="Q200"/>
  <c r="T200" s="1"/>
  <c r="W200" s="1"/>
  <c r="Z200" s="1"/>
  <c r="AC200" s="1"/>
  <c r="AF200" s="1"/>
  <c r="AI200" s="1"/>
  <c r="AL200" s="1"/>
  <c r="AO200" s="1"/>
  <c r="AQ200" s="1"/>
  <c r="AT200" s="1"/>
  <c r="Q201"/>
  <c r="T201" s="1"/>
  <c r="W201" s="1"/>
  <c r="Z201" s="1"/>
  <c r="AC201" s="1"/>
  <c r="AF201" s="1"/>
  <c r="AI201" s="1"/>
  <c r="AL201" s="1"/>
  <c r="AO201" s="1"/>
  <c r="AQ201" s="1"/>
  <c r="AT201" s="1"/>
  <c r="Q202"/>
  <c r="T202" s="1"/>
  <c r="W202" s="1"/>
  <c r="Z202" s="1"/>
  <c r="AC202" s="1"/>
  <c r="AF202" s="1"/>
  <c r="AI202" s="1"/>
  <c r="AL202" s="1"/>
  <c r="AO202" s="1"/>
  <c r="AQ202" s="1"/>
  <c r="AT202" s="1"/>
  <c r="Q203"/>
  <c r="T203" s="1"/>
  <c r="W203" s="1"/>
  <c r="Z203" s="1"/>
  <c r="AC203" s="1"/>
  <c r="AF203" s="1"/>
  <c r="AI203" s="1"/>
  <c r="AL203" s="1"/>
  <c r="AO203" s="1"/>
  <c r="AQ203" s="1"/>
  <c r="AT203" s="1"/>
  <c r="Q204"/>
  <c r="T204" s="1"/>
  <c r="W204" s="1"/>
  <c r="Z204" s="1"/>
  <c r="AC204" s="1"/>
  <c r="AF204" s="1"/>
  <c r="AI204" s="1"/>
  <c r="AL204" s="1"/>
  <c r="AO204" s="1"/>
  <c r="AQ204" s="1"/>
  <c r="AT204" s="1"/>
  <c r="Q206"/>
  <c r="T206" s="1"/>
  <c r="W206" s="1"/>
  <c r="Z206" s="1"/>
  <c r="AC206" s="1"/>
  <c r="AF206" s="1"/>
  <c r="AI206" s="1"/>
  <c r="AL206" s="1"/>
  <c r="AO206" s="1"/>
  <c r="AQ206" s="1"/>
  <c r="AT206" s="1"/>
  <c r="Q209"/>
  <c r="T209" s="1"/>
  <c r="W209" s="1"/>
  <c r="Z209" s="1"/>
  <c r="AC209" s="1"/>
  <c r="AF209" s="1"/>
  <c r="AI209" s="1"/>
  <c r="AL209" s="1"/>
  <c r="AO209" s="1"/>
  <c r="AQ209" s="1"/>
  <c r="AT209" s="1"/>
  <c r="Q212"/>
  <c r="T212" s="1"/>
  <c r="W212" s="1"/>
  <c r="Z212" s="1"/>
  <c r="AC212" s="1"/>
  <c r="AF212" s="1"/>
  <c r="AI212" s="1"/>
  <c r="AL212" s="1"/>
  <c r="AO212" s="1"/>
  <c r="AQ212" s="1"/>
  <c r="AT212" s="1"/>
  <c r="Q213"/>
  <c r="T213" s="1"/>
  <c r="W213" s="1"/>
  <c r="Z213" s="1"/>
  <c r="AC213" s="1"/>
  <c r="AF213" s="1"/>
  <c r="AI213" s="1"/>
  <c r="AL213" s="1"/>
  <c r="AO213" s="1"/>
  <c r="AQ213" s="1"/>
  <c r="AT213" s="1"/>
  <c r="Q214"/>
  <c r="T214" s="1"/>
  <c r="W214" s="1"/>
  <c r="Z214" s="1"/>
  <c r="AC214" s="1"/>
  <c r="AF214" s="1"/>
  <c r="AI214" s="1"/>
  <c r="AL214" s="1"/>
  <c r="AO214" s="1"/>
  <c r="AQ214" s="1"/>
  <c r="AT214" s="1"/>
  <c r="Q215"/>
  <c r="T215" s="1"/>
  <c r="W215" s="1"/>
  <c r="Z215" s="1"/>
  <c r="AC215" s="1"/>
  <c r="AF215" s="1"/>
  <c r="AI215" s="1"/>
  <c r="AL215" s="1"/>
  <c r="AO215" s="1"/>
  <c r="AQ215" s="1"/>
  <c r="AT215" s="1"/>
  <c r="Q216"/>
  <c r="T216" s="1"/>
  <c r="W216" s="1"/>
  <c r="Z216" s="1"/>
  <c r="AC216" s="1"/>
  <c r="AF216" s="1"/>
  <c r="AI216" s="1"/>
  <c r="AL216" s="1"/>
  <c r="AO216" s="1"/>
  <c r="AQ216" s="1"/>
  <c r="AT216" s="1"/>
  <c r="Q217"/>
  <c r="T217" s="1"/>
  <c r="W217" s="1"/>
  <c r="Z217" s="1"/>
  <c r="AC217" s="1"/>
  <c r="AF217" s="1"/>
  <c r="AI217" s="1"/>
  <c r="AL217" s="1"/>
  <c r="AO217" s="1"/>
  <c r="AQ217" s="1"/>
  <c r="AT217" s="1"/>
  <c r="Q219"/>
  <c r="T219" s="1"/>
  <c r="W219" s="1"/>
  <c r="Z219" s="1"/>
  <c r="AC219" s="1"/>
  <c r="AF219" s="1"/>
  <c r="AI219" s="1"/>
  <c r="AL219" s="1"/>
  <c r="AO219" s="1"/>
  <c r="AQ219" s="1"/>
  <c r="AT219" s="1"/>
  <c r="Q221"/>
  <c r="T221" s="1"/>
  <c r="W221" s="1"/>
  <c r="Z221" s="1"/>
  <c r="AC221" s="1"/>
  <c r="AF221" s="1"/>
  <c r="AI221" s="1"/>
  <c r="AL221" s="1"/>
  <c r="AO221" s="1"/>
  <c r="AQ221" s="1"/>
  <c r="AT221" s="1"/>
  <c r="Q222"/>
  <c r="T222" s="1"/>
  <c r="W222" s="1"/>
  <c r="Z222" s="1"/>
  <c r="AC222" s="1"/>
  <c r="AF222" s="1"/>
  <c r="AI222" s="1"/>
  <c r="AL222" s="1"/>
  <c r="AO222" s="1"/>
  <c r="AQ222" s="1"/>
  <c r="AT222" s="1"/>
  <c r="Q224"/>
  <c r="T224" s="1"/>
  <c r="W224" s="1"/>
  <c r="Z224" s="1"/>
  <c r="AC224" s="1"/>
  <c r="AF224" s="1"/>
  <c r="AI224" s="1"/>
  <c r="AL224" s="1"/>
  <c r="AO224" s="1"/>
  <c r="AQ224" s="1"/>
  <c r="AT224" s="1"/>
  <c r="Q227"/>
  <c r="T227" s="1"/>
  <c r="W227" s="1"/>
  <c r="Z227" s="1"/>
  <c r="AC227" s="1"/>
  <c r="AF227" s="1"/>
  <c r="AI227" s="1"/>
  <c r="AL227" s="1"/>
  <c r="AO227" s="1"/>
  <c r="AQ227" s="1"/>
  <c r="AT227" s="1"/>
  <c r="Q230"/>
  <c r="T230" s="1"/>
  <c r="W230" s="1"/>
  <c r="Z230" s="1"/>
  <c r="AC230" s="1"/>
  <c r="AF230" s="1"/>
  <c r="AI230" s="1"/>
  <c r="AL230" s="1"/>
  <c r="AO230" s="1"/>
  <c r="AQ230" s="1"/>
  <c r="AT230" s="1"/>
  <c r="Q231"/>
  <c r="T231" s="1"/>
  <c r="W231" s="1"/>
  <c r="Z231" s="1"/>
  <c r="AC231" s="1"/>
  <c r="AF231" s="1"/>
  <c r="AI231" s="1"/>
  <c r="AL231" s="1"/>
  <c r="AO231" s="1"/>
  <c r="AQ231" s="1"/>
  <c r="AT231" s="1"/>
  <c r="Q232"/>
  <c r="T232" s="1"/>
  <c r="W232" s="1"/>
  <c r="Z232" s="1"/>
  <c r="AC232" s="1"/>
  <c r="AF232" s="1"/>
  <c r="AI232" s="1"/>
  <c r="AL232" s="1"/>
  <c r="AO232" s="1"/>
  <c r="AQ232" s="1"/>
  <c r="AT232" s="1"/>
  <c r="Q235"/>
  <c r="T235" s="1"/>
  <c r="W235" s="1"/>
  <c r="Z235" s="1"/>
  <c r="AC235" s="1"/>
  <c r="AF235" s="1"/>
  <c r="AI235" s="1"/>
  <c r="AL235" s="1"/>
  <c r="AO235" s="1"/>
  <c r="AQ235" s="1"/>
  <c r="AT235" s="1"/>
  <c r="Q237"/>
  <c r="T237" s="1"/>
  <c r="W237" s="1"/>
  <c r="Z237" s="1"/>
  <c r="AC237" s="1"/>
  <c r="AF237" s="1"/>
  <c r="AI237" s="1"/>
  <c r="AL237" s="1"/>
  <c r="AO237" s="1"/>
  <c r="AQ237" s="1"/>
  <c r="AT237" s="1"/>
  <c r="Q240"/>
  <c r="T240" s="1"/>
  <c r="W240" s="1"/>
  <c r="Z240" s="1"/>
  <c r="AC240" s="1"/>
  <c r="AF240" s="1"/>
  <c r="AI240" s="1"/>
  <c r="AL240" s="1"/>
  <c r="AO240" s="1"/>
  <c r="AQ240" s="1"/>
  <c r="AT240" s="1"/>
  <c r="Q241"/>
  <c r="T241" s="1"/>
  <c r="W241" s="1"/>
  <c r="Z241" s="1"/>
  <c r="AC241" s="1"/>
  <c r="AF241" s="1"/>
  <c r="AI241" s="1"/>
  <c r="AL241" s="1"/>
  <c r="AO241" s="1"/>
  <c r="AQ241" s="1"/>
  <c r="AT241" s="1"/>
  <c r="Q243"/>
  <c r="T243" s="1"/>
  <c r="W243" s="1"/>
  <c r="Z243" s="1"/>
  <c r="AC243" s="1"/>
  <c r="AF243" s="1"/>
  <c r="AI243" s="1"/>
  <c r="AL243" s="1"/>
  <c r="AO243" s="1"/>
  <c r="AQ243" s="1"/>
  <c r="AT243" s="1"/>
  <c r="Q244"/>
  <c r="T244" s="1"/>
  <c r="W244" s="1"/>
  <c r="Z244" s="1"/>
  <c r="AC244" s="1"/>
  <c r="AF244" s="1"/>
  <c r="AI244" s="1"/>
  <c r="AL244" s="1"/>
  <c r="AO244" s="1"/>
  <c r="AQ244" s="1"/>
  <c r="AT244" s="1"/>
  <c r="Q247"/>
  <c r="T247" s="1"/>
  <c r="W247" s="1"/>
  <c r="Z247" s="1"/>
  <c r="AC247" s="1"/>
  <c r="AF247" s="1"/>
  <c r="AI247" s="1"/>
  <c r="AL247" s="1"/>
  <c r="AO247" s="1"/>
  <c r="AQ247" s="1"/>
  <c r="AT247" s="1"/>
  <c r="Q250"/>
  <c r="T250" s="1"/>
  <c r="W250" s="1"/>
  <c r="Z250" s="1"/>
  <c r="AC250" s="1"/>
  <c r="AF250" s="1"/>
  <c r="AI250" s="1"/>
  <c r="AL250" s="1"/>
  <c r="AO250" s="1"/>
  <c r="AQ250" s="1"/>
  <c r="AT250" s="1"/>
  <c r="Q251"/>
  <c r="T251" s="1"/>
  <c r="W251" s="1"/>
  <c r="Z251" s="1"/>
  <c r="AC251" s="1"/>
  <c r="AF251" s="1"/>
  <c r="AI251" s="1"/>
  <c r="AL251" s="1"/>
  <c r="AO251" s="1"/>
  <c r="AQ251" s="1"/>
  <c r="AT251" s="1"/>
  <c r="Q252"/>
  <c r="T252" s="1"/>
  <c r="W252" s="1"/>
  <c r="Z252" s="1"/>
  <c r="AC252" s="1"/>
  <c r="AF252" s="1"/>
  <c r="AI252" s="1"/>
  <c r="AL252" s="1"/>
  <c r="AO252" s="1"/>
  <c r="AQ252" s="1"/>
  <c r="AT252" s="1"/>
  <c r="Q255"/>
  <c r="T255" s="1"/>
  <c r="W255" s="1"/>
  <c r="Z255" s="1"/>
  <c r="AC255" s="1"/>
  <c r="AF255" s="1"/>
  <c r="AI255" s="1"/>
  <c r="AL255" s="1"/>
  <c r="AO255" s="1"/>
  <c r="AQ255" s="1"/>
  <c r="AT255" s="1"/>
  <c r="Q257"/>
  <c r="T257" s="1"/>
  <c r="W257" s="1"/>
  <c r="Z257" s="1"/>
  <c r="AC257" s="1"/>
  <c r="AF257" s="1"/>
  <c r="AI257" s="1"/>
  <c r="AL257" s="1"/>
  <c r="AO257" s="1"/>
  <c r="AQ257" s="1"/>
  <c r="AT257" s="1"/>
  <c r="Q261"/>
  <c r="T261" s="1"/>
  <c r="W261" s="1"/>
  <c r="Z261" s="1"/>
  <c r="AC261" s="1"/>
  <c r="AF261" s="1"/>
  <c r="AI261" s="1"/>
  <c r="AL261" s="1"/>
  <c r="AO261" s="1"/>
  <c r="AQ261" s="1"/>
  <c r="AT261" s="1"/>
  <c r="Q262"/>
  <c r="T262" s="1"/>
  <c r="W262" s="1"/>
  <c r="Z262" s="1"/>
  <c r="AC262" s="1"/>
  <c r="AF262" s="1"/>
  <c r="AI262" s="1"/>
  <c r="AL262" s="1"/>
  <c r="AO262" s="1"/>
  <c r="AQ262" s="1"/>
  <c r="AT262" s="1"/>
  <c r="Q263"/>
  <c r="T263" s="1"/>
  <c r="W263" s="1"/>
  <c r="Z263" s="1"/>
  <c r="AC263" s="1"/>
  <c r="AF263" s="1"/>
  <c r="AI263" s="1"/>
  <c r="AL263" s="1"/>
  <c r="AO263" s="1"/>
  <c r="AQ263" s="1"/>
  <c r="AT263" s="1"/>
  <c r="Q267"/>
  <c r="T267" s="1"/>
  <c r="W267" s="1"/>
  <c r="Z267" s="1"/>
  <c r="AC267" s="1"/>
  <c r="AF267" s="1"/>
  <c r="AI267" s="1"/>
  <c r="AL267" s="1"/>
  <c r="AO267" s="1"/>
  <c r="AQ267" s="1"/>
  <c r="AT267" s="1"/>
  <c r="Q268"/>
  <c r="T268" s="1"/>
  <c r="W268" s="1"/>
  <c r="Z268" s="1"/>
  <c r="AC268" s="1"/>
  <c r="AF268" s="1"/>
  <c r="AI268" s="1"/>
  <c r="AL268" s="1"/>
  <c r="AO268" s="1"/>
  <c r="AQ268" s="1"/>
  <c r="AT268" s="1"/>
  <c r="Q269"/>
  <c r="T269" s="1"/>
  <c r="W269" s="1"/>
  <c r="Z269" s="1"/>
  <c r="AC269" s="1"/>
  <c r="AF269" s="1"/>
  <c r="AI269" s="1"/>
  <c r="AL269" s="1"/>
  <c r="AO269" s="1"/>
  <c r="AQ269" s="1"/>
  <c r="AT269" s="1"/>
  <c r="Q270"/>
  <c r="T270" s="1"/>
  <c r="W270" s="1"/>
  <c r="Z270" s="1"/>
  <c r="AC270" s="1"/>
  <c r="AF270" s="1"/>
  <c r="AI270" s="1"/>
  <c r="AL270" s="1"/>
  <c r="AO270" s="1"/>
  <c r="AQ270" s="1"/>
  <c r="AT270" s="1"/>
  <c r="Q272"/>
  <c r="T272" s="1"/>
  <c r="W272" s="1"/>
  <c r="Z272" s="1"/>
  <c r="AC272" s="1"/>
  <c r="AF272" s="1"/>
  <c r="AI272" s="1"/>
  <c r="AL272" s="1"/>
  <c r="AO272" s="1"/>
  <c r="AQ272" s="1"/>
  <c r="AT272" s="1"/>
  <c r="Q274"/>
  <c r="T274" s="1"/>
  <c r="W274" s="1"/>
  <c r="Z274" s="1"/>
  <c r="AC274" s="1"/>
  <c r="AF274" s="1"/>
  <c r="AI274" s="1"/>
  <c r="AL274" s="1"/>
  <c r="AO274" s="1"/>
  <c r="AQ274" s="1"/>
  <c r="AT274" s="1"/>
  <c r="Q279"/>
  <c r="T279" s="1"/>
  <c r="W279" s="1"/>
  <c r="Z279" s="1"/>
  <c r="AC279" s="1"/>
  <c r="AF279" s="1"/>
  <c r="AI279" s="1"/>
  <c r="AL279" s="1"/>
  <c r="AO279" s="1"/>
  <c r="AQ279" s="1"/>
  <c r="AT279" s="1"/>
  <c r="Q276"/>
  <c r="T276" s="1"/>
  <c r="W276" s="1"/>
  <c r="Z276" s="1"/>
  <c r="AC276" s="1"/>
  <c r="AF276" s="1"/>
  <c r="AI276" s="1"/>
  <c r="AL276" s="1"/>
  <c r="AO276" s="1"/>
  <c r="AQ276" s="1"/>
  <c r="AT276" s="1"/>
  <c r="Q278"/>
  <c r="T278" s="1"/>
  <c r="W278" s="1"/>
  <c r="Z278" s="1"/>
  <c r="AC278" s="1"/>
  <c r="AF278" s="1"/>
  <c r="AI278" s="1"/>
  <c r="AL278" s="1"/>
  <c r="AO278" s="1"/>
  <c r="AQ278" s="1"/>
  <c r="AT278" s="1"/>
  <c r="Q280"/>
  <c r="T280" s="1"/>
  <c r="W280" s="1"/>
  <c r="Z280" s="1"/>
  <c r="AC280" s="1"/>
  <c r="AF280" s="1"/>
  <c r="AI280" s="1"/>
  <c r="AL280" s="1"/>
  <c r="AO280" s="1"/>
  <c r="AQ280" s="1"/>
  <c r="AT280" s="1"/>
  <c r="Q282"/>
  <c r="T282" s="1"/>
  <c r="W282" s="1"/>
  <c r="Z282" s="1"/>
  <c r="AC282" s="1"/>
  <c r="AF282" s="1"/>
  <c r="AI282" s="1"/>
  <c r="AL282" s="1"/>
  <c r="AO282" s="1"/>
  <c r="AQ282" s="1"/>
  <c r="AT282" s="1"/>
  <c r="Q285"/>
  <c r="T285" s="1"/>
  <c r="W285" s="1"/>
  <c r="Z285" s="1"/>
  <c r="AC285" s="1"/>
  <c r="AF285" s="1"/>
  <c r="AI285" s="1"/>
  <c r="AL285" s="1"/>
  <c r="AO285" s="1"/>
  <c r="AQ285" s="1"/>
  <c r="AT285" s="1"/>
  <c r="Q289"/>
  <c r="T289" s="1"/>
  <c r="W289" s="1"/>
  <c r="Z289" s="1"/>
  <c r="AC289" s="1"/>
  <c r="AF289" s="1"/>
  <c r="AI289" s="1"/>
  <c r="AL289" s="1"/>
  <c r="AO289" s="1"/>
  <c r="AQ289" s="1"/>
  <c r="AT289" s="1"/>
  <c r="Q292"/>
  <c r="T292" s="1"/>
  <c r="W292" s="1"/>
  <c r="Z292" s="1"/>
  <c r="AC292" s="1"/>
  <c r="AF292" s="1"/>
  <c r="AI292" s="1"/>
  <c r="AL292" s="1"/>
  <c r="AO292" s="1"/>
  <c r="AQ292" s="1"/>
  <c r="AT292" s="1"/>
  <c r="Q294"/>
  <c r="T294" s="1"/>
  <c r="W294" s="1"/>
  <c r="Z294" s="1"/>
  <c r="AC294" s="1"/>
  <c r="AF294" s="1"/>
  <c r="AI294" s="1"/>
  <c r="AL294" s="1"/>
  <c r="AO294" s="1"/>
  <c r="AQ294" s="1"/>
  <c r="AT294" s="1"/>
  <c r="Q296"/>
  <c r="T296" s="1"/>
  <c r="W296" s="1"/>
  <c r="Z296" s="1"/>
  <c r="AC296" s="1"/>
  <c r="AF296" s="1"/>
  <c r="AI296" s="1"/>
  <c r="AL296" s="1"/>
  <c r="AO296" s="1"/>
  <c r="AQ296" s="1"/>
  <c r="AT296" s="1"/>
  <c r="Q297"/>
  <c r="T297" s="1"/>
  <c r="W297" s="1"/>
  <c r="Z297" s="1"/>
  <c r="AC297" s="1"/>
  <c r="AF297" s="1"/>
  <c r="AI297" s="1"/>
  <c r="AL297" s="1"/>
  <c r="AO297" s="1"/>
  <c r="AQ297" s="1"/>
  <c r="AT297" s="1"/>
  <c r="Q299"/>
  <c r="T299" s="1"/>
  <c r="W299" s="1"/>
  <c r="Z299" s="1"/>
  <c r="AC299" s="1"/>
  <c r="AF299" s="1"/>
  <c r="AI299" s="1"/>
  <c r="AL299" s="1"/>
  <c r="AO299" s="1"/>
  <c r="AQ299" s="1"/>
  <c r="AT299" s="1"/>
  <c r="Q300"/>
  <c r="T300" s="1"/>
  <c r="W300" s="1"/>
  <c r="Z300" s="1"/>
  <c r="AC300" s="1"/>
  <c r="AF300" s="1"/>
  <c r="AI300" s="1"/>
  <c r="AL300" s="1"/>
  <c r="AO300" s="1"/>
  <c r="AQ300" s="1"/>
  <c r="AT300" s="1"/>
  <c r="Q302"/>
  <c r="T302" s="1"/>
  <c r="W302" s="1"/>
  <c r="Z302" s="1"/>
  <c r="AC302" s="1"/>
  <c r="AF302" s="1"/>
  <c r="AI302" s="1"/>
  <c r="AL302" s="1"/>
  <c r="AO302" s="1"/>
  <c r="AQ302" s="1"/>
  <c r="AT302" s="1"/>
  <c r="Q304"/>
  <c r="T304" s="1"/>
  <c r="W304" s="1"/>
  <c r="Z304" s="1"/>
  <c r="AC304" s="1"/>
  <c r="AF304" s="1"/>
  <c r="AI304" s="1"/>
  <c r="AL304" s="1"/>
  <c r="AO304" s="1"/>
  <c r="AQ304" s="1"/>
  <c r="AT304" s="1"/>
  <c r="Q305"/>
  <c r="T305" s="1"/>
  <c r="W305" s="1"/>
  <c r="Z305" s="1"/>
  <c r="AC305" s="1"/>
  <c r="AF305" s="1"/>
  <c r="AI305" s="1"/>
  <c r="AL305" s="1"/>
  <c r="AO305" s="1"/>
  <c r="AQ305" s="1"/>
  <c r="AT305" s="1"/>
  <c r="Q306"/>
  <c r="T306" s="1"/>
  <c r="W306" s="1"/>
  <c r="Z306" s="1"/>
  <c r="AC306" s="1"/>
  <c r="AF306" s="1"/>
  <c r="AI306" s="1"/>
  <c r="AL306" s="1"/>
  <c r="AO306" s="1"/>
  <c r="AQ306" s="1"/>
  <c r="AT306" s="1"/>
  <c r="Q307"/>
  <c r="T307" s="1"/>
  <c r="W307" s="1"/>
  <c r="Z307" s="1"/>
  <c r="AC307" s="1"/>
  <c r="AF307" s="1"/>
  <c r="AI307" s="1"/>
  <c r="AL307" s="1"/>
  <c r="AO307" s="1"/>
  <c r="AQ307" s="1"/>
  <c r="AT307" s="1"/>
  <c r="Q308"/>
  <c r="T308" s="1"/>
  <c r="W308" s="1"/>
  <c r="Z308" s="1"/>
  <c r="AC308" s="1"/>
  <c r="AF308" s="1"/>
  <c r="AI308" s="1"/>
  <c r="AL308" s="1"/>
  <c r="AO308" s="1"/>
  <c r="AQ308" s="1"/>
  <c r="AT308" s="1"/>
  <c r="Q310"/>
  <c r="T310" s="1"/>
  <c r="W310" s="1"/>
  <c r="Z310" s="1"/>
  <c r="AC310" s="1"/>
  <c r="AF310" s="1"/>
  <c r="AI310" s="1"/>
  <c r="AL310" s="1"/>
  <c r="AO310" s="1"/>
  <c r="AQ310" s="1"/>
  <c r="AT310" s="1"/>
  <c r="Q311"/>
  <c r="T311" s="1"/>
  <c r="W311" s="1"/>
  <c r="Z311" s="1"/>
  <c r="AC311" s="1"/>
  <c r="AF311" s="1"/>
  <c r="AI311" s="1"/>
  <c r="AL311" s="1"/>
  <c r="AO311" s="1"/>
  <c r="AQ311" s="1"/>
  <c r="AT311" s="1"/>
  <c r="Q313"/>
  <c r="T313" s="1"/>
  <c r="W313" s="1"/>
  <c r="Z313" s="1"/>
  <c r="AC313" s="1"/>
  <c r="AF313" s="1"/>
  <c r="AI313" s="1"/>
  <c r="AL313" s="1"/>
  <c r="AO313" s="1"/>
  <c r="AQ313" s="1"/>
  <c r="AT313" s="1"/>
  <c r="Q315"/>
  <c r="T315" s="1"/>
  <c r="W315" s="1"/>
  <c r="Z315" s="1"/>
  <c r="AC315" s="1"/>
  <c r="AF315" s="1"/>
  <c r="AI315" s="1"/>
  <c r="AL315" s="1"/>
  <c r="AO315" s="1"/>
  <c r="AQ315" s="1"/>
  <c r="AT315" s="1"/>
  <c r="Q316"/>
  <c r="T316" s="1"/>
  <c r="W316" s="1"/>
  <c r="Z316" s="1"/>
  <c r="AC316" s="1"/>
  <c r="AF316" s="1"/>
  <c r="AI316" s="1"/>
  <c r="AL316" s="1"/>
  <c r="AO316" s="1"/>
  <c r="AQ316" s="1"/>
  <c r="AT316" s="1"/>
  <c r="Q319"/>
  <c r="T319" s="1"/>
  <c r="W319" s="1"/>
  <c r="Z319" s="1"/>
  <c r="AC319" s="1"/>
  <c r="AF319" s="1"/>
  <c r="AI319" s="1"/>
  <c r="AL319" s="1"/>
  <c r="AO319" s="1"/>
  <c r="AQ319" s="1"/>
  <c r="AT319" s="1"/>
  <c r="Q320"/>
  <c r="T320" s="1"/>
  <c r="W320" s="1"/>
  <c r="Z320" s="1"/>
  <c r="AC320" s="1"/>
  <c r="AF320" s="1"/>
  <c r="AI320" s="1"/>
  <c r="AL320" s="1"/>
  <c r="AO320" s="1"/>
  <c r="AQ320" s="1"/>
  <c r="AT320" s="1"/>
  <c r="Q323"/>
  <c r="T323" s="1"/>
  <c r="W323" s="1"/>
  <c r="Z323" s="1"/>
  <c r="AC323" s="1"/>
  <c r="AF323" s="1"/>
  <c r="AI323" s="1"/>
  <c r="AL323" s="1"/>
  <c r="AO323" s="1"/>
  <c r="AQ323" s="1"/>
  <c r="AT323" s="1"/>
  <c r="Q326"/>
  <c r="T326" s="1"/>
  <c r="W326" s="1"/>
  <c r="Z326" s="1"/>
  <c r="AC326" s="1"/>
  <c r="AF326" s="1"/>
  <c r="AI326" s="1"/>
  <c r="AL326" s="1"/>
  <c r="AO326" s="1"/>
  <c r="AQ326" s="1"/>
  <c r="AT326" s="1"/>
  <c r="Q329"/>
  <c r="T329" s="1"/>
  <c r="W329" s="1"/>
  <c r="Z329" s="1"/>
  <c r="AC329" s="1"/>
  <c r="AF329" s="1"/>
  <c r="AI329" s="1"/>
  <c r="AL329" s="1"/>
  <c r="AO329" s="1"/>
  <c r="AQ329" s="1"/>
  <c r="AT329" s="1"/>
  <c r="Q330"/>
  <c r="T330" s="1"/>
  <c r="W330" s="1"/>
  <c r="Z330" s="1"/>
  <c r="AC330" s="1"/>
  <c r="AF330" s="1"/>
  <c r="AI330" s="1"/>
  <c r="AL330" s="1"/>
  <c r="AO330" s="1"/>
  <c r="AQ330" s="1"/>
  <c r="AT330" s="1"/>
  <c r="Q332"/>
  <c r="T332" s="1"/>
  <c r="W332" s="1"/>
  <c r="Z332" s="1"/>
  <c r="AC332" s="1"/>
  <c r="AF332" s="1"/>
  <c r="AI332" s="1"/>
  <c r="AL332" s="1"/>
  <c r="AO332" s="1"/>
  <c r="AQ332" s="1"/>
  <c r="AT332" s="1"/>
  <c r="Q335"/>
  <c r="T335" s="1"/>
  <c r="W335" s="1"/>
  <c r="Z335" s="1"/>
  <c r="AC335" s="1"/>
  <c r="AF335" s="1"/>
  <c r="AI335" s="1"/>
  <c r="AL335" s="1"/>
  <c r="AO335" s="1"/>
  <c r="AQ335" s="1"/>
  <c r="AT335" s="1"/>
  <c r="Q337"/>
  <c r="T337" s="1"/>
  <c r="W337" s="1"/>
  <c r="Z337" s="1"/>
  <c r="AC337" s="1"/>
  <c r="AF337" s="1"/>
  <c r="AI337" s="1"/>
  <c r="AL337" s="1"/>
  <c r="AO337" s="1"/>
  <c r="AQ337" s="1"/>
  <c r="AT337" s="1"/>
  <c r="Q338"/>
  <c r="T338" s="1"/>
  <c r="W338" s="1"/>
  <c r="Z338" s="1"/>
  <c r="AC338" s="1"/>
  <c r="AF338" s="1"/>
  <c r="AI338" s="1"/>
  <c r="AL338" s="1"/>
  <c r="AO338" s="1"/>
  <c r="AQ338" s="1"/>
  <c r="AT338" s="1"/>
  <c r="Q339"/>
  <c r="T339" s="1"/>
  <c r="W339" s="1"/>
  <c r="Z339" s="1"/>
  <c r="AC339" s="1"/>
  <c r="AF339" s="1"/>
  <c r="AI339" s="1"/>
  <c r="AL339" s="1"/>
  <c r="AO339" s="1"/>
  <c r="AQ339" s="1"/>
  <c r="AT339" s="1"/>
  <c r="Q340"/>
  <c r="T340" s="1"/>
  <c r="W340" s="1"/>
  <c r="Z340" s="1"/>
  <c r="AC340" s="1"/>
  <c r="AF340" s="1"/>
  <c r="AI340" s="1"/>
  <c r="AL340" s="1"/>
  <c r="AO340" s="1"/>
  <c r="AQ340" s="1"/>
  <c r="AT340" s="1"/>
  <c r="Q341"/>
  <c r="T341" s="1"/>
  <c r="W341" s="1"/>
  <c r="Z341" s="1"/>
  <c r="AC341" s="1"/>
  <c r="AF341" s="1"/>
  <c r="AI341" s="1"/>
  <c r="AL341" s="1"/>
  <c r="AO341" s="1"/>
  <c r="AQ341" s="1"/>
  <c r="AT341" s="1"/>
  <c r="Q344"/>
  <c r="T344" s="1"/>
  <c r="W344" s="1"/>
  <c r="Z344" s="1"/>
  <c r="AC344" s="1"/>
  <c r="AF344" s="1"/>
  <c r="AI344" s="1"/>
  <c r="AL344" s="1"/>
  <c r="AO344" s="1"/>
  <c r="AQ344" s="1"/>
  <c r="AT344" s="1"/>
  <c r="Q345"/>
  <c r="T345" s="1"/>
  <c r="W345" s="1"/>
  <c r="Z345" s="1"/>
  <c r="AC345" s="1"/>
  <c r="AF345" s="1"/>
  <c r="AI345" s="1"/>
  <c r="AL345" s="1"/>
  <c r="AO345" s="1"/>
  <c r="AQ345" s="1"/>
  <c r="AT345" s="1"/>
  <c r="Q346"/>
  <c r="T346" s="1"/>
  <c r="W346" s="1"/>
  <c r="Z346" s="1"/>
  <c r="AC346" s="1"/>
  <c r="AF346" s="1"/>
  <c r="AI346" s="1"/>
  <c r="AL346" s="1"/>
  <c r="AO346" s="1"/>
  <c r="AQ346" s="1"/>
  <c r="AT346" s="1"/>
  <c r="Q347"/>
  <c r="T347" s="1"/>
  <c r="W347" s="1"/>
  <c r="Z347" s="1"/>
  <c r="AC347" s="1"/>
  <c r="AF347" s="1"/>
  <c r="AI347" s="1"/>
  <c r="AL347" s="1"/>
  <c r="AO347" s="1"/>
  <c r="AQ347" s="1"/>
  <c r="AT347" s="1"/>
  <c r="Q348"/>
  <c r="T348" s="1"/>
  <c r="W348" s="1"/>
  <c r="Z348" s="1"/>
  <c r="AC348" s="1"/>
  <c r="AF348" s="1"/>
  <c r="AI348" s="1"/>
  <c r="AL348" s="1"/>
  <c r="AO348" s="1"/>
  <c r="AQ348" s="1"/>
  <c r="AT348" s="1"/>
  <c r="Q349"/>
  <c r="T349" s="1"/>
  <c r="W349" s="1"/>
  <c r="Z349" s="1"/>
  <c r="AC349" s="1"/>
  <c r="AF349" s="1"/>
  <c r="AI349" s="1"/>
  <c r="AL349" s="1"/>
  <c r="AO349" s="1"/>
  <c r="AQ349" s="1"/>
  <c r="AT349" s="1"/>
  <c r="Q350"/>
  <c r="T350" s="1"/>
  <c r="W350" s="1"/>
  <c r="Z350" s="1"/>
  <c r="AC350" s="1"/>
  <c r="AF350" s="1"/>
  <c r="AI350" s="1"/>
  <c r="AL350" s="1"/>
  <c r="AO350" s="1"/>
  <c r="AQ350" s="1"/>
  <c r="AT350" s="1"/>
  <c r="Q351"/>
  <c r="T351" s="1"/>
  <c r="W351" s="1"/>
  <c r="Z351" s="1"/>
  <c r="AC351" s="1"/>
  <c r="AF351" s="1"/>
  <c r="AI351" s="1"/>
  <c r="AL351" s="1"/>
  <c r="AO351" s="1"/>
  <c r="AQ351" s="1"/>
  <c r="AT351" s="1"/>
  <c r="Q352"/>
  <c r="T352" s="1"/>
  <c r="W352" s="1"/>
  <c r="Z352" s="1"/>
  <c r="AC352" s="1"/>
  <c r="AF352" s="1"/>
  <c r="AI352" s="1"/>
  <c r="AL352" s="1"/>
  <c r="AO352" s="1"/>
  <c r="AQ352" s="1"/>
  <c r="AT352" s="1"/>
  <c r="Q353"/>
  <c r="T353" s="1"/>
  <c r="W353" s="1"/>
  <c r="Z353" s="1"/>
  <c r="AC353" s="1"/>
  <c r="AF353" s="1"/>
  <c r="AI353" s="1"/>
  <c r="AL353" s="1"/>
  <c r="AO353" s="1"/>
  <c r="AQ353" s="1"/>
  <c r="AT353" s="1"/>
  <c r="Q354"/>
  <c r="T354" s="1"/>
  <c r="W354" s="1"/>
  <c r="Z354" s="1"/>
  <c r="AC354" s="1"/>
  <c r="AF354" s="1"/>
  <c r="AI354" s="1"/>
  <c r="AL354" s="1"/>
  <c r="AO354" s="1"/>
  <c r="AQ354" s="1"/>
  <c r="AT354" s="1"/>
  <c r="Q355"/>
  <c r="T355" s="1"/>
  <c r="W355" s="1"/>
  <c r="Z355" s="1"/>
  <c r="AC355" s="1"/>
  <c r="AF355" s="1"/>
  <c r="AI355" s="1"/>
  <c r="AL355" s="1"/>
  <c r="AO355" s="1"/>
  <c r="AQ355" s="1"/>
  <c r="AT355" s="1"/>
  <c r="Q361"/>
  <c r="T361" s="1"/>
  <c r="W361" s="1"/>
  <c r="Z361" s="1"/>
  <c r="AC361" s="1"/>
  <c r="AF361" s="1"/>
  <c r="AI361" s="1"/>
  <c r="AL361" s="1"/>
  <c r="AO361" s="1"/>
  <c r="AQ361" s="1"/>
  <c r="AT361" s="1"/>
  <c r="Q362"/>
  <c r="T362" s="1"/>
  <c r="W362" s="1"/>
  <c r="Z362" s="1"/>
  <c r="AC362" s="1"/>
  <c r="AF362" s="1"/>
  <c r="AI362" s="1"/>
  <c r="AL362" s="1"/>
  <c r="AO362" s="1"/>
  <c r="AQ362" s="1"/>
  <c r="AT362" s="1"/>
  <c r="Q364"/>
  <c r="T364" s="1"/>
  <c r="W364" s="1"/>
  <c r="Z364" s="1"/>
  <c r="AC364" s="1"/>
  <c r="AF364" s="1"/>
  <c r="AI364" s="1"/>
  <c r="AL364" s="1"/>
  <c r="AO364" s="1"/>
  <c r="AQ364" s="1"/>
  <c r="AT364" s="1"/>
  <c r="Q365"/>
  <c r="T365" s="1"/>
  <c r="W365" s="1"/>
  <c r="Z365" s="1"/>
  <c r="AC365" s="1"/>
  <c r="AF365" s="1"/>
  <c r="AI365" s="1"/>
  <c r="AL365" s="1"/>
  <c r="AO365" s="1"/>
  <c r="AQ365" s="1"/>
  <c r="AT365" s="1"/>
  <c r="Q369"/>
  <c r="T369" s="1"/>
  <c r="W369" s="1"/>
  <c r="Z369" s="1"/>
  <c r="AC369" s="1"/>
  <c r="AF369" s="1"/>
  <c r="AI369" s="1"/>
  <c r="AL369" s="1"/>
  <c r="AO369" s="1"/>
  <c r="AQ369" s="1"/>
  <c r="AT369" s="1"/>
  <c r="Q373"/>
  <c r="T373" s="1"/>
  <c r="W373" s="1"/>
  <c r="Z373" s="1"/>
  <c r="AC373" s="1"/>
  <c r="AF373" s="1"/>
  <c r="AI373" s="1"/>
  <c r="AL373" s="1"/>
  <c r="AO373" s="1"/>
  <c r="AQ373" s="1"/>
  <c r="AT373" s="1"/>
  <c r="Q376"/>
  <c r="T376" s="1"/>
  <c r="W376" s="1"/>
  <c r="Z376" s="1"/>
  <c r="AC376" s="1"/>
  <c r="AF376" s="1"/>
  <c r="AI376" s="1"/>
  <c r="AL376" s="1"/>
  <c r="AO376" s="1"/>
  <c r="AQ376" s="1"/>
  <c r="AT376" s="1"/>
  <c r="Q377"/>
  <c r="T377" s="1"/>
  <c r="W377" s="1"/>
  <c r="Z377" s="1"/>
  <c r="AC377" s="1"/>
  <c r="AF377" s="1"/>
  <c r="AI377" s="1"/>
  <c r="AL377" s="1"/>
  <c r="AO377" s="1"/>
  <c r="AQ377" s="1"/>
  <c r="AT377" s="1"/>
  <c r="Q381"/>
  <c r="T381" s="1"/>
  <c r="W381" s="1"/>
  <c r="Z381" s="1"/>
  <c r="AC381" s="1"/>
  <c r="AF381" s="1"/>
  <c r="AI381" s="1"/>
  <c r="AL381" s="1"/>
  <c r="AO381" s="1"/>
  <c r="AQ381" s="1"/>
  <c r="AT381" s="1"/>
  <c r="Q382"/>
  <c r="T382" s="1"/>
  <c r="W382" s="1"/>
  <c r="Z382" s="1"/>
  <c r="AC382" s="1"/>
  <c r="AF382" s="1"/>
  <c r="AI382" s="1"/>
  <c r="AL382" s="1"/>
  <c r="AO382" s="1"/>
  <c r="AQ382" s="1"/>
  <c r="AT382" s="1"/>
  <c r="Q384"/>
  <c r="T384" s="1"/>
  <c r="W384" s="1"/>
  <c r="Z384" s="1"/>
  <c r="AC384" s="1"/>
  <c r="AF384" s="1"/>
  <c r="AI384" s="1"/>
  <c r="AL384" s="1"/>
  <c r="AO384" s="1"/>
  <c r="AQ384" s="1"/>
  <c r="AT384" s="1"/>
  <c r="Q387"/>
  <c r="T387" s="1"/>
  <c r="W387" s="1"/>
  <c r="Z387" s="1"/>
  <c r="AC387" s="1"/>
  <c r="AF387" s="1"/>
  <c r="AI387" s="1"/>
  <c r="AL387" s="1"/>
  <c r="AO387" s="1"/>
  <c r="AQ387" s="1"/>
  <c r="AT387" s="1"/>
  <c r="Q389"/>
  <c r="T389" s="1"/>
  <c r="W389" s="1"/>
  <c r="Z389" s="1"/>
  <c r="AC389" s="1"/>
  <c r="AF389" s="1"/>
  <c r="AI389" s="1"/>
  <c r="AL389" s="1"/>
  <c r="AO389" s="1"/>
  <c r="AQ389" s="1"/>
  <c r="AT389" s="1"/>
  <c r="Q390"/>
  <c r="T390" s="1"/>
  <c r="W390" s="1"/>
  <c r="Z390" s="1"/>
  <c r="AC390" s="1"/>
  <c r="AF390" s="1"/>
  <c r="AI390" s="1"/>
  <c r="AL390" s="1"/>
  <c r="AO390" s="1"/>
  <c r="AQ390" s="1"/>
  <c r="AT390" s="1"/>
  <c r="Q393"/>
  <c r="T393" s="1"/>
  <c r="W393" s="1"/>
  <c r="Z393" s="1"/>
  <c r="AC393" s="1"/>
  <c r="AF393" s="1"/>
  <c r="AI393" s="1"/>
  <c r="AL393" s="1"/>
  <c r="AO393" s="1"/>
  <c r="AQ393" s="1"/>
  <c r="AT393" s="1"/>
  <c r="Q394"/>
  <c r="T394" s="1"/>
  <c r="W394" s="1"/>
  <c r="Z394" s="1"/>
  <c r="AC394" s="1"/>
  <c r="AF394" s="1"/>
  <c r="AI394" s="1"/>
  <c r="AL394" s="1"/>
  <c r="AO394" s="1"/>
  <c r="AQ394" s="1"/>
  <c r="AT394" s="1"/>
  <c r="Q395"/>
  <c r="T395" s="1"/>
  <c r="W395" s="1"/>
  <c r="Z395" s="1"/>
  <c r="AC395" s="1"/>
  <c r="AF395" s="1"/>
  <c r="AI395" s="1"/>
  <c r="AL395" s="1"/>
  <c r="AO395" s="1"/>
  <c r="AQ395" s="1"/>
  <c r="AT395" s="1"/>
  <c r="Q397"/>
  <c r="T397" s="1"/>
  <c r="W397" s="1"/>
  <c r="Z397" s="1"/>
  <c r="AC397" s="1"/>
  <c r="AF397" s="1"/>
  <c r="AI397" s="1"/>
  <c r="AL397" s="1"/>
  <c r="AO397" s="1"/>
  <c r="AQ397" s="1"/>
  <c r="AT397" s="1"/>
  <c r="Q400"/>
  <c r="T400" s="1"/>
  <c r="W400" s="1"/>
  <c r="Z400" s="1"/>
  <c r="AC400" s="1"/>
  <c r="AF400" s="1"/>
  <c r="AI400" s="1"/>
  <c r="AL400" s="1"/>
  <c r="AO400" s="1"/>
  <c r="AQ400" s="1"/>
  <c r="AT400" s="1"/>
  <c r="Q401"/>
  <c r="T401" s="1"/>
  <c r="W401" s="1"/>
  <c r="Z401" s="1"/>
  <c r="AC401" s="1"/>
  <c r="AF401" s="1"/>
  <c r="AI401" s="1"/>
  <c r="AL401" s="1"/>
  <c r="AO401" s="1"/>
  <c r="AQ401" s="1"/>
  <c r="AT401" s="1"/>
  <c r="Q406"/>
  <c r="T406" s="1"/>
  <c r="W406" s="1"/>
  <c r="Z406" s="1"/>
  <c r="AC406" s="1"/>
  <c r="AF406" s="1"/>
  <c r="AI406" s="1"/>
  <c r="AL406" s="1"/>
  <c r="AO406" s="1"/>
  <c r="AQ406" s="1"/>
  <c r="AT406" s="1"/>
  <c r="Q407"/>
  <c r="T407" s="1"/>
  <c r="W407" s="1"/>
  <c r="Z407" s="1"/>
  <c r="AC407" s="1"/>
  <c r="AF407" s="1"/>
  <c r="AI407" s="1"/>
  <c r="AL407" s="1"/>
  <c r="AO407" s="1"/>
  <c r="AQ407" s="1"/>
  <c r="AT407" s="1"/>
  <c r="Q408"/>
  <c r="T408" s="1"/>
  <c r="W408" s="1"/>
  <c r="Z408" s="1"/>
  <c r="AC408" s="1"/>
  <c r="AF408" s="1"/>
  <c r="AI408" s="1"/>
  <c r="AL408" s="1"/>
  <c r="AO408" s="1"/>
  <c r="AQ408" s="1"/>
  <c r="AT408" s="1"/>
  <c r="Q411"/>
  <c r="T411" s="1"/>
  <c r="W411" s="1"/>
  <c r="Z411" s="1"/>
  <c r="AC411" s="1"/>
  <c r="AF411" s="1"/>
  <c r="AI411" s="1"/>
  <c r="AL411" s="1"/>
  <c r="AO411" s="1"/>
  <c r="AQ411" s="1"/>
  <c r="AT411" s="1"/>
  <c r="Q412"/>
  <c r="T412" s="1"/>
  <c r="W412" s="1"/>
  <c r="Z412" s="1"/>
  <c r="AC412" s="1"/>
  <c r="AF412" s="1"/>
  <c r="AI412" s="1"/>
  <c r="AL412" s="1"/>
  <c r="AO412" s="1"/>
  <c r="AQ412" s="1"/>
  <c r="AT412" s="1"/>
  <c r="Q413"/>
  <c r="T413" s="1"/>
  <c r="W413" s="1"/>
  <c r="Z413" s="1"/>
  <c r="AC413" s="1"/>
  <c r="AF413" s="1"/>
  <c r="AI413" s="1"/>
  <c r="AL413" s="1"/>
  <c r="AO413" s="1"/>
  <c r="AQ413" s="1"/>
  <c r="AT413" s="1"/>
  <c r="Q415"/>
  <c r="T415" s="1"/>
  <c r="W415" s="1"/>
  <c r="Z415" s="1"/>
  <c r="AC415" s="1"/>
  <c r="AF415" s="1"/>
  <c r="AI415" s="1"/>
  <c r="AL415" s="1"/>
  <c r="AO415" s="1"/>
  <c r="AQ415" s="1"/>
  <c r="AT415" s="1"/>
  <c r="Q417"/>
  <c r="T417" s="1"/>
  <c r="W417" s="1"/>
  <c r="Z417" s="1"/>
  <c r="AC417" s="1"/>
  <c r="AF417" s="1"/>
  <c r="AI417" s="1"/>
  <c r="AL417" s="1"/>
  <c r="AO417" s="1"/>
  <c r="AQ417" s="1"/>
  <c r="AT417" s="1"/>
  <c r="Q418"/>
  <c r="T418" s="1"/>
  <c r="W418" s="1"/>
  <c r="Z418" s="1"/>
  <c r="AC418" s="1"/>
  <c r="AF418" s="1"/>
  <c r="AI418" s="1"/>
  <c r="AL418" s="1"/>
  <c r="AO418" s="1"/>
  <c r="AQ418" s="1"/>
  <c r="AT418" s="1"/>
  <c r="Q419"/>
  <c r="T419" s="1"/>
  <c r="W419" s="1"/>
  <c r="Z419" s="1"/>
  <c r="AC419" s="1"/>
  <c r="AF419" s="1"/>
  <c r="AI419" s="1"/>
  <c r="AL419" s="1"/>
  <c r="AO419" s="1"/>
  <c r="AQ419" s="1"/>
  <c r="AT419" s="1"/>
  <c r="Q420"/>
  <c r="T420" s="1"/>
  <c r="W420" s="1"/>
  <c r="Z420" s="1"/>
  <c r="AC420" s="1"/>
  <c r="AF420" s="1"/>
  <c r="AI420" s="1"/>
  <c r="AL420" s="1"/>
  <c r="AO420" s="1"/>
  <c r="AQ420" s="1"/>
  <c r="AT420" s="1"/>
  <c r="Q421"/>
  <c r="T421" s="1"/>
  <c r="W421" s="1"/>
  <c r="Z421" s="1"/>
  <c r="AC421" s="1"/>
  <c r="AF421" s="1"/>
  <c r="AI421" s="1"/>
  <c r="AL421" s="1"/>
  <c r="AO421" s="1"/>
  <c r="AQ421" s="1"/>
  <c r="AT421" s="1"/>
  <c r="Q423"/>
  <c r="T423" s="1"/>
  <c r="W423" s="1"/>
  <c r="Z423" s="1"/>
  <c r="AC423" s="1"/>
  <c r="AF423" s="1"/>
  <c r="AI423" s="1"/>
  <c r="AL423" s="1"/>
  <c r="AO423" s="1"/>
  <c r="AQ423" s="1"/>
  <c r="AT423" s="1"/>
  <c r="Q424"/>
  <c r="T424" s="1"/>
  <c r="W424" s="1"/>
  <c r="Z424" s="1"/>
  <c r="AC424" s="1"/>
  <c r="AF424" s="1"/>
  <c r="AI424" s="1"/>
  <c r="AL424" s="1"/>
  <c r="AO424" s="1"/>
  <c r="AQ424" s="1"/>
  <c r="AT424" s="1"/>
  <c r="Q425"/>
  <c r="T425" s="1"/>
  <c r="W425" s="1"/>
  <c r="Z425" s="1"/>
  <c r="AC425" s="1"/>
  <c r="AF425" s="1"/>
  <c r="AI425" s="1"/>
  <c r="AL425" s="1"/>
  <c r="AO425" s="1"/>
  <c r="AQ425" s="1"/>
  <c r="AT425" s="1"/>
  <c r="Q427"/>
  <c r="T427" s="1"/>
  <c r="W427" s="1"/>
  <c r="Z427" s="1"/>
  <c r="AC427" s="1"/>
  <c r="AF427" s="1"/>
  <c r="AI427" s="1"/>
  <c r="AL427" s="1"/>
  <c r="AO427" s="1"/>
  <c r="AQ427" s="1"/>
  <c r="AT427" s="1"/>
  <c r="Q428"/>
  <c r="T428" s="1"/>
  <c r="W428" s="1"/>
  <c r="Z428" s="1"/>
  <c r="AC428" s="1"/>
  <c r="AF428" s="1"/>
  <c r="AI428" s="1"/>
  <c r="AL428" s="1"/>
  <c r="AO428" s="1"/>
  <c r="AQ428" s="1"/>
  <c r="AT428" s="1"/>
  <c r="Q429"/>
  <c r="T429" s="1"/>
  <c r="W429" s="1"/>
  <c r="Z429" s="1"/>
  <c r="AC429" s="1"/>
  <c r="AF429" s="1"/>
  <c r="AI429" s="1"/>
  <c r="AL429" s="1"/>
  <c r="AO429" s="1"/>
  <c r="AQ429" s="1"/>
  <c r="AT429" s="1"/>
  <c r="Q430"/>
  <c r="T430" s="1"/>
  <c r="W430" s="1"/>
  <c r="Z430" s="1"/>
  <c r="AC430" s="1"/>
  <c r="AF430" s="1"/>
  <c r="AI430" s="1"/>
  <c r="AL430" s="1"/>
  <c r="AO430" s="1"/>
  <c r="AQ430" s="1"/>
  <c r="AT430" s="1"/>
  <c r="Q431"/>
  <c r="T431" s="1"/>
  <c r="W431" s="1"/>
  <c r="Z431" s="1"/>
  <c r="AC431" s="1"/>
  <c r="AF431" s="1"/>
  <c r="AI431" s="1"/>
  <c r="AL431" s="1"/>
  <c r="AO431" s="1"/>
  <c r="AQ431" s="1"/>
  <c r="AT431" s="1"/>
  <c r="Q433"/>
  <c r="T433" s="1"/>
  <c r="W433" s="1"/>
  <c r="Z433" s="1"/>
  <c r="AC433" s="1"/>
  <c r="AF433" s="1"/>
  <c r="AI433" s="1"/>
  <c r="AL433" s="1"/>
  <c r="AO433" s="1"/>
  <c r="AQ433" s="1"/>
  <c r="AT433" s="1"/>
  <c r="Q436"/>
  <c r="T436" s="1"/>
  <c r="W436" s="1"/>
  <c r="Z436" s="1"/>
  <c r="AC436" s="1"/>
  <c r="AF436" s="1"/>
  <c r="AI436" s="1"/>
  <c r="AL436" s="1"/>
  <c r="AO436" s="1"/>
  <c r="AQ436" s="1"/>
  <c r="AT436" s="1"/>
  <c r="Q438"/>
  <c r="T438" s="1"/>
  <c r="W438" s="1"/>
  <c r="Z438" s="1"/>
  <c r="AC438" s="1"/>
  <c r="AF438" s="1"/>
  <c r="AI438" s="1"/>
  <c r="AL438" s="1"/>
  <c r="AO438" s="1"/>
  <c r="AQ438" s="1"/>
  <c r="AT438" s="1"/>
  <c r="Q440"/>
  <c r="T440" s="1"/>
  <c r="W440" s="1"/>
  <c r="Z440" s="1"/>
  <c r="AC440" s="1"/>
  <c r="AF440" s="1"/>
  <c r="AI440" s="1"/>
  <c r="AL440" s="1"/>
  <c r="AO440" s="1"/>
  <c r="AQ440" s="1"/>
  <c r="AT440" s="1"/>
  <c r="Q441"/>
  <c r="T441" s="1"/>
  <c r="W441" s="1"/>
  <c r="Z441" s="1"/>
  <c r="AC441" s="1"/>
  <c r="AF441" s="1"/>
  <c r="AI441" s="1"/>
  <c r="AL441" s="1"/>
  <c r="AO441" s="1"/>
  <c r="AQ441" s="1"/>
  <c r="AT441" s="1"/>
  <c r="Q444"/>
  <c r="T444" s="1"/>
  <c r="W444" s="1"/>
  <c r="Z444" s="1"/>
  <c r="AC444" s="1"/>
  <c r="AF444" s="1"/>
  <c r="AI444" s="1"/>
  <c r="AL444" s="1"/>
  <c r="AO444" s="1"/>
  <c r="AQ444" s="1"/>
  <c r="AT444" s="1"/>
  <c r="Q445"/>
  <c r="T445" s="1"/>
  <c r="W445" s="1"/>
  <c r="Z445" s="1"/>
  <c r="AC445" s="1"/>
  <c r="AF445" s="1"/>
  <c r="AI445" s="1"/>
  <c r="AL445" s="1"/>
  <c r="AO445" s="1"/>
  <c r="AQ445" s="1"/>
  <c r="AT445" s="1"/>
  <c r="Q447"/>
  <c r="T447" s="1"/>
  <c r="W447" s="1"/>
  <c r="Z447" s="1"/>
  <c r="AC447" s="1"/>
  <c r="AF447" s="1"/>
  <c r="AI447" s="1"/>
  <c r="AL447" s="1"/>
  <c r="AO447" s="1"/>
  <c r="AQ447" s="1"/>
  <c r="AT447" s="1"/>
  <c r="Q448"/>
  <c r="T448" s="1"/>
  <c r="W448" s="1"/>
  <c r="Z448" s="1"/>
  <c r="AC448" s="1"/>
  <c r="AF448" s="1"/>
  <c r="AI448" s="1"/>
  <c r="AL448" s="1"/>
  <c r="AO448" s="1"/>
  <c r="AQ448" s="1"/>
  <c r="AT448" s="1"/>
  <c r="Q451"/>
  <c r="T451" s="1"/>
  <c r="W451" s="1"/>
  <c r="Z451" s="1"/>
  <c r="AC451" s="1"/>
  <c r="AF451" s="1"/>
  <c r="AI451" s="1"/>
  <c r="AL451" s="1"/>
  <c r="AO451" s="1"/>
  <c r="AQ451" s="1"/>
  <c r="AT451" s="1"/>
  <c r="Q452"/>
  <c r="T452" s="1"/>
  <c r="W452" s="1"/>
  <c r="Z452" s="1"/>
  <c r="AC452" s="1"/>
  <c r="AF452" s="1"/>
  <c r="AI452" s="1"/>
  <c r="AL452" s="1"/>
  <c r="AO452" s="1"/>
  <c r="AQ452" s="1"/>
  <c r="AT452" s="1"/>
  <c r="Q454"/>
  <c r="T454" s="1"/>
  <c r="W454" s="1"/>
  <c r="Z454" s="1"/>
  <c r="AC454" s="1"/>
  <c r="AF454" s="1"/>
  <c r="AI454" s="1"/>
  <c r="AL454" s="1"/>
  <c r="AO454" s="1"/>
  <c r="AQ454" s="1"/>
  <c r="AT454" s="1"/>
  <c r="Q456"/>
  <c r="T456" s="1"/>
  <c r="W456" s="1"/>
  <c r="Z456" s="1"/>
  <c r="AC456" s="1"/>
  <c r="AF456" s="1"/>
  <c r="AI456" s="1"/>
  <c r="AL456" s="1"/>
  <c r="AO456" s="1"/>
  <c r="AQ456" s="1"/>
  <c r="AT456" s="1"/>
  <c r="Q457"/>
  <c r="T457" s="1"/>
  <c r="W457" s="1"/>
  <c r="Z457" s="1"/>
  <c r="AC457" s="1"/>
  <c r="AF457" s="1"/>
  <c r="AI457" s="1"/>
  <c r="AL457" s="1"/>
  <c r="AO457" s="1"/>
  <c r="AQ457" s="1"/>
  <c r="AT457" s="1"/>
  <c r="Q460"/>
  <c r="T460" s="1"/>
  <c r="W460" s="1"/>
  <c r="Z460" s="1"/>
  <c r="AC460" s="1"/>
  <c r="AF460" s="1"/>
  <c r="AI460" s="1"/>
  <c r="AL460" s="1"/>
  <c r="AO460" s="1"/>
  <c r="AQ460" s="1"/>
  <c r="AT460" s="1"/>
  <c r="Q461"/>
  <c r="T461" s="1"/>
  <c r="W461" s="1"/>
  <c r="Z461" s="1"/>
  <c r="AC461" s="1"/>
  <c r="AF461" s="1"/>
  <c r="AI461" s="1"/>
  <c r="AL461" s="1"/>
  <c r="AO461" s="1"/>
  <c r="AQ461" s="1"/>
  <c r="AT461" s="1"/>
  <c r="Q463"/>
  <c r="T463" s="1"/>
  <c r="W463" s="1"/>
  <c r="Z463" s="1"/>
  <c r="AC463" s="1"/>
  <c r="AF463" s="1"/>
  <c r="AI463" s="1"/>
  <c r="AL463" s="1"/>
  <c r="AO463" s="1"/>
  <c r="AQ463" s="1"/>
  <c r="AT463" s="1"/>
  <c r="Q464"/>
  <c r="T464" s="1"/>
  <c r="W464" s="1"/>
  <c r="Z464" s="1"/>
  <c r="AC464" s="1"/>
  <c r="AF464" s="1"/>
  <c r="AI464" s="1"/>
  <c r="AL464" s="1"/>
  <c r="AO464" s="1"/>
  <c r="AQ464" s="1"/>
  <c r="AT464" s="1"/>
  <c r="Q465"/>
  <c r="T465" s="1"/>
  <c r="W465" s="1"/>
  <c r="Z465" s="1"/>
  <c r="AC465" s="1"/>
  <c r="AF465" s="1"/>
  <c r="AI465" s="1"/>
  <c r="AL465" s="1"/>
  <c r="AO465" s="1"/>
  <c r="AQ465" s="1"/>
  <c r="AT465" s="1"/>
  <c r="Q467"/>
  <c r="T467" s="1"/>
  <c r="W467" s="1"/>
  <c r="Z467" s="1"/>
  <c r="AC467" s="1"/>
  <c r="AF467" s="1"/>
  <c r="AI467" s="1"/>
  <c r="AL467" s="1"/>
  <c r="AO467" s="1"/>
  <c r="AQ467" s="1"/>
  <c r="AT467" s="1"/>
  <c r="Q470"/>
  <c r="T470" s="1"/>
  <c r="W470" s="1"/>
  <c r="Z470" s="1"/>
  <c r="AC470" s="1"/>
  <c r="AF470" s="1"/>
  <c r="AI470" s="1"/>
  <c r="AL470" s="1"/>
  <c r="AO470" s="1"/>
  <c r="AQ470" s="1"/>
  <c r="AT470" s="1"/>
  <c r="Q475"/>
  <c r="T475" s="1"/>
  <c r="W475" s="1"/>
  <c r="Z475" s="1"/>
  <c r="AC475" s="1"/>
  <c r="AF475" s="1"/>
  <c r="AI475" s="1"/>
  <c r="AL475" s="1"/>
  <c r="AO475" s="1"/>
  <c r="AQ475" s="1"/>
  <c r="AT475" s="1"/>
  <c r="Q474"/>
  <c r="T474" s="1"/>
  <c r="W474" s="1"/>
  <c r="Z474" s="1"/>
  <c r="AC474" s="1"/>
  <c r="AF474" s="1"/>
  <c r="AI474" s="1"/>
  <c r="AL474" s="1"/>
  <c r="AO474" s="1"/>
  <c r="AQ474" s="1"/>
  <c r="AT474" s="1"/>
  <c r="Q476"/>
  <c r="T476" s="1"/>
  <c r="W476" s="1"/>
  <c r="Z476" s="1"/>
  <c r="AC476" s="1"/>
  <c r="AF476" s="1"/>
  <c r="AI476" s="1"/>
  <c r="AL476" s="1"/>
  <c r="AO476" s="1"/>
  <c r="AQ476" s="1"/>
  <c r="AT476" s="1"/>
  <c r="Q477"/>
  <c r="T477" s="1"/>
  <c r="W477" s="1"/>
  <c r="Z477" s="1"/>
  <c r="AC477" s="1"/>
  <c r="AF477" s="1"/>
  <c r="AI477" s="1"/>
  <c r="AL477" s="1"/>
  <c r="AO477" s="1"/>
  <c r="AQ477" s="1"/>
  <c r="AT477" s="1"/>
  <c r="Q478"/>
  <c r="T478" s="1"/>
  <c r="W478" s="1"/>
  <c r="Z478" s="1"/>
  <c r="AC478" s="1"/>
  <c r="AF478" s="1"/>
  <c r="AI478" s="1"/>
  <c r="AL478" s="1"/>
  <c r="AO478" s="1"/>
  <c r="AQ478" s="1"/>
  <c r="AT478" s="1"/>
  <c r="Q479"/>
  <c r="T479" s="1"/>
  <c r="W479" s="1"/>
  <c r="Z479" s="1"/>
  <c r="AC479" s="1"/>
  <c r="AF479" s="1"/>
  <c r="AI479" s="1"/>
  <c r="AL479" s="1"/>
  <c r="AO479" s="1"/>
  <c r="AQ479" s="1"/>
  <c r="AT479" s="1"/>
  <c r="Q480"/>
  <c r="T480" s="1"/>
  <c r="W480" s="1"/>
  <c r="Z480" s="1"/>
  <c r="AC480" s="1"/>
  <c r="AF480" s="1"/>
  <c r="AI480" s="1"/>
  <c r="AL480" s="1"/>
  <c r="AO480" s="1"/>
  <c r="AQ480" s="1"/>
  <c r="AT480" s="1"/>
  <c r="Q481"/>
  <c r="T481" s="1"/>
  <c r="W481" s="1"/>
  <c r="Z481" s="1"/>
  <c r="AC481" s="1"/>
  <c r="AF481" s="1"/>
  <c r="AI481" s="1"/>
  <c r="AL481" s="1"/>
  <c r="AO481" s="1"/>
  <c r="AQ481" s="1"/>
  <c r="AT481" s="1"/>
  <c r="Q483"/>
  <c r="T483" s="1"/>
  <c r="W483" s="1"/>
  <c r="Z483" s="1"/>
  <c r="AC483" s="1"/>
  <c r="AF483" s="1"/>
  <c r="AI483" s="1"/>
  <c r="AL483" s="1"/>
  <c r="AO483" s="1"/>
  <c r="AQ483" s="1"/>
  <c r="AT483" s="1"/>
  <c r="Q484"/>
  <c r="T484" s="1"/>
  <c r="W484" s="1"/>
  <c r="Z484" s="1"/>
  <c r="AC484" s="1"/>
  <c r="AF484" s="1"/>
  <c r="AI484" s="1"/>
  <c r="AL484" s="1"/>
  <c r="AO484" s="1"/>
  <c r="AQ484" s="1"/>
  <c r="AT484" s="1"/>
  <c r="Q485"/>
  <c r="T485" s="1"/>
  <c r="W485" s="1"/>
  <c r="Z485" s="1"/>
  <c r="AC485" s="1"/>
  <c r="AF485" s="1"/>
  <c r="AI485" s="1"/>
  <c r="AL485" s="1"/>
  <c r="AO485" s="1"/>
  <c r="AQ485" s="1"/>
  <c r="AT485" s="1"/>
  <c r="Q486"/>
  <c r="T486" s="1"/>
  <c r="W486" s="1"/>
  <c r="Z486" s="1"/>
  <c r="AC486" s="1"/>
  <c r="AF486" s="1"/>
  <c r="AI486" s="1"/>
  <c r="AL486" s="1"/>
  <c r="AO486" s="1"/>
  <c r="AQ486" s="1"/>
  <c r="AT486" s="1"/>
  <c r="Q488"/>
  <c r="T488" s="1"/>
  <c r="W488" s="1"/>
  <c r="Z488" s="1"/>
  <c r="AC488" s="1"/>
  <c r="AF488" s="1"/>
  <c r="AI488" s="1"/>
  <c r="AL488" s="1"/>
  <c r="AO488" s="1"/>
  <c r="AQ488" s="1"/>
  <c r="AT488" s="1"/>
  <c r="Q490"/>
  <c r="T490" s="1"/>
  <c r="W490" s="1"/>
  <c r="Z490" s="1"/>
  <c r="AC490" s="1"/>
  <c r="AF490" s="1"/>
  <c r="AI490" s="1"/>
  <c r="AL490" s="1"/>
  <c r="AO490" s="1"/>
  <c r="AQ490" s="1"/>
  <c r="AT490" s="1"/>
  <c r="Q491"/>
  <c r="T491" s="1"/>
  <c r="W491" s="1"/>
  <c r="Z491" s="1"/>
  <c r="AC491" s="1"/>
  <c r="AF491" s="1"/>
  <c r="AI491" s="1"/>
  <c r="AL491" s="1"/>
  <c r="AO491" s="1"/>
  <c r="AQ491" s="1"/>
  <c r="AT491" s="1"/>
  <c r="Q492"/>
  <c r="T492" s="1"/>
  <c r="W492" s="1"/>
  <c r="Z492" s="1"/>
  <c r="AC492" s="1"/>
  <c r="AF492" s="1"/>
  <c r="AI492" s="1"/>
  <c r="AL492" s="1"/>
  <c r="AO492" s="1"/>
  <c r="AQ492" s="1"/>
  <c r="AT492" s="1"/>
  <c r="Q502"/>
  <c r="T502" s="1"/>
  <c r="W502" s="1"/>
  <c r="Z502" s="1"/>
  <c r="AC502" s="1"/>
  <c r="AF502" s="1"/>
  <c r="AI502" s="1"/>
  <c r="AL502" s="1"/>
  <c r="AO502" s="1"/>
  <c r="AQ502" s="1"/>
  <c r="AT502" s="1"/>
  <c r="Q503"/>
  <c r="T503" s="1"/>
  <c r="W503" s="1"/>
  <c r="Z503" s="1"/>
  <c r="AC503" s="1"/>
  <c r="AF503" s="1"/>
  <c r="AI503" s="1"/>
  <c r="AL503" s="1"/>
  <c r="AO503" s="1"/>
  <c r="AQ503" s="1"/>
  <c r="AT503" s="1"/>
  <c r="Q505"/>
  <c r="T505" s="1"/>
  <c r="W505" s="1"/>
  <c r="Z505" s="1"/>
  <c r="AC505" s="1"/>
  <c r="AF505" s="1"/>
  <c r="AI505" s="1"/>
  <c r="AL505" s="1"/>
  <c r="AO505" s="1"/>
  <c r="AQ505" s="1"/>
  <c r="AT505" s="1"/>
  <c r="Q506"/>
  <c r="T506" s="1"/>
  <c r="W506" s="1"/>
  <c r="Z506" s="1"/>
  <c r="AC506" s="1"/>
  <c r="AF506" s="1"/>
  <c r="AI506" s="1"/>
  <c r="AL506" s="1"/>
  <c r="AO506" s="1"/>
  <c r="AQ506" s="1"/>
  <c r="AT506" s="1"/>
  <c r="Q507"/>
  <c r="T507" s="1"/>
  <c r="W507" s="1"/>
  <c r="Z507" s="1"/>
  <c r="AC507" s="1"/>
  <c r="AF507" s="1"/>
  <c r="AI507" s="1"/>
  <c r="AL507" s="1"/>
  <c r="AO507" s="1"/>
  <c r="AQ507" s="1"/>
  <c r="AT507" s="1"/>
  <c r="Q508"/>
  <c r="T508" s="1"/>
  <c r="W508" s="1"/>
  <c r="Z508" s="1"/>
  <c r="AC508" s="1"/>
  <c r="AF508" s="1"/>
  <c r="AI508" s="1"/>
  <c r="AL508" s="1"/>
  <c r="AO508" s="1"/>
  <c r="AQ508" s="1"/>
  <c r="AT508" s="1"/>
  <c r="Q509"/>
  <c r="T509" s="1"/>
  <c r="W509" s="1"/>
  <c r="Z509" s="1"/>
  <c r="AC509" s="1"/>
  <c r="AF509" s="1"/>
  <c r="AI509" s="1"/>
  <c r="AL509" s="1"/>
  <c r="AO509" s="1"/>
  <c r="AQ509" s="1"/>
  <c r="AT509" s="1"/>
  <c r="Q512"/>
  <c r="T512" s="1"/>
  <c r="W512" s="1"/>
  <c r="Z512" s="1"/>
  <c r="AC512" s="1"/>
  <c r="AF512" s="1"/>
  <c r="AI512" s="1"/>
  <c r="AL512" s="1"/>
  <c r="AO512" s="1"/>
  <c r="AQ512" s="1"/>
  <c r="AT512" s="1"/>
  <c r="Q513"/>
  <c r="T513" s="1"/>
  <c r="W513" s="1"/>
  <c r="Z513" s="1"/>
  <c r="AC513" s="1"/>
  <c r="AF513" s="1"/>
  <c r="AI513" s="1"/>
  <c r="AL513" s="1"/>
  <c r="AO513" s="1"/>
  <c r="AQ513" s="1"/>
  <c r="AT513" s="1"/>
  <c r="Q515"/>
  <c r="T515" s="1"/>
  <c r="W515" s="1"/>
  <c r="Z515" s="1"/>
  <c r="AC515" s="1"/>
  <c r="AF515" s="1"/>
  <c r="AI515" s="1"/>
  <c r="AL515" s="1"/>
  <c r="AO515" s="1"/>
  <c r="AQ515" s="1"/>
  <c r="AT515" s="1"/>
  <c r="Q516"/>
  <c r="T516" s="1"/>
  <c r="W516" s="1"/>
  <c r="Z516" s="1"/>
  <c r="AC516" s="1"/>
  <c r="AF516" s="1"/>
  <c r="AI516" s="1"/>
  <c r="AL516" s="1"/>
  <c r="AO516" s="1"/>
  <c r="AQ516" s="1"/>
  <c r="AT516" s="1"/>
  <c r="Q517"/>
  <c r="T517" s="1"/>
  <c r="W517" s="1"/>
  <c r="Z517" s="1"/>
  <c r="AC517" s="1"/>
  <c r="AF517" s="1"/>
  <c r="AI517" s="1"/>
  <c r="AL517" s="1"/>
  <c r="AO517" s="1"/>
  <c r="AQ517" s="1"/>
  <c r="AT517" s="1"/>
  <c r="Q519"/>
  <c r="T519" s="1"/>
  <c r="W519" s="1"/>
  <c r="Z519" s="1"/>
  <c r="AC519" s="1"/>
  <c r="AF519" s="1"/>
  <c r="AI519" s="1"/>
  <c r="AL519" s="1"/>
  <c r="AO519" s="1"/>
  <c r="AQ519" s="1"/>
  <c r="AT519" s="1"/>
  <c r="Q520"/>
  <c r="T520" s="1"/>
  <c r="W520" s="1"/>
  <c r="Z520" s="1"/>
  <c r="AC520" s="1"/>
  <c r="AF520" s="1"/>
  <c r="AI520" s="1"/>
  <c r="AL520" s="1"/>
  <c r="AO520" s="1"/>
  <c r="AQ520" s="1"/>
  <c r="AT520" s="1"/>
  <c r="Q522"/>
  <c r="T522" s="1"/>
  <c r="W522" s="1"/>
  <c r="Z522" s="1"/>
  <c r="AC522" s="1"/>
  <c r="AF522" s="1"/>
  <c r="AI522" s="1"/>
  <c r="AL522" s="1"/>
  <c r="AO522" s="1"/>
  <c r="AQ522" s="1"/>
  <c r="AT522" s="1"/>
  <c r="Q523"/>
  <c r="T523" s="1"/>
  <c r="W523" s="1"/>
  <c r="Z523" s="1"/>
  <c r="AC523" s="1"/>
  <c r="AF523" s="1"/>
  <c r="AI523" s="1"/>
  <c r="AL523" s="1"/>
  <c r="AO523" s="1"/>
  <c r="AQ523" s="1"/>
  <c r="AT523" s="1"/>
  <c r="Q524"/>
  <c r="T524" s="1"/>
  <c r="W524" s="1"/>
  <c r="Z524" s="1"/>
  <c r="AC524" s="1"/>
  <c r="AF524" s="1"/>
  <c r="AI524" s="1"/>
  <c r="AL524" s="1"/>
  <c r="AO524" s="1"/>
  <c r="AQ524" s="1"/>
  <c r="AT524" s="1"/>
  <c r="Q526"/>
  <c r="T526" s="1"/>
  <c r="W526" s="1"/>
  <c r="Z526" s="1"/>
  <c r="AC526" s="1"/>
  <c r="AF526" s="1"/>
  <c r="AI526" s="1"/>
  <c r="AL526" s="1"/>
  <c r="AO526" s="1"/>
  <c r="AQ526" s="1"/>
  <c r="AT526" s="1"/>
  <c r="Q527"/>
  <c r="T527" s="1"/>
  <c r="W527" s="1"/>
  <c r="Z527" s="1"/>
  <c r="AC527" s="1"/>
  <c r="AF527" s="1"/>
  <c r="AI527" s="1"/>
  <c r="AL527" s="1"/>
  <c r="AO527" s="1"/>
  <c r="AQ527" s="1"/>
  <c r="AT527" s="1"/>
  <c r="Q529"/>
  <c r="T529" s="1"/>
  <c r="W529" s="1"/>
  <c r="Z529" s="1"/>
  <c r="AC529" s="1"/>
  <c r="AF529" s="1"/>
  <c r="AI529" s="1"/>
  <c r="AL529" s="1"/>
  <c r="AO529" s="1"/>
  <c r="AQ529" s="1"/>
  <c r="AT529" s="1"/>
  <c r="Q530"/>
  <c r="T530" s="1"/>
  <c r="W530" s="1"/>
  <c r="Z530" s="1"/>
  <c r="AC530" s="1"/>
  <c r="AF530" s="1"/>
  <c r="AI530" s="1"/>
  <c r="AL530" s="1"/>
  <c r="AO530" s="1"/>
  <c r="AQ530" s="1"/>
  <c r="AT530" s="1"/>
  <c r="Q531"/>
  <c r="T531" s="1"/>
  <c r="W531" s="1"/>
  <c r="Z531" s="1"/>
  <c r="AC531" s="1"/>
  <c r="AF531" s="1"/>
  <c r="AI531" s="1"/>
  <c r="AL531" s="1"/>
  <c r="AO531" s="1"/>
  <c r="AQ531" s="1"/>
  <c r="AT531" s="1"/>
  <c r="Q532"/>
  <c r="T532" s="1"/>
  <c r="W532" s="1"/>
  <c r="Z532" s="1"/>
  <c r="AC532" s="1"/>
  <c r="AF532" s="1"/>
  <c r="AI532" s="1"/>
  <c r="AL532" s="1"/>
  <c r="AO532" s="1"/>
  <c r="AQ532" s="1"/>
  <c r="AT532" s="1"/>
  <c r="Q534"/>
  <c r="T534" s="1"/>
  <c r="W534" s="1"/>
  <c r="Z534" s="1"/>
  <c r="AC534" s="1"/>
  <c r="AF534" s="1"/>
  <c r="AI534" s="1"/>
  <c r="AL534" s="1"/>
  <c r="AO534" s="1"/>
  <c r="AQ534" s="1"/>
  <c r="AT534" s="1"/>
  <c r="Q535"/>
  <c r="T535" s="1"/>
  <c r="W535" s="1"/>
  <c r="Z535" s="1"/>
  <c r="AC535" s="1"/>
  <c r="AF535" s="1"/>
  <c r="AI535" s="1"/>
  <c r="AL535" s="1"/>
  <c r="AO535" s="1"/>
  <c r="AQ535" s="1"/>
  <c r="AT535" s="1"/>
  <c r="Q533"/>
  <c r="T533" s="1"/>
  <c r="W533" s="1"/>
  <c r="Z533" s="1"/>
  <c r="AC533" s="1"/>
  <c r="AF533" s="1"/>
  <c r="AI533" s="1"/>
  <c r="AL533" s="1"/>
  <c r="AO533" s="1"/>
  <c r="AQ533" s="1"/>
  <c r="AT533" s="1"/>
  <c r="Q536"/>
  <c r="T536" s="1"/>
  <c r="W536" s="1"/>
  <c r="Z536" s="1"/>
  <c r="AC536" s="1"/>
  <c r="AF536" s="1"/>
  <c r="AI536" s="1"/>
  <c r="AL536" s="1"/>
  <c r="AO536" s="1"/>
  <c r="AQ536" s="1"/>
  <c r="AT536" s="1"/>
  <c r="Q537"/>
  <c r="T537" s="1"/>
  <c r="W537" s="1"/>
  <c r="Z537" s="1"/>
  <c r="AC537" s="1"/>
  <c r="AF537" s="1"/>
  <c r="AI537" s="1"/>
  <c r="AL537" s="1"/>
  <c r="AO537" s="1"/>
  <c r="AQ537" s="1"/>
  <c r="AT537" s="1"/>
  <c r="Q538"/>
  <c r="T538" s="1"/>
  <c r="W538" s="1"/>
  <c r="Z538" s="1"/>
  <c r="AC538" s="1"/>
  <c r="AF538" s="1"/>
  <c r="AI538" s="1"/>
  <c r="AL538" s="1"/>
  <c r="AO538" s="1"/>
  <c r="AQ538" s="1"/>
  <c r="AT538" s="1"/>
  <c r="Q539"/>
  <c r="T539" s="1"/>
  <c r="W539" s="1"/>
  <c r="Z539" s="1"/>
  <c r="AC539" s="1"/>
  <c r="AF539" s="1"/>
  <c r="AI539" s="1"/>
  <c r="AL539" s="1"/>
  <c r="AO539" s="1"/>
  <c r="AQ539" s="1"/>
  <c r="AT539" s="1"/>
  <c r="Q540"/>
  <c r="T540" s="1"/>
  <c r="W540" s="1"/>
  <c r="Z540" s="1"/>
  <c r="AC540" s="1"/>
  <c r="AF540" s="1"/>
  <c r="AI540" s="1"/>
  <c r="AL540" s="1"/>
  <c r="AO540" s="1"/>
  <c r="AQ540" s="1"/>
  <c r="AT540" s="1"/>
  <c r="Q541"/>
  <c r="T541" s="1"/>
  <c r="W541" s="1"/>
  <c r="Z541" s="1"/>
  <c r="AC541" s="1"/>
  <c r="AF541" s="1"/>
  <c r="AI541" s="1"/>
  <c r="AL541" s="1"/>
  <c r="AO541" s="1"/>
  <c r="AQ541" s="1"/>
  <c r="AT541" s="1"/>
  <c r="Q542"/>
  <c r="T542" s="1"/>
  <c r="W542" s="1"/>
  <c r="Z542" s="1"/>
  <c r="AC542" s="1"/>
  <c r="AF542" s="1"/>
  <c r="AI542" s="1"/>
  <c r="AL542" s="1"/>
  <c r="AO542" s="1"/>
  <c r="AQ542" s="1"/>
  <c r="AT542" s="1"/>
  <c r="Q543"/>
  <c r="T543" s="1"/>
  <c r="W543" s="1"/>
  <c r="Z543" s="1"/>
  <c r="AC543" s="1"/>
  <c r="AF543" s="1"/>
  <c r="AI543" s="1"/>
  <c r="AL543" s="1"/>
  <c r="AO543" s="1"/>
  <c r="AQ543" s="1"/>
  <c r="AT543" s="1"/>
  <c r="Q545"/>
  <c r="T545" s="1"/>
  <c r="W545" s="1"/>
  <c r="Z545" s="1"/>
  <c r="AC545" s="1"/>
  <c r="AF545" s="1"/>
  <c r="AI545" s="1"/>
  <c r="AL545" s="1"/>
  <c r="AO545" s="1"/>
  <c r="AQ545" s="1"/>
  <c r="AT545" s="1"/>
  <c r="Q547"/>
  <c r="T547" s="1"/>
  <c r="W547" s="1"/>
  <c r="Z547" s="1"/>
  <c r="AC547" s="1"/>
  <c r="AF547" s="1"/>
  <c r="AI547" s="1"/>
  <c r="AL547" s="1"/>
  <c r="AO547" s="1"/>
  <c r="AQ547" s="1"/>
  <c r="AT547" s="1"/>
  <c r="Q549"/>
  <c r="T549" s="1"/>
  <c r="W549" s="1"/>
  <c r="Z549" s="1"/>
  <c r="AC549" s="1"/>
  <c r="AF549" s="1"/>
  <c r="AI549" s="1"/>
  <c r="AL549" s="1"/>
  <c r="AO549" s="1"/>
  <c r="AQ549" s="1"/>
  <c r="AT549" s="1"/>
  <c r="Q550"/>
  <c r="T550" s="1"/>
  <c r="W550" s="1"/>
  <c r="Z550" s="1"/>
  <c r="AC550" s="1"/>
  <c r="AF550" s="1"/>
  <c r="AI550" s="1"/>
  <c r="AL550" s="1"/>
  <c r="AO550" s="1"/>
  <c r="AQ550" s="1"/>
  <c r="AT550" s="1"/>
  <c r="Q552"/>
  <c r="T552" s="1"/>
  <c r="W552" s="1"/>
  <c r="Z552" s="1"/>
  <c r="AC552" s="1"/>
  <c r="AF552" s="1"/>
  <c r="AI552" s="1"/>
  <c r="AL552" s="1"/>
  <c r="AO552" s="1"/>
  <c r="AQ552" s="1"/>
  <c r="AT552" s="1"/>
  <c r="Q554"/>
  <c r="T554" s="1"/>
  <c r="W554" s="1"/>
  <c r="Z554" s="1"/>
  <c r="AC554" s="1"/>
  <c r="AF554" s="1"/>
  <c r="AI554" s="1"/>
  <c r="AL554" s="1"/>
  <c r="AO554" s="1"/>
  <c r="AQ554" s="1"/>
  <c r="AT554" s="1"/>
  <c r="Q555"/>
  <c r="T555" s="1"/>
  <c r="W555" s="1"/>
  <c r="Z555" s="1"/>
  <c r="AC555" s="1"/>
  <c r="AF555" s="1"/>
  <c r="AI555" s="1"/>
  <c r="AL555" s="1"/>
  <c r="AO555" s="1"/>
  <c r="AQ555" s="1"/>
  <c r="AT555" s="1"/>
  <c r="Q556"/>
  <c r="T556" s="1"/>
  <c r="W556" s="1"/>
  <c r="Z556" s="1"/>
  <c r="AC556" s="1"/>
  <c r="AF556" s="1"/>
  <c r="AI556" s="1"/>
  <c r="AL556" s="1"/>
  <c r="AO556" s="1"/>
  <c r="AQ556" s="1"/>
  <c r="AT556" s="1"/>
  <c r="Q557"/>
  <c r="T557" s="1"/>
  <c r="W557" s="1"/>
  <c r="Z557" s="1"/>
  <c r="AC557" s="1"/>
  <c r="AF557" s="1"/>
  <c r="AI557" s="1"/>
  <c r="AL557" s="1"/>
  <c r="AO557" s="1"/>
  <c r="AQ557" s="1"/>
  <c r="AT557" s="1"/>
  <c r="Q562"/>
  <c r="T562" s="1"/>
  <c r="W562" s="1"/>
  <c r="Z562" s="1"/>
  <c r="AC562" s="1"/>
  <c r="AF562" s="1"/>
  <c r="AI562" s="1"/>
  <c r="AL562" s="1"/>
  <c r="AO562" s="1"/>
  <c r="AQ562" s="1"/>
  <c r="AT562" s="1"/>
  <c r="Q563"/>
  <c r="T563" s="1"/>
  <c r="W563" s="1"/>
  <c r="Z563" s="1"/>
  <c r="AC563" s="1"/>
  <c r="AF563" s="1"/>
  <c r="AI563" s="1"/>
  <c r="AL563" s="1"/>
  <c r="AO563" s="1"/>
  <c r="AQ563" s="1"/>
  <c r="AT563" s="1"/>
  <c r="Q564"/>
  <c r="T564" s="1"/>
  <c r="W564" s="1"/>
  <c r="Z564" s="1"/>
  <c r="AC564" s="1"/>
  <c r="AF564" s="1"/>
  <c r="AI564" s="1"/>
  <c r="AL564" s="1"/>
  <c r="AO564" s="1"/>
  <c r="AQ564" s="1"/>
  <c r="AT564" s="1"/>
  <c r="Q566"/>
  <c r="T566" s="1"/>
  <c r="W566" s="1"/>
  <c r="Z566" s="1"/>
  <c r="AC566" s="1"/>
  <c r="AF566" s="1"/>
  <c r="AI566" s="1"/>
  <c r="AL566" s="1"/>
  <c r="AO566" s="1"/>
  <c r="AQ566" s="1"/>
  <c r="AT566" s="1"/>
  <c r="Q567"/>
  <c r="T567" s="1"/>
  <c r="W567" s="1"/>
  <c r="Z567" s="1"/>
  <c r="AC567" s="1"/>
  <c r="AF567" s="1"/>
  <c r="AI567" s="1"/>
  <c r="AL567" s="1"/>
  <c r="AO567" s="1"/>
  <c r="AQ567" s="1"/>
  <c r="AT567" s="1"/>
  <c r="Q570"/>
  <c r="T570" s="1"/>
  <c r="W570" s="1"/>
  <c r="Z570" s="1"/>
  <c r="AC570" s="1"/>
  <c r="AF570" s="1"/>
  <c r="AI570" s="1"/>
  <c r="AL570" s="1"/>
  <c r="AO570" s="1"/>
  <c r="AQ570" s="1"/>
  <c r="AT570" s="1"/>
  <c r="Q571"/>
  <c r="T571" s="1"/>
  <c r="W571" s="1"/>
  <c r="Z571" s="1"/>
  <c r="AC571" s="1"/>
  <c r="AF571" s="1"/>
  <c r="AI571" s="1"/>
  <c r="AL571" s="1"/>
  <c r="AO571" s="1"/>
  <c r="AQ571" s="1"/>
  <c r="AT571" s="1"/>
  <c r="Q572"/>
  <c r="T572" s="1"/>
  <c r="W572" s="1"/>
  <c r="Z572" s="1"/>
  <c r="AC572" s="1"/>
  <c r="AF572" s="1"/>
  <c r="AI572" s="1"/>
  <c r="AL572" s="1"/>
  <c r="AO572" s="1"/>
  <c r="AQ572" s="1"/>
  <c r="AT572" s="1"/>
  <c r="Q576"/>
  <c r="T576" s="1"/>
  <c r="W576" s="1"/>
  <c r="Z576" s="1"/>
  <c r="AC576" s="1"/>
  <c r="AF576" s="1"/>
  <c r="AI576" s="1"/>
  <c r="AL576" s="1"/>
  <c r="AO576" s="1"/>
  <c r="AQ576" s="1"/>
  <c r="AT576" s="1"/>
  <c r="Q577"/>
  <c r="T577" s="1"/>
  <c r="W577" s="1"/>
  <c r="Z577" s="1"/>
  <c r="AC577" s="1"/>
  <c r="AF577" s="1"/>
  <c r="AI577" s="1"/>
  <c r="AL577" s="1"/>
  <c r="AO577" s="1"/>
  <c r="AQ577" s="1"/>
  <c r="AT577" s="1"/>
  <c r="Q578"/>
  <c r="T578" s="1"/>
  <c r="W578" s="1"/>
  <c r="Z578" s="1"/>
  <c r="AC578" s="1"/>
  <c r="AF578" s="1"/>
  <c r="AI578" s="1"/>
  <c r="AL578" s="1"/>
  <c r="AO578" s="1"/>
  <c r="AQ578" s="1"/>
  <c r="AT578" s="1"/>
  <c r="Q579"/>
  <c r="T579" s="1"/>
  <c r="W579" s="1"/>
  <c r="Z579" s="1"/>
  <c r="AC579" s="1"/>
  <c r="AF579" s="1"/>
  <c r="AI579" s="1"/>
  <c r="AL579" s="1"/>
  <c r="AO579" s="1"/>
  <c r="AQ579" s="1"/>
  <c r="AT579" s="1"/>
  <c r="Q580"/>
  <c r="T580" s="1"/>
  <c r="W580" s="1"/>
  <c r="Z580" s="1"/>
  <c r="AC580" s="1"/>
  <c r="AF580" s="1"/>
  <c r="AI580" s="1"/>
  <c r="AL580" s="1"/>
  <c r="AO580" s="1"/>
  <c r="AQ580" s="1"/>
  <c r="AT580" s="1"/>
  <c r="Q581"/>
  <c r="T581" s="1"/>
  <c r="W581" s="1"/>
  <c r="Z581" s="1"/>
  <c r="AC581" s="1"/>
  <c r="AF581" s="1"/>
  <c r="AI581" s="1"/>
  <c r="AL581" s="1"/>
  <c r="AO581" s="1"/>
  <c r="AQ581" s="1"/>
  <c r="AT581" s="1"/>
  <c r="Q584"/>
  <c r="T584" s="1"/>
  <c r="W584" s="1"/>
  <c r="Z584" s="1"/>
  <c r="AC584" s="1"/>
  <c r="AF584" s="1"/>
  <c r="AI584" s="1"/>
  <c r="AL584" s="1"/>
  <c r="AO584" s="1"/>
  <c r="AQ584" s="1"/>
  <c r="AT584" s="1"/>
  <c r="Q585"/>
  <c r="T585" s="1"/>
  <c r="W585" s="1"/>
  <c r="Z585" s="1"/>
  <c r="AC585" s="1"/>
  <c r="AF585" s="1"/>
  <c r="AI585" s="1"/>
  <c r="AL585" s="1"/>
  <c r="AO585" s="1"/>
  <c r="AQ585" s="1"/>
  <c r="AT585" s="1"/>
  <c r="Q588"/>
  <c r="T588" s="1"/>
  <c r="W588" s="1"/>
  <c r="Z588" s="1"/>
  <c r="AC588" s="1"/>
  <c r="AF588" s="1"/>
  <c r="AI588" s="1"/>
  <c r="AL588" s="1"/>
  <c r="AO588" s="1"/>
  <c r="AQ588" s="1"/>
  <c r="AT588" s="1"/>
  <c r="Q587"/>
  <c r="T587" s="1"/>
  <c r="W587" s="1"/>
  <c r="Z587" s="1"/>
  <c r="AC587" s="1"/>
  <c r="AF587" s="1"/>
  <c r="AI587" s="1"/>
  <c r="AL587" s="1"/>
  <c r="AO587" s="1"/>
  <c r="AQ587" s="1"/>
  <c r="AT587" s="1"/>
  <c r="Q589"/>
  <c r="T589" s="1"/>
  <c r="W589" s="1"/>
  <c r="Z589" s="1"/>
  <c r="AC589" s="1"/>
  <c r="AF589" s="1"/>
  <c r="AI589" s="1"/>
  <c r="AL589" s="1"/>
  <c r="AO589" s="1"/>
  <c r="AQ589" s="1"/>
  <c r="AT589" s="1"/>
  <c r="Q590"/>
  <c r="T590" s="1"/>
  <c r="W590" s="1"/>
  <c r="Z590" s="1"/>
  <c r="AC590" s="1"/>
  <c r="AF590" s="1"/>
  <c r="AI590" s="1"/>
  <c r="AL590" s="1"/>
  <c r="AO590" s="1"/>
  <c r="AQ590" s="1"/>
  <c r="AT590" s="1"/>
  <c r="Q591"/>
  <c r="T591" s="1"/>
  <c r="W591" s="1"/>
  <c r="Z591" s="1"/>
  <c r="AC591" s="1"/>
  <c r="AF591" s="1"/>
  <c r="AI591" s="1"/>
  <c r="AL591" s="1"/>
  <c r="AO591" s="1"/>
  <c r="AQ591" s="1"/>
  <c r="AT591" s="1"/>
  <c r="Q592"/>
  <c r="T592" s="1"/>
  <c r="W592" s="1"/>
  <c r="Z592" s="1"/>
  <c r="AC592" s="1"/>
  <c r="AF592" s="1"/>
  <c r="AI592" s="1"/>
  <c r="AL592" s="1"/>
  <c r="AO592" s="1"/>
  <c r="AQ592" s="1"/>
  <c r="AT592" s="1"/>
  <c r="Q593"/>
  <c r="T593" s="1"/>
  <c r="W593" s="1"/>
  <c r="Z593" s="1"/>
  <c r="AC593" s="1"/>
  <c r="AF593" s="1"/>
  <c r="AI593" s="1"/>
  <c r="AL593" s="1"/>
  <c r="AO593" s="1"/>
  <c r="AQ593" s="1"/>
  <c r="AT593" s="1"/>
  <c r="Q594"/>
  <c r="T594" s="1"/>
  <c r="W594" s="1"/>
  <c r="Z594" s="1"/>
  <c r="AC594" s="1"/>
  <c r="AF594" s="1"/>
  <c r="AI594" s="1"/>
  <c r="AL594" s="1"/>
  <c r="AO594" s="1"/>
  <c r="AQ594" s="1"/>
  <c r="AT594" s="1"/>
  <c r="Q595"/>
  <c r="T595" s="1"/>
  <c r="W595" s="1"/>
  <c r="Z595" s="1"/>
  <c r="AC595" s="1"/>
  <c r="AF595" s="1"/>
  <c r="AI595" s="1"/>
  <c r="AL595" s="1"/>
  <c r="AO595" s="1"/>
  <c r="AQ595" s="1"/>
  <c r="AT595" s="1"/>
  <c r="Q596"/>
  <c r="T596" s="1"/>
  <c r="W596" s="1"/>
  <c r="Z596" s="1"/>
  <c r="AC596" s="1"/>
  <c r="AF596" s="1"/>
  <c r="AI596" s="1"/>
  <c r="AL596" s="1"/>
  <c r="AO596" s="1"/>
  <c r="AQ596" s="1"/>
  <c r="AT596" s="1"/>
  <c r="Q597"/>
  <c r="T597" s="1"/>
  <c r="W597" s="1"/>
  <c r="Z597" s="1"/>
  <c r="AC597" s="1"/>
  <c r="AF597" s="1"/>
  <c r="AI597" s="1"/>
  <c r="AL597" s="1"/>
  <c r="AO597" s="1"/>
  <c r="AQ597" s="1"/>
  <c r="AT597" s="1"/>
  <c r="Q598"/>
  <c r="T598" s="1"/>
  <c r="W598" s="1"/>
  <c r="Z598" s="1"/>
  <c r="AC598" s="1"/>
  <c r="AF598" s="1"/>
  <c r="AI598" s="1"/>
  <c r="AL598" s="1"/>
  <c r="AO598" s="1"/>
  <c r="AQ598" s="1"/>
  <c r="AT598" s="1"/>
  <c r="Q599"/>
  <c r="T599" s="1"/>
  <c r="W599" s="1"/>
  <c r="Z599" s="1"/>
  <c r="AC599" s="1"/>
  <c r="AF599" s="1"/>
  <c r="AI599" s="1"/>
  <c r="AL599" s="1"/>
  <c r="AO599" s="1"/>
  <c r="AQ599" s="1"/>
  <c r="AT599" s="1"/>
  <c r="Q600"/>
  <c r="T600" s="1"/>
  <c r="W600" s="1"/>
  <c r="Z600" s="1"/>
  <c r="AC600" s="1"/>
  <c r="AF600" s="1"/>
  <c r="AI600" s="1"/>
  <c r="AL600" s="1"/>
  <c r="AO600" s="1"/>
  <c r="AQ600" s="1"/>
  <c r="AT600" s="1"/>
  <c r="Q601"/>
  <c r="T601" s="1"/>
  <c r="W601" s="1"/>
  <c r="Z601" s="1"/>
  <c r="AC601" s="1"/>
  <c r="AF601" s="1"/>
  <c r="AI601" s="1"/>
  <c r="AL601" s="1"/>
  <c r="AO601" s="1"/>
  <c r="AQ601" s="1"/>
  <c r="AT601" s="1"/>
  <c r="Q602"/>
  <c r="T602" s="1"/>
  <c r="W602" s="1"/>
  <c r="Z602" s="1"/>
  <c r="AC602" s="1"/>
  <c r="AF602" s="1"/>
  <c r="AI602" s="1"/>
  <c r="AL602" s="1"/>
  <c r="AO602" s="1"/>
  <c r="AQ602" s="1"/>
  <c r="AT602" s="1"/>
  <c r="Q604"/>
  <c r="T604" s="1"/>
  <c r="W604" s="1"/>
  <c r="Z604" s="1"/>
  <c r="AC604" s="1"/>
  <c r="AF604" s="1"/>
  <c r="AI604" s="1"/>
  <c r="AL604" s="1"/>
  <c r="AO604" s="1"/>
  <c r="AQ604" s="1"/>
  <c r="AT604" s="1"/>
  <c r="Q605"/>
  <c r="T605" s="1"/>
  <c r="W605" s="1"/>
  <c r="Z605" s="1"/>
  <c r="AC605" s="1"/>
  <c r="AF605" s="1"/>
  <c r="AI605" s="1"/>
  <c r="AL605" s="1"/>
  <c r="AO605" s="1"/>
  <c r="AQ605" s="1"/>
  <c r="AT605" s="1"/>
  <c r="Q606"/>
  <c r="T606" s="1"/>
  <c r="W606" s="1"/>
  <c r="Z606" s="1"/>
  <c r="AC606" s="1"/>
  <c r="AF606" s="1"/>
  <c r="AI606" s="1"/>
  <c r="AL606" s="1"/>
  <c r="AO606" s="1"/>
  <c r="AQ606" s="1"/>
  <c r="AT606" s="1"/>
  <c r="Q608"/>
  <c r="T608" s="1"/>
  <c r="W608" s="1"/>
  <c r="Z608" s="1"/>
  <c r="AC608" s="1"/>
  <c r="AF608" s="1"/>
  <c r="AI608" s="1"/>
  <c r="AL608" s="1"/>
  <c r="AO608" s="1"/>
  <c r="AQ608" s="1"/>
  <c r="AT608" s="1"/>
  <c r="Q609"/>
  <c r="T609" s="1"/>
  <c r="W609" s="1"/>
  <c r="Z609" s="1"/>
  <c r="AC609" s="1"/>
  <c r="AF609" s="1"/>
  <c r="AI609" s="1"/>
  <c r="AL609" s="1"/>
  <c r="AO609" s="1"/>
  <c r="AQ609" s="1"/>
  <c r="AT609" s="1"/>
  <c r="Q610"/>
  <c r="T610" s="1"/>
  <c r="W610" s="1"/>
  <c r="Z610" s="1"/>
  <c r="AC610" s="1"/>
  <c r="AF610" s="1"/>
  <c r="AI610" s="1"/>
  <c r="AL610" s="1"/>
  <c r="AO610" s="1"/>
  <c r="AQ610" s="1"/>
  <c r="AT610" s="1"/>
  <c r="Q611"/>
  <c r="T611" s="1"/>
  <c r="W611" s="1"/>
  <c r="Z611" s="1"/>
  <c r="AC611" s="1"/>
  <c r="AF611" s="1"/>
  <c r="AI611" s="1"/>
  <c r="AL611" s="1"/>
  <c r="AO611" s="1"/>
  <c r="AQ611" s="1"/>
  <c r="AT611" s="1"/>
  <c r="Q612"/>
  <c r="T612" s="1"/>
  <c r="W612" s="1"/>
  <c r="Z612" s="1"/>
  <c r="AC612" s="1"/>
  <c r="AF612" s="1"/>
  <c r="AI612" s="1"/>
  <c r="AL612" s="1"/>
  <c r="AO612" s="1"/>
  <c r="AQ612" s="1"/>
  <c r="AT612" s="1"/>
  <c r="Q614"/>
  <c r="T614" s="1"/>
  <c r="W614" s="1"/>
  <c r="Z614" s="1"/>
  <c r="AC614" s="1"/>
  <c r="AF614" s="1"/>
  <c r="AI614" s="1"/>
  <c r="AL614" s="1"/>
  <c r="AO614" s="1"/>
  <c r="AQ614" s="1"/>
  <c r="AT614" s="1"/>
  <c r="Q616"/>
  <c r="T616" s="1"/>
  <c r="W616" s="1"/>
  <c r="Z616" s="1"/>
  <c r="AC616" s="1"/>
  <c r="AF616" s="1"/>
  <c r="AI616" s="1"/>
  <c r="AL616" s="1"/>
  <c r="AO616" s="1"/>
  <c r="AQ616" s="1"/>
  <c r="AT616" s="1"/>
  <c r="Q617"/>
  <c r="T617" s="1"/>
  <c r="W617" s="1"/>
  <c r="Z617" s="1"/>
  <c r="AC617" s="1"/>
  <c r="AF617" s="1"/>
  <c r="AI617" s="1"/>
  <c r="AL617" s="1"/>
  <c r="AO617" s="1"/>
  <c r="AQ617" s="1"/>
  <c r="AT617" s="1"/>
  <c r="Q618"/>
  <c r="T618" s="1"/>
  <c r="W618" s="1"/>
  <c r="Z618" s="1"/>
  <c r="AC618" s="1"/>
  <c r="AF618" s="1"/>
  <c r="AI618" s="1"/>
  <c r="AL618" s="1"/>
  <c r="AO618" s="1"/>
  <c r="AQ618" s="1"/>
  <c r="AT618" s="1"/>
  <c r="Q619"/>
  <c r="T619" s="1"/>
  <c r="W619" s="1"/>
  <c r="Z619" s="1"/>
  <c r="AC619" s="1"/>
  <c r="AF619" s="1"/>
  <c r="AI619" s="1"/>
  <c r="AL619" s="1"/>
  <c r="AO619" s="1"/>
  <c r="AQ619" s="1"/>
  <c r="AT619" s="1"/>
  <c r="Q621"/>
  <c r="T621" s="1"/>
  <c r="W621" s="1"/>
  <c r="Z621" s="1"/>
  <c r="AC621" s="1"/>
  <c r="AF621" s="1"/>
  <c r="AI621" s="1"/>
  <c r="AL621" s="1"/>
  <c r="AO621" s="1"/>
  <c r="AQ621" s="1"/>
  <c r="AT621" s="1"/>
  <c r="Q622"/>
  <c r="T622" s="1"/>
  <c r="W622" s="1"/>
  <c r="Z622" s="1"/>
  <c r="AC622" s="1"/>
  <c r="AF622" s="1"/>
  <c r="AI622" s="1"/>
  <c r="AL622" s="1"/>
  <c r="AO622" s="1"/>
  <c r="AQ622" s="1"/>
  <c r="AT622" s="1"/>
  <c r="Q623"/>
  <c r="T623" s="1"/>
  <c r="W623" s="1"/>
  <c r="Z623" s="1"/>
  <c r="AC623" s="1"/>
  <c r="AF623" s="1"/>
  <c r="AI623" s="1"/>
  <c r="AL623" s="1"/>
  <c r="AO623" s="1"/>
  <c r="AQ623" s="1"/>
  <c r="AT623" s="1"/>
  <c r="Q624"/>
  <c r="T624" s="1"/>
  <c r="W624" s="1"/>
  <c r="Z624" s="1"/>
  <c r="AC624" s="1"/>
  <c r="AF624" s="1"/>
  <c r="AI624" s="1"/>
  <c r="AL624" s="1"/>
  <c r="AO624" s="1"/>
  <c r="AQ624" s="1"/>
  <c r="AT624" s="1"/>
  <c r="Q626"/>
  <c r="T626" s="1"/>
  <c r="W626" s="1"/>
  <c r="Z626" s="1"/>
  <c r="AC626" s="1"/>
  <c r="AF626" s="1"/>
  <c r="AI626" s="1"/>
  <c r="AL626" s="1"/>
  <c r="AO626" s="1"/>
  <c r="AQ626" s="1"/>
  <c r="AT626" s="1"/>
  <c r="Q627"/>
  <c r="T627" s="1"/>
  <c r="W627" s="1"/>
  <c r="Z627" s="1"/>
  <c r="AC627" s="1"/>
  <c r="AF627" s="1"/>
  <c r="AI627" s="1"/>
  <c r="AL627" s="1"/>
  <c r="AO627" s="1"/>
  <c r="AQ627" s="1"/>
  <c r="AT627" s="1"/>
  <c r="Q629"/>
  <c r="T629" s="1"/>
  <c r="W629" s="1"/>
  <c r="Z629" s="1"/>
  <c r="AC629" s="1"/>
  <c r="AF629" s="1"/>
  <c r="AI629" s="1"/>
  <c r="AL629" s="1"/>
  <c r="AO629" s="1"/>
  <c r="AQ629" s="1"/>
  <c r="AT629" s="1"/>
  <c r="Q630"/>
  <c r="T630" s="1"/>
  <c r="W630" s="1"/>
  <c r="Z630" s="1"/>
  <c r="AC630" s="1"/>
  <c r="AF630" s="1"/>
  <c r="AI630" s="1"/>
  <c r="AL630" s="1"/>
  <c r="AO630" s="1"/>
  <c r="AQ630" s="1"/>
  <c r="AT630" s="1"/>
  <c r="Q632"/>
  <c r="T632" s="1"/>
  <c r="W632" s="1"/>
  <c r="Z632" s="1"/>
  <c r="AC632" s="1"/>
  <c r="AF632" s="1"/>
  <c r="AI632" s="1"/>
  <c r="AL632" s="1"/>
  <c r="AO632" s="1"/>
  <c r="AQ632" s="1"/>
  <c r="AT632" s="1"/>
  <c r="Q633"/>
  <c r="T633" s="1"/>
  <c r="W633" s="1"/>
  <c r="Z633" s="1"/>
  <c r="AC633" s="1"/>
  <c r="AF633" s="1"/>
  <c r="AI633" s="1"/>
  <c r="AL633" s="1"/>
  <c r="AO633" s="1"/>
  <c r="AQ633" s="1"/>
  <c r="AT633" s="1"/>
  <c r="Q634"/>
  <c r="T634" s="1"/>
  <c r="W634" s="1"/>
  <c r="Z634" s="1"/>
  <c r="AC634" s="1"/>
  <c r="AF634" s="1"/>
  <c r="AI634" s="1"/>
  <c r="AL634" s="1"/>
  <c r="AO634" s="1"/>
  <c r="AQ634" s="1"/>
  <c r="AT634" s="1"/>
  <c r="Q635"/>
  <c r="T635" s="1"/>
  <c r="W635" s="1"/>
  <c r="Z635" s="1"/>
  <c r="AC635" s="1"/>
  <c r="AF635" s="1"/>
  <c r="AI635" s="1"/>
  <c r="AL635" s="1"/>
  <c r="AO635" s="1"/>
  <c r="AQ635" s="1"/>
  <c r="AT635" s="1"/>
  <c r="Q636"/>
  <c r="T636" s="1"/>
  <c r="W636" s="1"/>
  <c r="Z636" s="1"/>
  <c r="AC636" s="1"/>
  <c r="AF636" s="1"/>
  <c r="AI636" s="1"/>
  <c r="AL636" s="1"/>
  <c r="AO636" s="1"/>
  <c r="AQ636" s="1"/>
  <c r="AT636" s="1"/>
  <c r="Q637"/>
  <c r="T637" s="1"/>
  <c r="W637" s="1"/>
  <c r="Z637" s="1"/>
  <c r="AC637" s="1"/>
  <c r="AF637" s="1"/>
  <c r="AI637" s="1"/>
  <c r="AL637" s="1"/>
  <c r="AO637" s="1"/>
  <c r="AQ637" s="1"/>
  <c r="AT637" s="1"/>
  <c r="Q638"/>
  <c r="T638" s="1"/>
  <c r="W638" s="1"/>
  <c r="Z638" s="1"/>
  <c r="AC638" s="1"/>
  <c r="AF638" s="1"/>
  <c r="AI638" s="1"/>
  <c r="AL638" s="1"/>
  <c r="AO638" s="1"/>
  <c r="AQ638" s="1"/>
  <c r="AT638" s="1"/>
  <c r="Q639"/>
  <c r="T639" s="1"/>
  <c r="W639" s="1"/>
  <c r="Z639" s="1"/>
  <c r="AC639" s="1"/>
  <c r="AF639" s="1"/>
  <c r="AI639" s="1"/>
  <c r="AL639" s="1"/>
  <c r="AO639" s="1"/>
  <c r="AQ639" s="1"/>
  <c r="AT639" s="1"/>
  <c r="Q642"/>
  <c r="T642" s="1"/>
  <c r="W642" s="1"/>
  <c r="Z642" s="1"/>
  <c r="AC642" s="1"/>
  <c r="AF642" s="1"/>
  <c r="AI642" s="1"/>
  <c r="AL642" s="1"/>
  <c r="AO642" s="1"/>
  <c r="AQ642" s="1"/>
  <c r="AT642" s="1"/>
  <c r="Q643"/>
  <c r="T643" s="1"/>
  <c r="W643" s="1"/>
  <c r="Z643" s="1"/>
  <c r="AC643" s="1"/>
  <c r="AF643" s="1"/>
  <c r="AI643" s="1"/>
  <c r="AL643" s="1"/>
  <c r="AO643" s="1"/>
  <c r="AQ643" s="1"/>
  <c r="AT643" s="1"/>
  <c r="Q644"/>
  <c r="T644" s="1"/>
  <c r="W644" s="1"/>
  <c r="Z644" s="1"/>
  <c r="AC644" s="1"/>
  <c r="AF644" s="1"/>
  <c r="AI644" s="1"/>
  <c r="AL644" s="1"/>
  <c r="AO644" s="1"/>
  <c r="AQ644" s="1"/>
  <c r="AT644" s="1"/>
  <c r="Q645"/>
  <c r="T645" s="1"/>
  <c r="W645" s="1"/>
  <c r="Z645" s="1"/>
  <c r="AC645" s="1"/>
  <c r="AF645" s="1"/>
  <c r="AI645" s="1"/>
  <c r="AL645" s="1"/>
  <c r="AO645" s="1"/>
  <c r="AQ645" s="1"/>
  <c r="AT645" s="1"/>
  <c r="Q646"/>
  <c r="T646" s="1"/>
  <c r="W646" s="1"/>
  <c r="Z646" s="1"/>
  <c r="AC646" s="1"/>
  <c r="AF646" s="1"/>
  <c r="AI646" s="1"/>
  <c r="AL646" s="1"/>
  <c r="AO646" s="1"/>
  <c r="AQ646" s="1"/>
  <c r="AT646" s="1"/>
  <c r="Q648"/>
  <c r="T648" s="1"/>
  <c r="W648" s="1"/>
  <c r="Z648" s="1"/>
  <c r="AC648" s="1"/>
  <c r="AF648" s="1"/>
  <c r="AI648" s="1"/>
  <c r="AL648" s="1"/>
  <c r="AO648" s="1"/>
  <c r="AQ648" s="1"/>
  <c r="AT648" s="1"/>
  <c r="Q649"/>
  <c r="T649" s="1"/>
  <c r="W649" s="1"/>
  <c r="Z649" s="1"/>
  <c r="AC649" s="1"/>
  <c r="AF649" s="1"/>
  <c r="AI649" s="1"/>
  <c r="AL649" s="1"/>
  <c r="AO649" s="1"/>
  <c r="AQ649" s="1"/>
  <c r="AT649" s="1"/>
  <c r="Q650"/>
  <c r="T650" s="1"/>
  <c r="W650" s="1"/>
  <c r="Z650" s="1"/>
  <c r="AC650" s="1"/>
  <c r="AF650" s="1"/>
  <c r="AI650" s="1"/>
  <c r="AL650" s="1"/>
  <c r="AO650" s="1"/>
  <c r="AQ650" s="1"/>
  <c r="AT650" s="1"/>
  <c r="Q651"/>
  <c r="T651" s="1"/>
  <c r="W651" s="1"/>
  <c r="Z651" s="1"/>
  <c r="AC651" s="1"/>
  <c r="AF651" s="1"/>
  <c r="AI651" s="1"/>
  <c r="AL651" s="1"/>
  <c r="AO651" s="1"/>
  <c r="AQ651" s="1"/>
  <c r="AT651" s="1"/>
  <c r="Q652"/>
  <c r="T652" s="1"/>
  <c r="W652" s="1"/>
  <c r="Z652" s="1"/>
  <c r="AC652" s="1"/>
  <c r="AF652" s="1"/>
  <c r="AI652" s="1"/>
  <c r="AL652" s="1"/>
  <c r="AO652" s="1"/>
  <c r="AQ652" s="1"/>
  <c r="AT652" s="1"/>
  <c r="Q653"/>
  <c r="T653" s="1"/>
  <c r="W653" s="1"/>
  <c r="Z653" s="1"/>
  <c r="AC653" s="1"/>
  <c r="AF653" s="1"/>
  <c r="AI653" s="1"/>
  <c r="AL653" s="1"/>
  <c r="AO653" s="1"/>
  <c r="AQ653" s="1"/>
  <c r="AT653" s="1"/>
  <c r="Q654"/>
  <c r="T654" s="1"/>
  <c r="W654" s="1"/>
  <c r="Z654" s="1"/>
  <c r="AC654" s="1"/>
  <c r="AF654" s="1"/>
  <c r="AI654" s="1"/>
  <c r="AL654" s="1"/>
  <c r="AO654" s="1"/>
  <c r="AQ654" s="1"/>
  <c r="AT654" s="1"/>
  <c r="Q656"/>
  <c r="T656" s="1"/>
  <c r="W656" s="1"/>
  <c r="Z656" s="1"/>
  <c r="AC656" s="1"/>
  <c r="AF656" s="1"/>
  <c r="AI656" s="1"/>
  <c r="AL656" s="1"/>
  <c r="AO656" s="1"/>
  <c r="AQ656" s="1"/>
  <c r="AT656" s="1"/>
  <c r="Q659"/>
  <c r="T659" s="1"/>
  <c r="W659" s="1"/>
  <c r="Z659" s="1"/>
  <c r="AC659" s="1"/>
  <c r="AF659" s="1"/>
  <c r="AI659" s="1"/>
  <c r="AL659" s="1"/>
  <c r="AO659" s="1"/>
  <c r="AQ659" s="1"/>
  <c r="AT659" s="1"/>
  <c r="Q660"/>
  <c r="T660" s="1"/>
  <c r="W660" s="1"/>
  <c r="Z660" s="1"/>
  <c r="AC660" s="1"/>
  <c r="AF660" s="1"/>
  <c r="AI660" s="1"/>
  <c r="AL660" s="1"/>
  <c r="AO660" s="1"/>
  <c r="AQ660" s="1"/>
  <c r="AT660" s="1"/>
  <c r="Q661"/>
  <c r="T661" s="1"/>
  <c r="W661" s="1"/>
  <c r="Z661" s="1"/>
  <c r="AC661" s="1"/>
  <c r="AF661" s="1"/>
  <c r="AI661" s="1"/>
  <c r="AL661" s="1"/>
  <c r="AO661" s="1"/>
  <c r="AQ661" s="1"/>
  <c r="AT661" s="1"/>
  <c r="Q663"/>
  <c r="T663" s="1"/>
  <c r="W663" s="1"/>
  <c r="Z663" s="1"/>
  <c r="AC663" s="1"/>
  <c r="AF663" s="1"/>
  <c r="AI663" s="1"/>
  <c r="AL663" s="1"/>
  <c r="AO663" s="1"/>
  <c r="AQ663" s="1"/>
  <c r="AT663" s="1"/>
  <c r="Q664"/>
  <c r="T664" s="1"/>
  <c r="W664" s="1"/>
  <c r="Z664" s="1"/>
  <c r="AC664" s="1"/>
  <c r="AF664" s="1"/>
  <c r="AI664" s="1"/>
  <c r="AL664" s="1"/>
  <c r="AO664" s="1"/>
  <c r="AQ664" s="1"/>
  <c r="AT664" s="1"/>
  <c r="Q665"/>
  <c r="T665" s="1"/>
  <c r="W665" s="1"/>
  <c r="Z665" s="1"/>
  <c r="AC665" s="1"/>
  <c r="AF665" s="1"/>
  <c r="AI665" s="1"/>
  <c r="AL665" s="1"/>
  <c r="AO665" s="1"/>
  <c r="AQ665" s="1"/>
  <c r="AT665" s="1"/>
  <c r="Q666"/>
  <c r="T666" s="1"/>
  <c r="W666" s="1"/>
  <c r="Z666" s="1"/>
  <c r="AC666" s="1"/>
  <c r="AF666" s="1"/>
  <c r="AI666" s="1"/>
  <c r="AL666" s="1"/>
  <c r="AO666" s="1"/>
  <c r="AQ666" s="1"/>
  <c r="AT666" s="1"/>
  <c r="Q667"/>
  <c r="T667" s="1"/>
  <c r="W667" s="1"/>
  <c r="Z667" s="1"/>
  <c r="AC667" s="1"/>
  <c r="AF667" s="1"/>
  <c r="AI667" s="1"/>
  <c r="AL667" s="1"/>
  <c r="AO667" s="1"/>
  <c r="AQ667" s="1"/>
  <c r="AT667" s="1"/>
  <c r="Q670"/>
  <c r="T670" s="1"/>
  <c r="W670" s="1"/>
  <c r="Z670" s="1"/>
  <c r="AC670" s="1"/>
  <c r="AF670" s="1"/>
  <c r="AI670" s="1"/>
  <c r="AL670" s="1"/>
  <c r="AO670" s="1"/>
  <c r="AQ670" s="1"/>
  <c r="AT670" s="1"/>
  <c r="Q672"/>
  <c r="T672" s="1"/>
  <c r="W672" s="1"/>
  <c r="Z672" s="1"/>
  <c r="AC672" s="1"/>
  <c r="AF672" s="1"/>
  <c r="AI672" s="1"/>
  <c r="AL672" s="1"/>
  <c r="AO672" s="1"/>
  <c r="AQ672" s="1"/>
  <c r="AT672" s="1"/>
  <c r="Q673"/>
  <c r="T673" s="1"/>
  <c r="W673" s="1"/>
  <c r="Z673" s="1"/>
  <c r="AC673" s="1"/>
  <c r="AF673" s="1"/>
  <c r="AI673" s="1"/>
  <c r="AL673" s="1"/>
  <c r="AO673" s="1"/>
  <c r="AQ673" s="1"/>
  <c r="AT673" s="1"/>
  <c r="Q674"/>
  <c r="T674" s="1"/>
  <c r="W674" s="1"/>
  <c r="Z674" s="1"/>
  <c r="AC674" s="1"/>
  <c r="AF674" s="1"/>
  <c r="AI674" s="1"/>
  <c r="AL674" s="1"/>
  <c r="AO674" s="1"/>
  <c r="AQ674" s="1"/>
  <c r="AT674" s="1"/>
  <c r="Q675"/>
  <c r="T675" s="1"/>
  <c r="W675" s="1"/>
  <c r="Z675" s="1"/>
  <c r="AC675" s="1"/>
  <c r="AF675" s="1"/>
  <c r="AI675" s="1"/>
  <c r="AL675" s="1"/>
  <c r="AO675" s="1"/>
  <c r="AQ675" s="1"/>
  <c r="AT675" s="1"/>
  <c r="Q676"/>
  <c r="T676" s="1"/>
  <c r="W676" s="1"/>
  <c r="Z676" s="1"/>
  <c r="AC676" s="1"/>
  <c r="AF676" s="1"/>
  <c r="AI676" s="1"/>
  <c r="AL676" s="1"/>
  <c r="AO676" s="1"/>
  <c r="AQ676" s="1"/>
  <c r="AT676" s="1"/>
  <c r="Q677"/>
  <c r="T677" s="1"/>
  <c r="W677" s="1"/>
  <c r="Z677" s="1"/>
  <c r="AC677" s="1"/>
  <c r="AF677" s="1"/>
  <c r="AI677" s="1"/>
  <c r="AL677" s="1"/>
  <c r="AO677" s="1"/>
  <c r="AQ677" s="1"/>
  <c r="AT677" s="1"/>
  <c r="Q678"/>
  <c r="T678" s="1"/>
  <c r="W678" s="1"/>
  <c r="Z678" s="1"/>
  <c r="AC678" s="1"/>
  <c r="AF678" s="1"/>
  <c r="AI678" s="1"/>
  <c r="AL678" s="1"/>
  <c r="AO678" s="1"/>
  <c r="AQ678" s="1"/>
  <c r="AT678" s="1"/>
  <c r="Q679"/>
  <c r="T679" s="1"/>
  <c r="W679" s="1"/>
  <c r="Z679" s="1"/>
  <c r="AC679" s="1"/>
  <c r="AF679" s="1"/>
  <c r="AI679" s="1"/>
  <c r="AL679" s="1"/>
  <c r="AO679" s="1"/>
  <c r="AQ679" s="1"/>
  <c r="AT679" s="1"/>
  <c r="Q684"/>
  <c r="T684" s="1"/>
  <c r="W684" s="1"/>
  <c r="Z684" s="1"/>
  <c r="AC684" s="1"/>
  <c r="AF684" s="1"/>
  <c r="AI684" s="1"/>
  <c r="AL684" s="1"/>
  <c r="AO684" s="1"/>
  <c r="AQ684" s="1"/>
  <c r="AT684" s="1"/>
  <c r="Q685"/>
  <c r="T685" s="1"/>
  <c r="W685" s="1"/>
  <c r="Z685" s="1"/>
  <c r="AC685" s="1"/>
  <c r="AF685" s="1"/>
  <c r="AI685" s="1"/>
  <c r="AL685" s="1"/>
  <c r="AO685" s="1"/>
  <c r="AQ685" s="1"/>
  <c r="AT685" s="1"/>
  <c r="Q686"/>
  <c r="T686" s="1"/>
  <c r="W686" s="1"/>
  <c r="Z686" s="1"/>
  <c r="AC686" s="1"/>
  <c r="AF686" s="1"/>
  <c r="AI686" s="1"/>
  <c r="AL686" s="1"/>
  <c r="AO686" s="1"/>
  <c r="AQ686" s="1"/>
  <c r="AT686" s="1"/>
  <c r="Q687"/>
  <c r="T687" s="1"/>
  <c r="W687" s="1"/>
  <c r="Z687" s="1"/>
  <c r="AC687" s="1"/>
  <c r="AF687" s="1"/>
  <c r="AI687" s="1"/>
  <c r="AL687" s="1"/>
  <c r="AO687" s="1"/>
  <c r="AQ687" s="1"/>
  <c r="AT687" s="1"/>
  <c r="Q688"/>
  <c r="T688" s="1"/>
  <c r="W688" s="1"/>
  <c r="Z688" s="1"/>
  <c r="AC688" s="1"/>
  <c r="AF688" s="1"/>
  <c r="AI688" s="1"/>
  <c r="AL688" s="1"/>
  <c r="AO688" s="1"/>
  <c r="AQ688" s="1"/>
  <c r="AT688" s="1"/>
  <c r="Q691"/>
  <c r="T691" s="1"/>
  <c r="W691" s="1"/>
  <c r="Z691" s="1"/>
  <c r="AC691" s="1"/>
  <c r="AF691" s="1"/>
  <c r="AI691" s="1"/>
  <c r="AL691" s="1"/>
  <c r="AO691" s="1"/>
  <c r="AQ691" s="1"/>
  <c r="AT691" s="1"/>
  <c r="Q693"/>
  <c r="T693" s="1"/>
  <c r="W693" s="1"/>
  <c r="Z693" s="1"/>
  <c r="AC693" s="1"/>
  <c r="AF693" s="1"/>
  <c r="AI693" s="1"/>
  <c r="AL693" s="1"/>
  <c r="AO693" s="1"/>
  <c r="AQ693" s="1"/>
  <c r="AT693" s="1"/>
  <c r="Q694"/>
  <c r="T694" s="1"/>
  <c r="W694" s="1"/>
  <c r="Z694" s="1"/>
  <c r="AC694" s="1"/>
  <c r="AF694" s="1"/>
  <c r="AI694" s="1"/>
  <c r="AL694" s="1"/>
  <c r="AO694" s="1"/>
  <c r="AQ694" s="1"/>
  <c r="AT694" s="1"/>
  <c r="Q695"/>
  <c r="T695" s="1"/>
  <c r="W695" s="1"/>
  <c r="Z695" s="1"/>
  <c r="AC695" s="1"/>
  <c r="AF695" s="1"/>
  <c r="AI695" s="1"/>
  <c r="AL695" s="1"/>
  <c r="AO695" s="1"/>
  <c r="AQ695" s="1"/>
  <c r="AT695" s="1"/>
  <c r="Q696"/>
  <c r="T696" s="1"/>
  <c r="W696" s="1"/>
  <c r="Z696" s="1"/>
  <c r="AC696" s="1"/>
  <c r="AF696" s="1"/>
  <c r="AI696" s="1"/>
  <c r="AL696" s="1"/>
  <c r="AO696" s="1"/>
  <c r="AQ696" s="1"/>
  <c r="AT696" s="1"/>
  <c r="Q697"/>
  <c r="T697" s="1"/>
  <c r="W697" s="1"/>
  <c r="Z697" s="1"/>
  <c r="AC697" s="1"/>
  <c r="AF697" s="1"/>
  <c r="AI697" s="1"/>
  <c r="AL697" s="1"/>
  <c r="AO697" s="1"/>
  <c r="AQ697" s="1"/>
  <c r="AT697" s="1"/>
  <c r="Q699"/>
  <c r="T699" s="1"/>
  <c r="W699" s="1"/>
  <c r="Z699" s="1"/>
  <c r="AC699" s="1"/>
  <c r="AF699" s="1"/>
  <c r="AI699" s="1"/>
  <c r="AL699" s="1"/>
  <c r="AO699" s="1"/>
  <c r="AQ699" s="1"/>
  <c r="AT699" s="1"/>
  <c r="Q700"/>
  <c r="T700" s="1"/>
  <c r="W700" s="1"/>
  <c r="Z700" s="1"/>
  <c r="AC700" s="1"/>
  <c r="AF700" s="1"/>
  <c r="AI700" s="1"/>
  <c r="AL700" s="1"/>
  <c r="AO700" s="1"/>
  <c r="AQ700" s="1"/>
  <c r="AT700" s="1"/>
  <c r="Q701"/>
  <c r="T701" s="1"/>
  <c r="W701" s="1"/>
  <c r="Z701" s="1"/>
  <c r="AC701" s="1"/>
  <c r="AF701" s="1"/>
  <c r="AI701" s="1"/>
  <c r="AL701" s="1"/>
  <c r="AO701" s="1"/>
  <c r="AQ701" s="1"/>
  <c r="AT701" s="1"/>
  <c r="Q703"/>
  <c r="T703" s="1"/>
  <c r="W703" s="1"/>
  <c r="Z703" s="1"/>
  <c r="AC703" s="1"/>
  <c r="AF703" s="1"/>
  <c r="AI703" s="1"/>
  <c r="AL703" s="1"/>
  <c r="AO703" s="1"/>
  <c r="AQ703" s="1"/>
  <c r="AT703" s="1"/>
  <c r="Q704"/>
  <c r="T704" s="1"/>
  <c r="W704" s="1"/>
  <c r="Z704" s="1"/>
  <c r="AC704" s="1"/>
  <c r="AF704" s="1"/>
  <c r="AI704" s="1"/>
  <c r="AL704" s="1"/>
  <c r="AO704" s="1"/>
  <c r="AQ704" s="1"/>
  <c r="AT704" s="1"/>
  <c r="Q705"/>
  <c r="T705" s="1"/>
  <c r="W705" s="1"/>
  <c r="Z705" s="1"/>
  <c r="AC705" s="1"/>
  <c r="AF705" s="1"/>
  <c r="AI705" s="1"/>
  <c r="AL705" s="1"/>
  <c r="AO705" s="1"/>
  <c r="AQ705" s="1"/>
  <c r="AT705" s="1"/>
  <c r="Q707"/>
  <c r="T707" s="1"/>
  <c r="W707" s="1"/>
  <c r="Z707" s="1"/>
  <c r="AC707" s="1"/>
  <c r="AF707" s="1"/>
  <c r="AI707" s="1"/>
  <c r="AL707" s="1"/>
  <c r="AO707" s="1"/>
  <c r="AQ707" s="1"/>
  <c r="AT707" s="1"/>
  <c r="Q712"/>
  <c r="T712" s="1"/>
  <c r="W712" s="1"/>
  <c r="Z712" s="1"/>
  <c r="AC712" s="1"/>
  <c r="AF712" s="1"/>
  <c r="AI712" s="1"/>
  <c r="AL712" s="1"/>
  <c r="AO712" s="1"/>
  <c r="AQ712" s="1"/>
  <c r="AT712" s="1"/>
  <c r="Q713"/>
  <c r="T713" s="1"/>
  <c r="W713" s="1"/>
  <c r="Z713" s="1"/>
  <c r="AC713" s="1"/>
  <c r="AF713" s="1"/>
  <c r="AI713" s="1"/>
  <c r="AL713" s="1"/>
  <c r="AO713" s="1"/>
  <c r="AQ713" s="1"/>
  <c r="AT713" s="1"/>
  <c r="Q714"/>
  <c r="T714" s="1"/>
  <c r="W714" s="1"/>
  <c r="Z714" s="1"/>
  <c r="AC714" s="1"/>
  <c r="AF714" s="1"/>
  <c r="AI714" s="1"/>
  <c r="AL714" s="1"/>
  <c r="AO714" s="1"/>
  <c r="AQ714" s="1"/>
  <c r="AT714" s="1"/>
  <c r="Q715"/>
  <c r="T715" s="1"/>
  <c r="W715" s="1"/>
  <c r="Z715" s="1"/>
  <c r="AC715" s="1"/>
  <c r="AF715" s="1"/>
  <c r="AI715" s="1"/>
  <c r="AL715" s="1"/>
  <c r="AO715" s="1"/>
  <c r="AQ715" s="1"/>
  <c r="AT715" s="1"/>
  <c r="Q717"/>
  <c r="T717" s="1"/>
  <c r="W717" s="1"/>
  <c r="Z717" s="1"/>
  <c r="AC717" s="1"/>
  <c r="AF717" s="1"/>
  <c r="AI717" s="1"/>
  <c r="AL717" s="1"/>
  <c r="AO717" s="1"/>
  <c r="AQ717" s="1"/>
  <c r="AT717" s="1"/>
  <c r="Q718"/>
  <c r="T718" s="1"/>
  <c r="W718" s="1"/>
  <c r="Z718" s="1"/>
  <c r="AC718" s="1"/>
  <c r="AF718" s="1"/>
  <c r="AI718" s="1"/>
  <c r="AL718" s="1"/>
  <c r="AO718" s="1"/>
  <c r="AQ718" s="1"/>
  <c r="AT718" s="1"/>
  <c r="Q719"/>
  <c r="T719" s="1"/>
  <c r="W719" s="1"/>
  <c r="Z719" s="1"/>
  <c r="AC719" s="1"/>
  <c r="AF719" s="1"/>
  <c r="AI719" s="1"/>
  <c r="AL719" s="1"/>
  <c r="AO719" s="1"/>
  <c r="AQ719" s="1"/>
  <c r="AT719" s="1"/>
  <c r="Q720"/>
  <c r="T720" s="1"/>
  <c r="W720" s="1"/>
  <c r="Z720" s="1"/>
  <c r="AC720" s="1"/>
  <c r="AF720" s="1"/>
  <c r="AI720" s="1"/>
  <c r="AL720" s="1"/>
  <c r="AO720" s="1"/>
  <c r="AQ720" s="1"/>
  <c r="AT720" s="1"/>
  <c r="Q722"/>
  <c r="T722" s="1"/>
  <c r="W722" s="1"/>
  <c r="Z722" s="1"/>
  <c r="AC722" s="1"/>
  <c r="AF722" s="1"/>
  <c r="AI722" s="1"/>
  <c r="AL722" s="1"/>
  <c r="AO722" s="1"/>
  <c r="AQ722" s="1"/>
  <c r="AT722" s="1"/>
  <c r="Q723"/>
  <c r="T723" s="1"/>
  <c r="W723" s="1"/>
  <c r="Z723" s="1"/>
  <c r="AC723" s="1"/>
  <c r="AF723" s="1"/>
  <c r="AI723" s="1"/>
  <c r="AL723" s="1"/>
  <c r="AO723" s="1"/>
  <c r="AQ723" s="1"/>
  <c r="AT723" s="1"/>
  <c r="Q724"/>
  <c r="T724" s="1"/>
  <c r="W724" s="1"/>
  <c r="Z724" s="1"/>
  <c r="AC724" s="1"/>
  <c r="AF724" s="1"/>
  <c r="AI724" s="1"/>
  <c r="AL724" s="1"/>
  <c r="AO724" s="1"/>
  <c r="AQ724" s="1"/>
  <c r="AT724" s="1"/>
  <c r="Q725"/>
  <c r="T725" s="1"/>
  <c r="W725" s="1"/>
  <c r="Z725" s="1"/>
  <c r="AC725" s="1"/>
  <c r="AF725" s="1"/>
  <c r="AI725" s="1"/>
  <c r="AL725" s="1"/>
  <c r="AO725" s="1"/>
  <c r="AQ725" s="1"/>
  <c r="AT725" s="1"/>
  <c r="Q727"/>
  <c r="T727" s="1"/>
  <c r="W727" s="1"/>
  <c r="Z727" s="1"/>
  <c r="AC727" s="1"/>
  <c r="AF727" s="1"/>
  <c r="AI727" s="1"/>
  <c r="AL727" s="1"/>
  <c r="AO727" s="1"/>
  <c r="AQ727" s="1"/>
  <c r="AT727" s="1"/>
  <c r="Q734"/>
  <c r="T734" s="1"/>
  <c r="W734" s="1"/>
  <c r="Z734" s="1"/>
  <c r="AC734" s="1"/>
  <c r="AF734" s="1"/>
  <c r="AI734" s="1"/>
  <c r="AL734" s="1"/>
  <c r="AO734" s="1"/>
  <c r="AQ734" s="1"/>
  <c r="AT734" s="1"/>
  <c r="Q735"/>
  <c r="T735" s="1"/>
  <c r="W735" s="1"/>
  <c r="Z735" s="1"/>
  <c r="AC735" s="1"/>
  <c r="AF735" s="1"/>
  <c r="AI735" s="1"/>
  <c r="AL735" s="1"/>
  <c r="AO735" s="1"/>
  <c r="AQ735" s="1"/>
  <c r="AT735" s="1"/>
  <c r="Q737"/>
  <c r="T737" s="1"/>
  <c r="W737" s="1"/>
  <c r="Z737" s="1"/>
  <c r="AC737" s="1"/>
  <c r="AF737" s="1"/>
  <c r="AI737" s="1"/>
  <c r="AL737" s="1"/>
  <c r="AO737" s="1"/>
  <c r="AQ737" s="1"/>
  <c r="AT737" s="1"/>
  <c r="Q739"/>
  <c r="T739" s="1"/>
  <c r="W739" s="1"/>
  <c r="Z739" s="1"/>
  <c r="AC739" s="1"/>
  <c r="AF739" s="1"/>
  <c r="AI739" s="1"/>
  <c r="AL739" s="1"/>
  <c r="AO739" s="1"/>
  <c r="AQ739" s="1"/>
  <c r="AT739" s="1"/>
  <c r="Q742"/>
  <c r="T742" s="1"/>
  <c r="W742" s="1"/>
  <c r="Z742" s="1"/>
  <c r="AC742" s="1"/>
  <c r="AF742" s="1"/>
  <c r="AI742" s="1"/>
  <c r="AL742" s="1"/>
  <c r="AO742" s="1"/>
  <c r="AQ742" s="1"/>
  <c r="AT742" s="1"/>
  <c r="Q747"/>
  <c r="T747" s="1"/>
  <c r="W747" s="1"/>
  <c r="Z747" s="1"/>
  <c r="AC747" s="1"/>
  <c r="AF747" s="1"/>
  <c r="AI747" s="1"/>
  <c r="AL747" s="1"/>
  <c r="AO747" s="1"/>
  <c r="AQ747" s="1"/>
  <c r="AT747" s="1"/>
  <c r="Q748"/>
  <c r="T748" s="1"/>
  <c r="W748" s="1"/>
  <c r="Z748" s="1"/>
  <c r="AC748" s="1"/>
  <c r="AF748" s="1"/>
  <c r="AI748" s="1"/>
  <c r="AL748" s="1"/>
  <c r="AO748" s="1"/>
  <c r="AQ748" s="1"/>
  <c r="AT748" s="1"/>
  <c r="Q749"/>
  <c r="T749" s="1"/>
  <c r="W749" s="1"/>
  <c r="Z749" s="1"/>
  <c r="AC749" s="1"/>
  <c r="AF749" s="1"/>
  <c r="AI749" s="1"/>
  <c r="AL749" s="1"/>
  <c r="AO749" s="1"/>
  <c r="AQ749" s="1"/>
  <c r="AT749" s="1"/>
  <c r="Q750"/>
  <c r="T750" s="1"/>
  <c r="W750" s="1"/>
  <c r="Z750" s="1"/>
  <c r="AC750" s="1"/>
  <c r="AF750" s="1"/>
  <c r="AI750" s="1"/>
  <c r="AL750" s="1"/>
  <c r="AO750" s="1"/>
  <c r="AQ750" s="1"/>
  <c r="AT750" s="1"/>
  <c r="Q751"/>
  <c r="T751" s="1"/>
  <c r="W751" s="1"/>
  <c r="Z751" s="1"/>
  <c r="AC751" s="1"/>
  <c r="AF751" s="1"/>
  <c r="AI751" s="1"/>
  <c r="AL751" s="1"/>
  <c r="AO751" s="1"/>
  <c r="AQ751" s="1"/>
  <c r="AT751" s="1"/>
  <c r="Q752"/>
  <c r="T752" s="1"/>
  <c r="W752" s="1"/>
  <c r="Z752" s="1"/>
  <c r="AC752" s="1"/>
  <c r="AF752" s="1"/>
  <c r="AI752" s="1"/>
  <c r="AL752" s="1"/>
  <c r="AO752" s="1"/>
  <c r="AQ752" s="1"/>
  <c r="AT752" s="1"/>
  <c r="Q753"/>
  <c r="T753" s="1"/>
  <c r="W753" s="1"/>
  <c r="Z753" s="1"/>
  <c r="AC753" s="1"/>
  <c r="AF753" s="1"/>
  <c r="AI753" s="1"/>
  <c r="AL753" s="1"/>
  <c r="AO753" s="1"/>
  <c r="AQ753" s="1"/>
  <c r="AT753" s="1"/>
  <c r="Q759"/>
  <c r="T759" s="1"/>
  <c r="W759" s="1"/>
  <c r="Z759" s="1"/>
  <c r="AC759" s="1"/>
  <c r="AF759" s="1"/>
  <c r="AI759" s="1"/>
  <c r="AL759" s="1"/>
  <c r="AO759" s="1"/>
  <c r="AQ759" s="1"/>
  <c r="AT759" s="1"/>
  <c r="Q763"/>
  <c r="T763" s="1"/>
  <c r="W763" s="1"/>
  <c r="Z763" s="1"/>
  <c r="AC763" s="1"/>
  <c r="AF763" s="1"/>
  <c r="AI763" s="1"/>
  <c r="AL763" s="1"/>
  <c r="AO763" s="1"/>
  <c r="AQ763" s="1"/>
  <c r="AT763" s="1"/>
  <c r="Q766"/>
  <c r="T766" s="1"/>
  <c r="W766" s="1"/>
  <c r="Z766" s="1"/>
  <c r="AC766" s="1"/>
  <c r="AF766" s="1"/>
  <c r="AI766" s="1"/>
  <c r="AL766" s="1"/>
  <c r="AO766" s="1"/>
  <c r="AQ766" s="1"/>
  <c r="AT766" s="1"/>
  <c r="Q767"/>
  <c r="T767" s="1"/>
  <c r="W767" s="1"/>
  <c r="Z767" s="1"/>
  <c r="AC767" s="1"/>
  <c r="AF767" s="1"/>
  <c r="AI767" s="1"/>
  <c r="AL767" s="1"/>
  <c r="AO767" s="1"/>
  <c r="AQ767" s="1"/>
  <c r="AT767" s="1"/>
  <c r="Q770"/>
  <c r="T770" s="1"/>
  <c r="W770" s="1"/>
  <c r="Z770" s="1"/>
  <c r="AC770" s="1"/>
  <c r="AF770" s="1"/>
  <c r="AI770" s="1"/>
  <c r="AL770" s="1"/>
  <c r="AO770" s="1"/>
  <c r="AQ770" s="1"/>
  <c r="AT770" s="1"/>
  <c r="Q771"/>
  <c r="T771" s="1"/>
  <c r="W771" s="1"/>
  <c r="Z771" s="1"/>
  <c r="AC771" s="1"/>
  <c r="AF771" s="1"/>
  <c r="AI771" s="1"/>
  <c r="AL771" s="1"/>
  <c r="AO771" s="1"/>
  <c r="AQ771" s="1"/>
  <c r="AT771" s="1"/>
  <c r="Q772"/>
  <c r="T772" s="1"/>
  <c r="W772" s="1"/>
  <c r="Z772" s="1"/>
  <c r="AC772" s="1"/>
  <c r="AF772" s="1"/>
  <c r="AI772" s="1"/>
  <c r="AL772" s="1"/>
  <c r="AO772" s="1"/>
  <c r="AQ772" s="1"/>
  <c r="AT772" s="1"/>
  <c r="Q777"/>
  <c r="T777" s="1"/>
  <c r="W777" s="1"/>
  <c r="Z777" s="1"/>
  <c r="AC777" s="1"/>
  <c r="AF777" s="1"/>
  <c r="AI777" s="1"/>
  <c r="AL777" s="1"/>
  <c r="AO777" s="1"/>
  <c r="AQ777" s="1"/>
  <c r="AT777" s="1"/>
  <c r="O781"/>
  <c r="O780"/>
  <c r="M781"/>
  <c r="M780"/>
  <c r="O779"/>
  <c r="Q10"/>
  <c r="T10" s="1"/>
  <c r="W10" s="1"/>
  <c r="Z10" s="1"/>
  <c r="AC10" s="1"/>
  <c r="AF10" s="1"/>
  <c r="AI10" s="1"/>
  <c r="AL10" s="1"/>
  <c r="AO10" s="1"/>
  <c r="AQ10" s="1"/>
  <c r="AT10" s="1"/>
  <c r="A10" i="21"/>
  <c r="A11" s="1"/>
  <c r="M779" i="2"/>
  <c r="K781"/>
  <c r="K780"/>
  <c r="K779"/>
  <c r="E781"/>
  <c r="E780"/>
  <c r="G781"/>
  <c r="G780"/>
  <c r="G779"/>
  <c r="E779"/>
  <c r="I781"/>
  <c r="I780"/>
  <c r="I779"/>
  <c r="F39" i="27" l="1"/>
</calcChain>
</file>

<file path=xl/sharedStrings.xml><?xml version="1.0" encoding="utf-8"?>
<sst xmlns="http://schemas.openxmlformats.org/spreadsheetml/2006/main" count="2129" uniqueCount="900">
  <si>
    <t>PB</t>
  </si>
  <si>
    <t>Time</t>
  </si>
  <si>
    <t>Aaron Moldrich</t>
  </si>
  <si>
    <t>Emily Cavanagh</t>
  </si>
  <si>
    <t>John Evans</t>
  </si>
  <si>
    <t>Peter Whalan</t>
  </si>
  <si>
    <t>Shruti Iyer</t>
  </si>
  <si>
    <t>Brodie Nankervis</t>
  </si>
  <si>
    <t>Emily Hinton</t>
  </si>
  <si>
    <t>Josephine Sliferski</t>
  </si>
  <si>
    <t>Phillipa Mitchell</t>
  </si>
  <si>
    <t>Simon Bowly</t>
  </si>
  <si>
    <t>Aidan Powers</t>
  </si>
  <si>
    <t>Caleb Smibert</t>
  </si>
  <si>
    <t>Esther Tseng</t>
  </si>
  <si>
    <t>Joshua Nelson-Smith</t>
  </si>
  <si>
    <t>Megan Spencer-Smith</t>
  </si>
  <si>
    <t>Prasad Palanisany</t>
  </si>
  <si>
    <t>Simon Eades</t>
  </si>
  <si>
    <t>Alasdair Wood</t>
  </si>
  <si>
    <t>Carolin Heller</t>
  </si>
  <si>
    <t>Meghan Griffin</t>
  </si>
  <si>
    <t>Priscilla Baroni</t>
  </si>
  <si>
    <t>Simon Lindsay</t>
  </si>
  <si>
    <t>Aleisha Boak</t>
  </si>
  <si>
    <t>Caroline Lam</t>
  </si>
  <si>
    <t>Melissa Curtis</t>
  </si>
  <si>
    <t>Simon Rouse</t>
  </si>
  <si>
    <t>Alex Jakimow</t>
  </si>
  <si>
    <t>Cass Higham</t>
  </si>
  <si>
    <t>Julian Ratcliffe</t>
  </si>
  <si>
    <t>Melissa Perez</t>
  </si>
  <si>
    <t>Prue Ashton</t>
  </si>
  <si>
    <t>Stefanie Dudczig</t>
  </si>
  <si>
    <t>Catherine Wheeler</t>
  </si>
  <si>
    <t>Gowda Lingappa</t>
  </si>
  <si>
    <t>Julia Knoumes</t>
  </si>
  <si>
    <t>Melissa Wartman</t>
  </si>
  <si>
    <t>Rachael Low</t>
  </si>
  <si>
    <t>Stefani Janson</t>
  </si>
  <si>
    <t>Alexa Sakkal</t>
  </si>
  <si>
    <t>Chaminee Ilangakoon</t>
  </si>
  <si>
    <t>Graeme Pickering</t>
  </si>
  <si>
    <t>Justin Stepnell</t>
  </si>
  <si>
    <t>Meng Lor</t>
  </si>
  <si>
    <t>Rachel Paule</t>
  </si>
  <si>
    <t>Stephen Enciso</t>
  </si>
  <si>
    <t>Alexandra Mitchell</t>
  </si>
  <si>
    <t>Chris Allan</t>
  </si>
  <si>
    <t>Graham Black</t>
  </si>
  <si>
    <t>Kai Wang</t>
  </si>
  <si>
    <t>Mervyn Dauer</t>
  </si>
  <si>
    <t>Steven Bonfadini</t>
  </si>
  <si>
    <t>Chris Culhane</t>
  </si>
  <si>
    <t>Graham Coutts</t>
  </si>
  <si>
    <t>Kara Gilbert</t>
  </si>
  <si>
    <t>Michael Asquith</t>
  </si>
  <si>
    <t>Steven Toppi</t>
  </si>
  <si>
    <t>Amanda Taylor</t>
  </si>
  <si>
    <t>Claire O'Reilly</t>
  </si>
  <si>
    <t>Hana Shiraj</t>
  </si>
  <si>
    <t>Michael Comport</t>
  </si>
  <si>
    <t>Stuart Walpole</t>
  </si>
  <si>
    <t>Claire Walpole</t>
  </si>
  <si>
    <t>Harrison Capper</t>
  </si>
  <si>
    <t>Kate Wambeek</t>
  </si>
  <si>
    <t>Molly Woolford</t>
  </si>
  <si>
    <t>Raluca Comanici</t>
  </si>
  <si>
    <t>Sukhdeep Batra</t>
  </si>
  <si>
    <t>Amir Hossien</t>
  </si>
  <si>
    <t>Heleen vande Coevering</t>
  </si>
  <si>
    <t>Monica Gonzalez</t>
  </si>
  <si>
    <t>Raquel Vaz</t>
  </si>
  <si>
    <t>Surabhi Kumble</t>
  </si>
  <si>
    <t>Amy Pollock-Hall</t>
  </si>
  <si>
    <t>Claudia Brick</t>
  </si>
  <si>
    <t>Ian Henderson</t>
  </si>
  <si>
    <t>Kevin Yap</t>
  </si>
  <si>
    <t>Moritz Niederfeld</t>
  </si>
  <si>
    <t>Rasoul Husaini</t>
  </si>
  <si>
    <t>Tahalia Lahiff</t>
  </si>
  <si>
    <t>Clement Wong</t>
  </si>
  <si>
    <t>Mutsumi Karasaki</t>
  </si>
  <si>
    <t>Rebecca Beagley</t>
  </si>
  <si>
    <t>Tanmeet Kaur</t>
  </si>
  <si>
    <t>Andrea Fullagar</t>
  </si>
  <si>
    <t>Conor Dunleavy</t>
  </si>
  <si>
    <t>Isaac Fong</t>
  </si>
  <si>
    <t xml:space="preserve">Natacha Chenevoy </t>
  </si>
  <si>
    <t>Rebecca Jaffe</t>
  </si>
  <si>
    <t>Tara Wilson</t>
  </si>
  <si>
    <t>Andrew Fitzgerald</t>
  </si>
  <si>
    <t>Larkin Duelge</t>
  </si>
  <si>
    <t>Nathan Osborne</t>
  </si>
  <si>
    <t>Rebecca Lim</t>
  </si>
  <si>
    <t>Ted Elkington</t>
  </si>
  <si>
    <t>Andrew Rodda</t>
  </si>
  <si>
    <t>Isobella Gilbert</t>
  </si>
  <si>
    <t>Laura Eades</t>
  </si>
  <si>
    <t>Nau Tsuchiya</t>
  </si>
  <si>
    <t>Rebecca Streit</t>
  </si>
  <si>
    <t>Thomas Morrison</t>
  </si>
  <si>
    <t>Andrew Swan</t>
  </si>
  <si>
    <t>Daniel Jitnah</t>
  </si>
  <si>
    <t>Isabelle Claxton</t>
  </si>
  <si>
    <t>Laura Morley</t>
  </si>
  <si>
    <t>Nhat Nguyen</t>
  </si>
  <si>
    <t>Rhiannon Mirrie</t>
  </si>
  <si>
    <t>Thomas Robertson</t>
  </si>
  <si>
    <t>Andrew Van Agtmaal</t>
  </si>
  <si>
    <t>Daniel Newman</t>
  </si>
  <si>
    <t>Len Johnson</t>
  </si>
  <si>
    <t>Nick Burke</t>
  </si>
  <si>
    <t>Riccardo Wong</t>
  </si>
  <si>
    <t>Tigabwe Yosef</t>
  </si>
  <si>
    <t>Andrew Westaway</t>
  </si>
  <si>
    <t>Daniel Reardon</t>
  </si>
  <si>
    <t>Jack Powell</t>
  </si>
  <si>
    <t>Lesley Gray</t>
  </si>
  <si>
    <t>Nicky Eastaugh</t>
  </si>
  <si>
    <t>Richard Lawrence</t>
  </si>
  <si>
    <t>Tim Buckenham</t>
  </si>
  <si>
    <t>Andrew Putnam</t>
  </si>
  <si>
    <t>Jack Thompson</t>
  </si>
  <si>
    <t>Nicole McNally</t>
  </si>
  <si>
    <t>Rick Watkins</t>
  </si>
  <si>
    <t>Tim Fairley</t>
  </si>
  <si>
    <t>Darren Landsberg</t>
  </si>
  <si>
    <t>Lieven Huang</t>
  </si>
  <si>
    <t xml:space="preserve">Nicole Scully </t>
  </si>
  <si>
    <t>Robert Raines</t>
  </si>
  <si>
    <t>Tim Oxley</t>
  </si>
  <si>
    <t>Anna Southwell</t>
  </si>
  <si>
    <t>David Dowe</t>
  </si>
  <si>
    <t>Jacquelyn Jingyi</t>
  </si>
  <si>
    <t>Niki Tao</t>
  </si>
  <si>
    <t>Robin Brown</t>
  </si>
  <si>
    <t>Timothy Ritchie</t>
  </si>
  <si>
    <t>Annette Wittmann</t>
  </si>
  <si>
    <t>David Mayevsky</t>
  </si>
  <si>
    <t>James Asquith</t>
  </si>
  <si>
    <t>Lincoln Mah</t>
  </si>
  <si>
    <t>Nine Mok</t>
  </si>
  <si>
    <t>Rosemary Waghorn</t>
  </si>
  <si>
    <t>Tom Castle</t>
  </si>
  <si>
    <t>Anthony Park</t>
  </si>
  <si>
    <t>David Kenyon</t>
  </si>
  <si>
    <t>James Gooden</t>
  </si>
  <si>
    <t>Lisa Zilberpriver</t>
  </si>
  <si>
    <t>Ruby Lee</t>
  </si>
  <si>
    <t>Tom Lines</t>
  </si>
  <si>
    <t>Davor Coter</t>
  </si>
  <si>
    <t>Jamie Rankin</t>
  </si>
  <si>
    <t>Lowell Wan</t>
  </si>
  <si>
    <t>Omar Ameen</t>
  </si>
  <si>
    <t>Russell King</t>
  </si>
  <si>
    <t>Arunika Weeratunga</t>
  </si>
  <si>
    <t>Dilan Perera</t>
  </si>
  <si>
    <t xml:space="preserve">Jasmine Zhu  </t>
  </si>
  <si>
    <t>Lucy O'Shannessy</t>
  </si>
  <si>
    <t>Palwinder Rai</t>
  </si>
  <si>
    <t>Sabrina Yeh</t>
  </si>
  <si>
    <t>Tracy Lam</t>
  </si>
  <si>
    <t>Ashley Paxton</t>
  </si>
  <si>
    <t>Dennis Gellert</t>
  </si>
  <si>
    <t>Jeanette Baker</t>
  </si>
  <si>
    <t>Lyn May Lee</t>
  </si>
  <si>
    <t>Parthan Kasarapu</t>
  </si>
  <si>
    <t>Sam Gibb</t>
  </si>
  <si>
    <t>Trent Ramsay</t>
  </si>
  <si>
    <t>Ashley Siegel</t>
  </si>
  <si>
    <t>Dinesh Perera</t>
  </si>
  <si>
    <t>Jeremy Kie</t>
  </si>
  <si>
    <t>Mana Fujiwara</t>
  </si>
  <si>
    <t>Pascal Molenberghs</t>
  </si>
  <si>
    <t>Samara Cua</t>
  </si>
  <si>
    <t xml:space="preserve">TV  </t>
  </si>
  <si>
    <t>Attila Tokai</t>
  </si>
  <si>
    <t>Dominic Jones</t>
  </si>
  <si>
    <t>Jeroen Van Boxtel</t>
  </si>
  <si>
    <t>Manoj Kamalanathan</t>
  </si>
  <si>
    <t>Patrick Thien</t>
  </si>
  <si>
    <t>Avestina Zhong</t>
  </si>
  <si>
    <t>Dominique Munten</t>
  </si>
  <si>
    <t>Jessie Hamilton</t>
  </si>
  <si>
    <t>Marijose Regules</t>
  </si>
  <si>
    <t>Sandra Krofic</t>
  </si>
  <si>
    <t>Vivian Yi</t>
  </si>
  <si>
    <t>Bashir Husaini</t>
  </si>
  <si>
    <t>Dror Cohen</t>
  </si>
  <si>
    <t>Jiahan Chew</t>
  </si>
  <si>
    <t>Martin Foerster</t>
  </si>
  <si>
    <t>Paurnami Chandran</t>
  </si>
  <si>
    <t>Sarah Cheong</t>
  </si>
  <si>
    <t>Winnie Chen</t>
  </si>
  <si>
    <t>Ben Asquith</t>
  </si>
  <si>
    <t>Eduardo Flores</t>
  </si>
  <si>
    <t>Jian Yen</t>
  </si>
  <si>
    <t>Matt Blackwell</t>
  </si>
  <si>
    <t>Sarah Munday</t>
  </si>
  <si>
    <t>Ben Frost</t>
  </si>
  <si>
    <t>Eleanora Gilbert</t>
  </si>
  <si>
    <t>Jiaqi Li</t>
  </si>
  <si>
    <t>Matt Shearer</t>
  </si>
  <si>
    <t>Peta Faragher</t>
  </si>
  <si>
    <t>Shamal Boteju</t>
  </si>
  <si>
    <t>Yindi Sutton</t>
  </si>
  <si>
    <t>Jillian Healy</t>
  </si>
  <si>
    <t>Peter Bence</t>
  </si>
  <si>
    <t>Shane Pritchard</t>
  </si>
  <si>
    <t>Yuki Horne-Okano</t>
  </si>
  <si>
    <t>Bernadine Dao</t>
  </si>
  <si>
    <t>Ella Cehun</t>
  </si>
  <si>
    <t>Joan Connor</t>
  </si>
  <si>
    <t>Peter Markworth</t>
  </si>
  <si>
    <t>Emilie Ng Foong Po</t>
  </si>
  <si>
    <t>John Baker</t>
  </si>
  <si>
    <t>Matthew Drummond</t>
  </si>
  <si>
    <t>Peter Rushen</t>
  </si>
  <si>
    <t>Shnwei Lee</t>
  </si>
  <si>
    <t>8.50</t>
  </si>
  <si>
    <t>8.20</t>
  </si>
  <si>
    <t>7.30</t>
  </si>
  <si>
    <t>11.20</t>
  </si>
  <si>
    <t>6.50</t>
  </si>
  <si>
    <t>9.30</t>
  </si>
  <si>
    <t>Colin Lichtwark</t>
  </si>
  <si>
    <t>Chris Billington</t>
  </si>
  <si>
    <t>Joel Kennedy</t>
  </si>
  <si>
    <t>Luke McLay</t>
  </si>
  <si>
    <t>Rachel Manderson</t>
  </si>
  <si>
    <t>Melanie Bok</t>
  </si>
  <si>
    <t>Kimberley Mitchell</t>
  </si>
  <si>
    <t>Jerome Rowcroft</t>
  </si>
  <si>
    <t>Carolina Caraza</t>
  </si>
  <si>
    <t>Ginnie Richichi</t>
  </si>
  <si>
    <t>Diana Contreras</t>
  </si>
  <si>
    <t>Kelly Williams</t>
  </si>
  <si>
    <t>Stephanie McDonald</t>
  </si>
  <si>
    <t>Charmaine Manuel</t>
  </si>
  <si>
    <t>Chris Cameron</t>
  </si>
  <si>
    <t>Evert Rol</t>
  </si>
  <si>
    <t>Sarah Klink</t>
  </si>
  <si>
    <t>Paul Marr</t>
  </si>
  <si>
    <t>Rita Lin</t>
  </si>
  <si>
    <t>Seika Chen</t>
  </si>
  <si>
    <t>Edward Nguyen</t>
  </si>
  <si>
    <t>Jiajia Wang</t>
  </si>
  <si>
    <t>Linda Croton</t>
  </si>
  <si>
    <t>Ruchira Welmillage</t>
  </si>
  <si>
    <t>Cynthia Van</t>
  </si>
  <si>
    <t>Douglas Carver</t>
  </si>
  <si>
    <t>Guy Prochilo</t>
  </si>
  <si>
    <t>Glen Salter</t>
  </si>
  <si>
    <t>Joshua Coulson</t>
  </si>
  <si>
    <t>Bethan Coulson</t>
  </si>
  <si>
    <t>Naomi Richardson</t>
  </si>
  <si>
    <t>Nick Allingham</t>
  </si>
  <si>
    <t>Maria Grant</t>
  </si>
  <si>
    <t>8.40</t>
  </si>
  <si>
    <t>7.10</t>
  </si>
  <si>
    <t>8.15</t>
  </si>
  <si>
    <t>Fiona Chen</t>
  </si>
  <si>
    <t>Pat O'Reilly</t>
  </si>
  <si>
    <t>Zoe Tripovich</t>
  </si>
  <si>
    <t>Clement Kunz</t>
  </si>
  <si>
    <t>Joel Samsu</t>
  </si>
  <si>
    <t>Kate Montgomery</t>
  </si>
  <si>
    <t xml:space="preserve">Nithurshan </t>
  </si>
  <si>
    <t>Anindita Samsu</t>
  </si>
  <si>
    <t>Paulina Mikulic</t>
  </si>
  <si>
    <t>Rebekah Crawley</t>
  </si>
  <si>
    <t>Ashley Herrod</t>
  </si>
  <si>
    <t>Edie Kaehne</t>
  </si>
  <si>
    <t>Satish Sekar</t>
  </si>
  <si>
    <t>Phil Tai</t>
  </si>
  <si>
    <t>Lucy Duffus</t>
  </si>
  <si>
    <t>Nathan Crawley</t>
  </si>
  <si>
    <t>Jon Elliott</t>
  </si>
  <si>
    <t>10.50</t>
  </si>
  <si>
    <t>11.50</t>
  </si>
  <si>
    <t>10.30</t>
  </si>
  <si>
    <t>9.00</t>
  </si>
  <si>
    <t>10.20</t>
  </si>
  <si>
    <t>8.00</t>
  </si>
  <si>
    <t>8.10</t>
  </si>
  <si>
    <t>6.55</t>
  </si>
  <si>
    <t>8.38</t>
  </si>
  <si>
    <t>10.04</t>
  </si>
  <si>
    <t>April Kartikasari</t>
  </si>
  <si>
    <t>8.32</t>
  </si>
  <si>
    <t>9.01</t>
  </si>
  <si>
    <t>8.31</t>
  </si>
  <si>
    <t>6.17</t>
  </si>
  <si>
    <t>10.27</t>
  </si>
  <si>
    <t>7.04</t>
  </si>
  <si>
    <t>7.12</t>
  </si>
  <si>
    <t>9.16</t>
  </si>
  <si>
    <t>7.49</t>
  </si>
  <si>
    <t>9.23</t>
  </si>
  <si>
    <t>11.14</t>
  </si>
  <si>
    <t>9.25</t>
  </si>
  <si>
    <t>12.18</t>
  </si>
  <si>
    <t>6.53</t>
  </si>
  <si>
    <t>8.43</t>
  </si>
  <si>
    <t>7.44</t>
  </si>
  <si>
    <t>9.07</t>
  </si>
  <si>
    <t>8.35</t>
  </si>
  <si>
    <t>8.27</t>
  </si>
  <si>
    <t>9.33</t>
  </si>
  <si>
    <t>8.16</t>
  </si>
  <si>
    <t>8.14</t>
  </si>
  <si>
    <t>9.12</t>
  </si>
  <si>
    <t>9.37</t>
  </si>
  <si>
    <t>6.47</t>
  </si>
  <si>
    <t>9.48</t>
  </si>
  <si>
    <t>9.41</t>
  </si>
  <si>
    <t>11.12</t>
  </si>
  <si>
    <t>9.28</t>
  </si>
  <si>
    <t>7.15</t>
  </si>
  <si>
    <t>6.18</t>
  </si>
  <si>
    <t>TIME TRIAL TEMPLATE</t>
  </si>
  <si>
    <t>Andrew Crawley</t>
  </si>
  <si>
    <t>Adrian Carter</t>
  </si>
  <si>
    <t>Adam Jenkins</t>
  </si>
  <si>
    <t>Andy Tetke</t>
  </si>
  <si>
    <t>Anne-Marie Ternes</t>
  </si>
  <si>
    <t>Betsy Sojan</t>
  </si>
  <si>
    <t>Helene Bourquin</t>
  </si>
  <si>
    <t>Madeline Richards</t>
  </si>
  <si>
    <t>Oliver Grundy</t>
  </si>
  <si>
    <t>Laurence Brassart</t>
  </si>
  <si>
    <t>Nilousar</t>
  </si>
  <si>
    <t>Rosefolo Siosi</t>
  </si>
  <si>
    <t>Sharon Firisua</t>
  </si>
  <si>
    <t>Sebastian Pivet</t>
  </si>
  <si>
    <t>Vignesh Arunachalam</t>
  </si>
  <si>
    <t>Zebah Mathew</t>
  </si>
  <si>
    <t>Zerah Mathew</t>
  </si>
  <si>
    <t>Claire Pollock-Hall</t>
  </si>
  <si>
    <t>Richard Davies</t>
  </si>
  <si>
    <t>Victoria Moore</t>
  </si>
  <si>
    <t>Jesslyn Sutanti</t>
  </si>
  <si>
    <t>Simon Weir</t>
  </si>
  <si>
    <t>6.58</t>
  </si>
  <si>
    <t>6.52</t>
  </si>
  <si>
    <t>9.06</t>
  </si>
  <si>
    <t>7.45</t>
  </si>
  <si>
    <t>10.10</t>
  </si>
  <si>
    <t>7.40</t>
  </si>
  <si>
    <t>11.05</t>
  </si>
  <si>
    <t>7.09</t>
  </si>
  <si>
    <t>7.06</t>
  </si>
  <si>
    <t>8.05</t>
  </si>
  <si>
    <t>7.57</t>
  </si>
  <si>
    <t>9.02</t>
  </si>
  <si>
    <t>7.46</t>
  </si>
  <si>
    <t>8.18</t>
  </si>
  <si>
    <t>8.34</t>
  </si>
  <si>
    <t>9.17</t>
  </si>
  <si>
    <t>8.37</t>
  </si>
  <si>
    <t>Scot Sharman</t>
  </si>
  <si>
    <t>13.43</t>
  </si>
  <si>
    <t>12.50</t>
  </si>
  <si>
    <t>Matt Larkin</t>
  </si>
  <si>
    <t>Renee Pathya</t>
  </si>
  <si>
    <t>Gai</t>
  </si>
  <si>
    <t>Julian Lloyd</t>
  </si>
  <si>
    <t>Jamin Wu</t>
  </si>
  <si>
    <t>Jamie Tan</t>
  </si>
  <si>
    <t>Ana Fabela</t>
  </si>
  <si>
    <t>11.08</t>
  </si>
  <si>
    <t>Aaron Ruznak</t>
  </si>
  <si>
    <t>Abraham Karyadi</t>
  </si>
  <si>
    <t>Alan Irwin</t>
  </si>
  <si>
    <t>Anthony Chau</t>
  </si>
  <si>
    <t>Astrid Ichsan</t>
  </si>
  <si>
    <t>Bozhi Jiang</t>
  </si>
  <si>
    <t>Bradley Serry</t>
  </si>
  <si>
    <t>Caleb Liik</t>
  </si>
  <si>
    <t>Carlos Gamble</t>
  </si>
  <si>
    <t>Conor Yung</t>
  </si>
  <si>
    <t>Dana Dekkers</t>
  </si>
  <si>
    <t>Denyan Claxton</t>
  </si>
  <si>
    <t>Dilpreet Buxi</t>
  </si>
  <si>
    <t>Elena Vitale</t>
  </si>
  <si>
    <t>Elliot Fabris</t>
  </si>
  <si>
    <t>Emilie Guy</t>
  </si>
  <si>
    <t>Emma Hayton</t>
  </si>
  <si>
    <t>Emily Jiang</t>
  </si>
  <si>
    <t>Erica Patterson</t>
  </si>
  <si>
    <t>Fergie Givency</t>
  </si>
  <si>
    <t>Gai Chuatwea</t>
  </si>
  <si>
    <t>Georgia Parsons</t>
  </si>
  <si>
    <t>Jaime Tan</t>
  </si>
  <si>
    <t>James Cavallo</t>
  </si>
  <si>
    <t>Joanna Lewandowska</t>
  </si>
  <si>
    <t>Joanna Shaddai</t>
  </si>
  <si>
    <t>John Sullivan</t>
  </si>
  <si>
    <t>Katharine Wood</t>
  </si>
  <si>
    <t>Kee Jefferys</t>
  </si>
  <si>
    <t>Laura Whitney</t>
  </si>
  <si>
    <t>Laura Nield</t>
  </si>
  <si>
    <t>Lynne Oliynyk</t>
  </si>
  <si>
    <t>Madeleine Harper</t>
  </si>
  <si>
    <t>Michael O'Connor</t>
  </si>
  <si>
    <t>Misaki Ujihara</t>
  </si>
  <si>
    <t>Mitch Parker</t>
  </si>
  <si>
    <t>Natasha Ockenden</t>
  </si>
  <si>
    <t>Natalie Saunders</t>
  </si>
  <si>
    <t>Nathan Ahmed</t>
  </si>
  <si>
    <t>Nisharnthi Duggan</t>
  </si>
  <si>
    <t>Nithursan</t>
  </si>
  <si>
    <t>Noah Bourke</t>
  </si>
  <si>
    <t>Paris Panozzo</t>
  </si>
  <si>
    <t>Patrick So</t>
  </si>
  <si>
    <t>Peter Wood</t>
  </si>
  <si>
    <t>Ravee Pathya</t>
  </si>
  <si>
    <t>Rebecca Kirkham</t>
  </si>
  <si>
    <t>Rebecca Segrave</t>
  </si>
  <si>
    <t>Ruben Barylak</t>
  </si>
  <si>
    <t>Ruoni Chen</t>
  </si>
  <si>
    <t>Sebastian Weber</t>
  </si>
  <si>
    <t>Stacey Bulger</t>
  </si>
  <si>
    <t>Thomas Judd</t>
  </si>
  <si>
    <t>Vince Parhizkar</t>
  </si>
  <si>
    <t>Shawn Seow</t>
  </si>
  <si>
    <t>Sophia Azemia</t>
  </si>
  <si>
    <t>Simon Corrie</t>
  </si>
  <si>
    <t>Sannua Yin</t>
  </si>
  <si>
    <t>Chit Kah Lim</t>
  </si>
  <si>
    <t>Emily Eastman</t>
  </si>
  <si>
    <t>James Bott</t>
  </si>
  <si>
    <t>Elizabeth Chen</t>
  </si>
  <si>
    <t>Liam Sharp</t>
  </si>
  <si>
    <t>Lisa Grant</t>
  </si>
  <si>
    <t>Ranya White</t>
  </si>
  <si>
    <t>Diana Azemia</t>
  </si>
  <si>
    <t>Hilary Ng</t>
  </si>
  <si>
    <t>John O'Leary</t>
  </si>
  <si>
    <t>Sam Lindsay</t>
  </si>
  <si>
    <t>Nick Wilson</t>
  </si>
  <si>
    <t>Lang Nguyen</t>
  </si>
  <si>
    <t>M</t>
  </si>
  <si>
    <t>F</t>
  </si>
  <si>
    <t>Total</t>
  </si>
  <si>
    <t>Max</t>
  </si>
  <si>
    <t>Min</t>
  </si>
  <si>
    <t/>
  </si>
  <si>
    <t>12.30</t>
  </si>
  <si>
    <t>9.40</t>
  </si>
  <si>
    <t>9.50</t>
  </si>
  <si>
    <t>7.00</t>
  </si>
  <si>
    <t>10.00</t>
  </si>
  <si>
    <t>Alison Cullen</t>
  </si>
  <si>
    <t>Gabrielle Grant</t>
  </si>
  <si>
    <t>Caitlin Hicks</t>
  </si>
  <si>
    <t>Sarah Guy</t>
  </si>
  <si>
    <t>Todd Oliynyk</t>
  </si>
  <si>
    <t>Naz Hani</t>
  </si>
  <si>
    <t>Agathe Bey</t>
  </si>
  <si>
    <t>Erin Verberne</t>
  </si>
  <si>
    <t>John Mehes</t>
  </si>
  <si>
    <t>Kelly Atkins</t>
  </si>
  <si>
    <t>Joyce Li</t>
  </si>
  <si>
    <t>Steve Mati</t>
  </si>
  <si>
    <t>Lauren Den Ouden</t>
  </si>
  <si>
    <t>Anna Ross</t>
  </si>
  <si>
    <t>Martin Schwindinger</t>
  </si>
  <si>
    <t>Declan Murphy</t>
  </si>
  <si>
    <t>Samantha Miller</t>
  </si>
  <si>
    <t>Emily McLelland</t>
  </si>
  <si>
    <t>Hongyi Ouyang</t>
  </si>
  <si>
    <t>Chang Liu</t>
  </si>
  <si>
    <t>12.40</t>
  </si>
  <si>
    <t>Nicholas Watson</t>
  </si>
  <si>
    <t>Vidit Gupta</t>
  </si>
  <si>
    <t>Andrew Cullen</t>
  </si>
  <si>
    <t>Dean Salamouras</t>
  </si>
  <si>
    <t>Richie Burrows</t>
  </si>
  <si>
    <t>11.21</t>
  </si>
  <si>
    <t>8.13</t>
  </si>
  <si>
    <t>Sam Toll</t>
  </si>
  <si>
    <t>Jack Highnam</t>
  </si>
  <si>
    <t>Rachel Yeo</t>
  </si>
  <si>
    <t>IF(AND(ISBLANK(J7),NOT(ISBLANK(K7))),"**",IF(AND(NOT(ISBLANK(K7)),K7&lt;J7),"*",""))</t>
  </si>
  <si>
    <t>Name Split</t>
  </si>
  <si>
    <t>LEFT(A1,FIND(" ",A1,1)-1)</t>
  </si>
  <si>
    <t>RIGHT(A1,LEN(A1)-FIND(" ",A1,1))</t>
  </si>
  <si>
    <t>Get PB</t>
  </si>
  <si>
    <t>IF(MIN(VALUE(IF(ISBLANK(I7),H7,I7)),VALUE(IF(ISBLANK(H7),I7,H7)))=0,"",ROUND(MIN(VALUE(IF(ISBLANK(I7),H7,I7)),VALUE(IF(ISBLANK(H7),I7,H7))),2))</t>
  </si>
  <si>
    <t>9.20</t>
  </si>
  <si>
    <t>Rossi Siosi</t>
  </si>
  <si>
    <t>6.05</t>
  </si>
  <si>
    <t>Adolphus Lye</t>
  </si>
  <si>
    <t>Ruby Sung</t>
  </si>
  <si>
    <t>Sukant Singh</t>
  </si>
  <si>
    <t>Mervvi Kaukko</t>
  </si>
  <si>
    <t>Vamshi Kammadanam</t>
  </si>
  <si>
    <t>Chris Hew</t>
  </si>
  <si>
    <t>Chris Zota</t>
  </si>
  <si>
    <t>David Wilksch</t>
  </si>
  <si>
    <t>Ebony Knox</t>
  </si>
  <si>
    <t>Kimberly Allen</t>
  </si>
  <si>
    <t>Laura Brassart</t>
  </si>
  <si>
    <t>Lilly Dipnall</t>
  </si>
  <si>
    <t>Maureen Miller</t>
  </si>
  <si>
    <t>Michael Zeng</t>
  </si>
  <si>
    <t>Molly Smith</t>
  </si>
  <si>
    <t>Nick Van Agtmaal</t>
  </si>
  <si>
    <t>Nina Pretty</t>
  </si>
  <si>
    <t>Sophia Lee</t>
  </si>
  <si>
    <t>Aaron Langenberg</t>
  </si>
  <si>
    <t>Kristen Pennicuik</t>
  </si>
  <si>
    <t>Zak Pennicuik</t>
  </si>
  <si>
    <t>Diane Pennicuik</t>
  </si>
  <si>
    <t>Tianyao Shen</t>
  </si>
  <si>
    <t>Jess Taylor</t>
  </si>
  <si>
    <t>Elmi van der Heuvel</t>
  </si>
  <si>
    <t>Thomas Tiergrove</t>
  </si>
  <si>
    <t>Peter Lusis</t>
  </si>
  <si>
    <t>Cory Hand</t>
  </si>
  <si>
    <t>Michael Leng</t>
  </si>
  <si>
    <t>Check if First time or PB</t>
  </si>
  <si>
    <t>IF(MIN(VALUE(IF(ISBLANK(M7),L7,M7)),VALUE(IF(ISBLANK(L7),M7,L7)))=0,"",ROUND(MIN(VALUE(IF(ISBLANK(M7),L7,M7)),VALUE(IF(ISBLANK(L7),M7,L7))),2))</t>
  </si>
  <si>
    <t>Josh Hendrikse</t>
  </si>
  <si>
    <t>Javier Hong</t>
  </si>
  <si>
    <t>Dane Kleiner</t>
  </si>
  <si>
    <t>Rachel Waugh</t>
  </si>
  <si>
    <t>Ben Bolshinsky</t>
  </si>
  <si>
    <t>Dawood Nazeri</t>
  </si>
  <si>
    <t>Gary Cassidy</t>
  </si>
  <si>
    <t>Andrea Rodriguez</t>
  </si>
  <si>
    <t>Angus Stott</t>
  </si>
  <si>
    <t>James Morrow</t>
  </si>
  <si>
    <t>Suwa Tomoya</t>
  </si>
  <si>
    <t>Georgia Lee</t>
  </si>
  <si>
    <t>Aaron Leng</t>
  </si>
  <si>
    <t>Krittaya Sawatsuk</t>
  </si>
  <si>
    <t>Kuya Gombosuren</t>
  </si>
  <si>
    <t>Victoria Haritos</t>
  </si>
  <si>
    <t>Stefan Zens</t>
  </si>
  <si>
    <t>Erin Price</t>
  </si>
  <si>
    <t>Evan Farsell</t>
  </si>
  <si>
    <t>Rachel De Jong</t>
  </si>
  <si>
    <t>Rebecca Chinn</t>
  </si>
  <si>
    <t>Alex Liacos</t>
  </si>
  <si>
    <t>Jack Bullock</t>
  </si>
  <si>
    <t>Rikke Truelsen</t>
  </si>
  <si>
    <t>Jakob Spiegelhauer</t>
  </si>
  <si>
    <t>Wee Tjun Lee</t>
  </si>
  <si>
    <t>Yun Wu</t>
  </si>
  <si>
    <t>Mario De Simone</t>
  </si>
  <si>
    <t>Daniel Christiansl</t>
  </si>
  <si>
    <t>Florence Ying Wang</t>
  </si>
  <si>
    <t>Bryan Diehl</t>
  </si>
  <si>
    <t>Rachel Collins</t>
  </si>
  <si>
    <t>IF(MIN(VALUE(IF(ISBLANK(O7),N7,O7)),VALUE(IF(ISBLANK(N7),O7,N7)))=0,"",ROUND(MIN(VALUE(IF(ISBLANK(O7),N7,O7)),VALUE(IF(ISBLANK(N7),O7,N7))),2))</t>
  </si>
  <si>
    <t>For Time Values</t>
  </si>
  <si>
    <t>IF(MIN(IF(ISBLANK(O7),N7,O7),IF(ISBLANK(N7),O7,N7))=0,"",MIN(IF(ISBLANK(O7),N7,O7),IF(ISBLANK(N7),O7,N7)))</t>
  </si>
  <si>
    <t>TT</t>
  </si>
  <si>
    <t>Megan Rataj</t>
  </si>
  <si>
    <t>Michael Raines</t>
  </si>
  <si>
    <t>Farshid Zavareh</t>
  </si>
  <si>
    <t>Comment</t>
  </si>
  <si>
    <t>2 laps</t>
  </si>
  <si>
    <t>3 laps</t>
  </si>
  <si>
    <t>Names</t>
  </si>
  <si>
    <t>Comm</t>
  </si>
  <si>
    <t>Roshini Balasooriya</t>
  </si>
  <si>
    <t>Serena Ng</t>
  </si>
  <si>
    <t>Kohei Miyahara</t>
  </si>
  <si>
    <t>Maria Balbuueya</t>
  </si>
  <si>
    <t>Mayank Vasudeva</t>
  </si>
  <si>
    <t>Mikhail Bhatia</t>
  </si>
  <si>
    <t>Billy Ladas</t>
  </si>
  <si>
    <t>Aidan Burrage</t>
  </si>
  <si>
    <t>Celine Yang</t>
  </si>
  <si>
    <t>Kodai Haga</t>
  </si>
  <si>
    <t>Khairun Nissa</t>
  </si>
  <si>
    <t>Yiwie Xie</t>
  </si>
  <si>
    <t>Tom Yang</t>
  </si>
  <si>
    <t>Yinghan Song</t>
  </si>
  <si>
    <t>Alexandra Bergen</t>
  </si>
  <si>
    <t>Ameera Syed</t>
  </si>
  <si>
    <t>Nicole Leow</t>
  </si>
  <si>
    <t>Ning Zu</t>
  </si>
  <si>
    <t>Penh So</t>
  </si>
  <si>
    <t>Qavi Isa</t>
  </si>
  <si>
    <t>Trung Nguyen</t>
  </si>
  <si>
    <t>Natalie Esparon</t>
  </si>
  <si>
    <t>Svenja Beck</t>
  </si>
  <si>
    <t>??</t>
  </si>
  <si>
    <t>Henry Zhang</t>
  </si>
  <si>
    <t>?</t>
  </si>
  <si>
    <t>David Seeds</t>
  </si>
  <si>
    <t>Alejandro Nestor</t>
  </si>
  <si>
    <t>Roger Lim</t>
  </si>
  <si>
    <t>Aditya Majety</t>
  </si>
  <si>
    <t>Vanessa Bullard</t>
  </si>
  <si>
    <t>Sid Shrestha</t>
  </si>
  <si>
    <t>Jaya Pudashine</t>
  </si>
  <si>
    <t>Chen Yaohui</t>
  </si>
  <si>
    <t>Krina Li</t>
  </si>
  <si>
    <t>IF(MIN(IF(ISBLANK(R10),Q10,R10),IF(ISBLANK(Q10),R10,Q10))=0,"",MIN(IF(ISBLANK(R10),Q10,R10),IF(ISBLANK(Q10),R10,Q10)))</t>
  </si>
  <si>
    <t>Hadi Rezwani</t>
  </si>
  <si>
    <t>Nick Boustead</t>
  </si>
  <si>
    <t>Michelle Lamblin</t>
  </si>
  <si>
    <t>Cynthia Wong</t>
  </si>
  <si>
    <t>Anne-Marie Cassidy</t>
  </si>
  <si>
    <t>Jeryl Liang</t>
  </si>
  <si>
    <t>Jamie Rossjohn</t>
  </si>
  <si>
    <t>Catherine Deery</t>
  </si>
  <si>
    <t>Chris Wilson</t>
  </si>
  <si>
    <t>Adrian Barbuio</t>
  </si>
  <si>
    <t>Patrick Hurley</t>
  </si>
  <si>
    <t>IF(MIN(IF(ISBLANK(U10),T10,U10),IF(ISBLANK(T10),U10,T10))=0,"",MIN(IF(ISBLANK(U10),T10,U10),IF(ISBLANK(T10),U10,T10)))</t>
  </si>
  <si>
    <t>Adrian Fhoa</t>
  </si>
  <si>
    <t>Alex Herrington</t>
  </si>
  <si>
    <t>Amanda Fontaine</t>
  </si>
  <si>
    <t>Angharad Neal-Williams</t>
  </si>
  <si>
    <t>Ashan Kathriachchige</t>
  </si>
  <si>
    <t>Ayden Monsant</t>
  </si>
  <si>
    <t>Beverley Anand</t>
  </si>
  <si>
    <t>Ciara Greene</t>
  </si>
  <si>
    <t xml:space="preserve">Dean Linn </t>
  </si>
  <si>
    <t>Douglas Lim</t>
  </si>
  <si>
    <t>Elinor Williams</t>
  </si>
  <si>
    <t>Elizabeth Kennedy</t>
  </si>
  <si>
    <t>Emily Hamilton</t>
  </si>
  <si>
    <t>Emily Hurley</t>
  </si>
  <si>
    <t>Eng Qian</t>
  </si>
  <si>
    <t>Erika Florez</t>
  </si>
  <si>
    <t>Gabrielle Grech</t>
  </si>
  <si>
    <t>Gabrielle Williams</t>
  </si>
  <si>
    <t>Georgia Parry</t>
  </si>
  <si>
    <t>Georgia Riordan</t>
  </si>
  <si>
    <t>Hiroki Kimijima</t>
  </si>
  <si>
    <t>Hugh Gatford</t>
  </si>
  <si>
    <t>Ian Lock</t>
  </si>
  <si>
    <t>Isabel Kahan</t>
  </si>
  <si>
    <t>James Neeson</t>
  </si>
  <si>
    <t>Jessica Mitch</t>
  </si>
  <si>
    <t>Jessie Ratcliffe</t>
  </si>
  <si>
    <t>Joseph Hajiroussos</t>
  </si>
  <si>
    <t>Joseph Siddons</t>
  </si>
  <si>
    <t>Josh Howie</t>
  </si>
  <si>
    <t>Joshua Smith</t>
  </si>
  <si>
    <t>Judy Cyngler</t>
  </si>
  <si>
    <t>Julia Storrer</t>
  </si>
  <si>
    <t>Kaori Nakase</t>
  </si>
  <si>
    <t>Kate Manson</t>
  </si>
  <si>
    <t>Kieran Karuna</t>
  </si>
  <si>
    <t>Lachla Barnesby</t>
  </si>
  <si>
    <t>Lachlan Smith</t>
  </si>
  <si>
    <t>Lucy Heath</t>
  </si>
  <si>
    <t xml:space="preserve">Malshika Fernando </t>
  </si>
  <si>
    <t>Masashi Yamada</t>
  </si>
  <si>
    <t>Matthew Heislers</t>
  </si>
  <si>
    <t>Miranda Rey-Fleming</t>
  </si>
  <si>
    <t>Ocean Mitchell-Croft</t>
  </si>
  <si>
    <t>Pari Kamiravel</t>
  </si>
  <si>
    <t>Patrick Flanagan</t>
  </si>
  <si>
    <t>Patrick Lu</t>
  </si>
  <si>
    <t>Peter Bruce</t>
  </si>
  <si>
    <t>Peter Giang</t>
  </si>
  <si>
    <t>Peter Gray</t>
  </si>
  <si>
    <t>Phillip Dallimore</t>
  </si>
  <si>
    <t>Phillip Webb</t>
  </si>
  <si>
    <t>Raymond Wye</t>
  </si>
  <si>
    <t>Rebecca Kenny</t>
  </si>
  <si>
    <t>Shoya Tashima</t>
  </si>
  <si>
    <t>Sophie Fontaine</t>
  </si>
  <si>
    <t>Sophie Ham</t>
  </si>
  <si>
    <t>Stephen Li</t>
  </si>
  <si>
    <t>Thomas Hammond</t>
  </si>
  <si>
    <t>Tom Swan</t>
  </si>
  <si>
    <t>Tu Anh Nguyen</t>
  </si>
  <si>
    <t>Vaishali Haria</t>
  </si>
  <si>
    <t>Xiao Zhang</t>
  </si>
  <si>
    <t>Prashantii Rajendram</t>
  </si>
  <si>
    <t>Huw Gatford</t>
  </si>
  <si>
    <t>Chloe Daudeville</t>
  </si>
  <si>
    <t>Zak Dallimore</t>
  </si>
  <si>
    <t>Toshihito Ito</t>
  </si>
  <si>
    <t>Satoru Aniya</t>
  </si>
  <si>
    <t>Liz Kennedy</t>
  </si>
  <si>
    <t>Vai Haria</t>
  </si>
  <si>
    <t>Katie Phillips</t>
  </si>
  <si>
    <t>Caroline Conan-Davies</t>
  </si>
  <si>
    <t>Thomas Hok</t>
  </si>
  <si>
    <t>Ken Lau</t>
  </si>
  <si>
    <t>IF(MIN(IF(ISBLANK(X10),W10,X10),IF(ISBLANK(W10),X10,W10))=0,"",MIN(IF(ISBLANK(X10),W10,X10),IF(ISBLANK(W10),X10,W10)))</t>
  </si>
  <si>
    <t>Daniel Lee</t>
  </si>
  <si>
    <t>Mark Ford-Learnar</t>
  </si>
  <si>
    <t>Pavan Jirati</t>
  </si>
  <si>
    <t>Laura DeRango</t>
  </si>
  <si>
    <t>Eunice Shao</t>
  </si>
  <si>
    <t>Reuben Frith</t>
  </si>
  <si>
    <t>Irene Graafsma</t>
  </si>
  <si>
    <t>Jon Whittle</t>
  </si>
  <si>
    <t>Kate Robertson</t>
  </si>
  <si>
    <t>Kou Hok Ya</t>
  </si>
  <si>
    <t>Mahir Khan</t>
  </si>
  <si>
    <t>Vasilias Ladas</t>
  </si>
  <si>
    <t>Wilson Kingsbury</t>
  </si>
  <si>
    <t>Chris Winter</t>
  </si>
  <si>
    <t>Jackson Lau</t>
  </si>
  <si>
    <t>Molly Nooe</t>
  </si>
  <si>
    <t>Naomi Gibson</t>
  </si>
  <si>
    <t>Issac Frith</t>
  </si>
  <si>
    <t>Xiao Xiao</t>
  </si>
  <si>
    <t>IF(MIN(IF(ISBLANK(Z10),AA10,Z10),IF(ISBLANK(AA10),Z10,AA10))=0,"",MIN(IF(ISBLANK(Z10),AA10,Z10),IF(ISBLANK(AA10),Z10,AA10)))</t>
  </si>
  <si>
    <t>Last TT</t>
  </si>
  <si>
    <t>Aimee Clark</t>
  </si>
  <si>
    <t>Enosh Kennedy</t>
  </si>
  <si>
    <t>Gina Griffin</t>
  </si>
  <si>
    <t>Bess Rahimi</t>
  </si>
  <si>
    <t>Tom Gibney</t>
  </si>
  <si>
    <t>Jeck Song Lau</t>
  </si>
  <si>
    <t>Zia Haydari</t>
  </si>
  <si>
    <t>Richard Poulter</t>
  </si>
  <si>
    <t>Chloe Catherwood</t>
  </si>
  <si>
    <t>Anna Kentwell</t>
  </si>
  <si>
    <t>Max Kaufman</t>
  </si>
  <si>
    <t>Abdul Mahdawi</t>
  </si>
  <si>
    <t>Aishwarya Uddappanda</t>
  </si>
  <si>
    <t>Alexandra Jakimow</t>
  </si>
  <si>
    <t>Andrew Winterbine</t>
  </si>
  <si>
    <t>Anouk Schrijver</t>
  </si>
  <si>
    <t>Corey Kernick</t>
  </si>
  <si>
    <t>Daniel Richardson</t>
  </si>
  <si>
    <t>Dominique Gordon</t>
  </si>
  <si>
    <t>Erin O'Brien</t>
  </si>
  <si>
    <t>Georigia Wilson Wall</t>
  </si>
  <si>
    <t>Jade Doidge</t>
  </si>
  <si>
    <t>Jeroen Bos</t>
  </si>
  <si>
    <t>Jonathan Lam</t>
  </si>
  <si>
    <t>Julia Bell</t>
  </si>
  <si>
    <t>Justin Liung</t>
  </si>
  <si>
    <t>Matthew Seymour</t>
  </si>
  <si>
    <t>Oliver Krzysik</t>
  </si>
  <si>
    <t>Sandeep N</t>
  </si>
  <si>
    <t>Scott Hancock</t>
  </si>
  <si>
    <t>Shreya Ramesh</t>
  </si>
  <si>
    <t>Stephanie Vitacca</t>
  </si>
  <si>
    <t>Sukey Li</t>
  </si>
  <si>
    <t>Tom McIlvenna</t>
  </si>
  <si>
    <t>Jillian Faulkner</t>
  </si>
  <si>
    <t>IF(MIN(IF(ISBLANK(AB10),AC10,AB10),IF(ISBLANK(AC10),AB10,AC10))=0,"",MIN(IF(ISBLANK(AB10),AC10,AB10),IF(ISBLANK(AC10),AB10,AC10)))</t>
  </si>
  <si>
    <t>IF(MIN(IF(ISBLANK(AC10),AD10,AC10),IF(ISBLANK(AD10),AC10,AD10))=0,"",MIN(IF(ISBLANK(AC10),AD10,AC10),IF(ISBLANK(AD10),AC10,AD10)))</t>
  </si>
  <si>
    <t>IF(MIN(IF(ISBLANK(AF10),AG10,AF10),IF(ISBLANK(AG10),AF10,AG10))=0,"",MIN(IF(ISBLANK(AF10),AG10,AF10),IF(ISBLANK(AG10),AF10,AG10)))</t>
  </si>
  <si>
    <t>Angeline Marr</t>
  </si>
  <si>
    <t>14/11/2017</t>
  </si>
  <si>
    <t>Aidan Gallagher</t>
  </si>
  <si>
    <t>Juliana Romero</t>
  </si>
  <si>
    <t>Miguel Arrieta</t>
  </si>
  <si>
    <t>Ingrid Vinot</t>
  </si>
  <si>
    <t>Allison Ramselaar</t>
  </si>
  <si>
    <t>Katherine Rozycki</t>
  </si>
  <si>
    <t>Jack Johnston</t>
  </si>
  <si>
    <t>Andrew McCarthy</t>
  </si>
  <si>
    <t>Dean Linn</t>
  </si>
  <si>
    <t>Deb Prout</t>
  </si>
  <si>
    <t>James Gardner</t>
  </si>
  <si>
    <t>Omid Zanganeh</t>
  </si>
  <si>
    <t>P J Siripala</t>
  </si>
  <si>
    <t>Angus McGregor</t>
  </si>
  <si>
    <t>Dion Hemelaar</t>
  </si>
  <si>
    <t>Jay Finn</t>
  </si>
  <si>
    <t>Sophie Cheng</t>
  </si>
  <si>
    <t>Lok Yee</t>
  </si>
  <si>
    <t>Lucy Albertella</t>
  </si>
  <si>
    <t>Ella Johnson</t>
  </si>
  <si>
    <t>Madeleine Barnewall</t>
  </si>
  <si>
    <t>Jil Schuetze</t>
  </si>
  <si>
    <t>Pris Chow</t>
  </si>
  <si>
    <t>Marianne Richter</t>
  </si>
  <si>
    <t>Emma Ferrazo</t>
  </si>
  <si>
    <t xml:space="preserve">Rasoul Husaini </t>
  </si>
  <si>
    <t>Tom Shaw</t>
  </si>
  <si>
    <t>Meg Gallagher</t>
  </si>
  <si>
    <t>Fergus McLaren</t>
  </si>
  <si>
    <t>Trung Lu</t>
  </si>
  <si>
    <t>Chrissy Marr</t>
  </si>
  <si>
    <t>Georgia Hunter</t>
  </si>
  <si>
    <t>Joshuia Kee</t>
  </si>
  <si>
    <t>William Harding</t>
  </si>
  <si>
    <t>Connor Andrews</t>
  </si>
  <si>
    <t>Josie Heymeyer</t>
  </si>
  <si>
    <t>William Morris</t>
  </si>
  <si>
    <t>Zobair Yaqubi</t>
  </si>
  <si>
    <t>Y</t>
  </si>
  <si>
    <t>Zhang Xiao</t>
  </si>
  <si>
    <t>Jeremy Bean-Hodges</t>
  </si>
  <si>
    <t>Mike Bryant</t>
  </si>
  <si>
    <t>Vanella</t>
  </si>
  <si>
    <t>Lawris</t>
  </si>
  <si>
    <t>Tony Baudinette</t>
  </si>
  <si>
    <t>Vanessa Reyes</t>
  </si>
  <si>
    <t>IF(MIN(IF(ISBLANK(AI10),AJ10,AI10),IF(ISBLANK(AJ10),AI10,AJ10))=0,"",MIN(IF(ISBLANK(AI10),AJ10,AI10),IF(ISBLANK(AJ10),AI10,AJ10)))</t>
  </si>
  <si>
    <t>Patrick Jaffe</t>
  </si>
  <si>
    <t>Sophie Lang</t>
  </si>
  <si>
    <t>Paul Pallinger</t>
  </si>
  <si>
    <t>Jarrod Nilsson</t>
  </si>
  <si>
    <t>Luwis Apai</t>
  </si>
  <si>
    <t>Tessa Faulks</t>
  </si>
  <si>
    <t>Regine Gradl</t>
  </si>
  <si>
    <t>Michelle Phung</t>
  </si>
  <si>
    <t>Brooke Sheridan</t>
  </si>
  <si>
    <t>Mindy Jurgelis</t>
  </si>
  <si>
    <t>Sacha Psaros</t>
  </si>
  <si>
    <t>Zoe Dowling</t>
  </si>
  <si>
    <t>Kasie Lewandowska</t>
  </si>
  <si>
    <t>20/02/2018</t>
  </si>
  <si>
    <t>Bey Agathe</t>
  </si>
  <si>
    <t>Bek Crawley</t>
  </si>
  <si>
    <t>Luke Myatt</t>
  </si>
  <si>
    <t>Arwen Vernon</t>
  </si>
  <si>
    <t>Grace Han</t>
  </si>
  <si>
    <t>Hasara Tennakoon</t>
  </si>
  <si>
    <t>Michael Moore</t>
  </si>
  <si>
    <t>Chang Shien</t>
  </si>
  <si>
    <t>23/04/2018</t>
  </si>
  <si>
    <t>IF(MIN(IF(ISBLANK(AL10),AM10,AL10),IF(ISBLANK(AM10),AL10,AM10))=0,"",MIN(IF(ISBLANK(AL10),AM10,AL10),IF(ISBLANK(AM10),AL10,AM10)))</t>
  </si>
  <si>
    <t>AQ</t>
  </si>
  <si>
    <t>Claudia Lindsay</t>
  </si>
  <si>
    <t>Michelle Lam</t>
  </si>
  <si>
    <t>Grace Lightfoot</t>
  </si>
  <si>
    <t>Alex Sibdee</t>
  </si>
  <si>
    <t>Danesh Hewasirib--</t>
  </si>
  <si>
    <t>Hannah Liebman</t>
  </si>
  <si>
    <t>Alice Shang</t>
  </si>
  <si>
    <t>Laura Jenkinson</t>
  </si>
  <si>
    <t>Nneka Edward</t>
  </si>
  <si>
    <t>Helen Guo</t>
  </si>
  <si>
    <t>Amber May</t>
  </si>
  <si>
    <t>Liang Cheng</t>
  </si>
  <si>
    <t>Amy Yu</t>
  </si>
  <si>
    <t>David Inguanti</t>
  </si>
  <si>
    <t>Lisa Le</t>
  </si>
  <si>
    <t>David Lam</t>
  </si>
  <si>
    <t>Isaac Frith</t>
  </si>
  <si>
    <t>Isabelle Crothers</t>
  </si>
  <si>
    <t>Pavithran Mohan</t>
  </si>
  <si>
    <t>Stephanie Young</t>
  </si>
  <si>
    <t>Angela D'Souza</t>
  </si>
  <si>
    <t>Angela Lin</t>
  </si>
  <si>
    <t>Teba Mazin</t>
  </si>
  <si>
    <t>Mark Zander</t>
  </si>
  <si>
    <t>Jarod Nilsson</t>
  </si>
  <si>
    <t>Thessa Kuijpers</t>
  </si>
  <si>
    <t>Ella Ballerini</t>
  </si>
  <si>
    <t>Matthew Clipstone</t>
  </si>
  <si>
    <t>Jessica Mirls</t>
  </si>
  <si>
    <t>Elliana Salalamacchia</t>
  </si>
  <si>
    <t>Thuy Le</t>
  </si>
  <si>
    <t>Tim Harris</t>
  </si>
  <si>
    <t>Ayush Tarway</t>
  </si>
  <si>
    <t>Meriem Colan</t>
  </si>
  <si>
    <t>Michael Kennedy</t>
  </si>
  <si>
    <t>Benjamin Fung</t>
  </si>
  <si>
    <t>Jordan Spark</t>
  </si>
  <si>
    <t>Ethan Lawrence</t>
  </si>
  <si>
    <t>Robert Koch</t>
  </si>
  <si>
    <t>Eve Fitzgerald</t>
  </si>
  <si>
    <t>Fang Wen</t>
  </si>
  <si>
    <t>Julia Castro</t>
  </si>
  <si>
    <t>Weiki Xhang</t>
  </si>
  <si>
    <t>Chang Xu</t>
  </si>
  <si>
    <t>Frank Liu</t>
  </si>
  <si>
    <t>Julia Ruiz</t>
  </si>
  <si>
    <t>Fung Tay</t>
  </si>
  <si>
    <t>Naomi Grant</t>
  </si>
  <si>
    <t>Christian Josephides</t>
  </si>
  <si>
    <t>Justin Liang</t>
  </si>
  <si>
    <t>Nathan Bowman</t>
  </si>
  <si>
    <t>Sam Callaghan</t>
  </si>
  <si>
    <t>Xinju Liang</t>
  </si>
  <si>
    <t>Christina Gangemi</t>
  </si>
  <si>
    <t>Nathan Pinnawala</t>
  </si>
  <si>
    <t>Zac Lucarelli</t>
  </si>
  <si>
    <t>Chloe Rosenberg</t>
  </si>
  <si>
    <t>Nicholas Chan</t>
  </si>
  <si>
    <t>Grace Evans</t>
  </si>
  <si>
    <t>IF(MIN(IF(ISBLANK(AP10),AQ10,AP10),IF(ISBLANK(AQ10),AP10,AQ10))=0,"",MIN(IF(ISBLANK(AP10),AQ10,AP10),IF(ISBLANK(AQ10),AP10,AQ10)))</t>
  </si>
  <si>
    <t>Jeremy Williams</t>
  </si>
  <si>
    <t>Genevieve Bowen</t>
  </si>
  <si>
    <t>Scott Bowen</t>
  </si>
  <si>
    <t>Mikelis Stepanuks</t>
  </si>
  <si>
    <t>Alex Sibree</t>
  </si>
  <si>
    <t>Fann Goh</t>
  </si>
  <si>
    <t>Weike Zhang</t>
  </si>
  <si>
    <t>genevieve Bowen</t>
  </si>
  <si>
    <t>AR</t>
  </si>
  <si>
    <t>19/06/2018</t>
  </si>
  <si>
    <t>IF(MIN(IF(ISBLANK(AO10),AP10,AO10),IF(ISBLANK(AP10),AO10,AP10))=0,"",MIN(IF(ISBLANK(AO10),AP10,AO10),IF(ISBLANK(AP10),AO10,AP10)))</t>
  </si>
  <si>
    <t>Ben Steer</t>
  </si>
  <si>
    <t>AS</t>
  </si>
  <si>
    <t>IF(MIN(IF(ISBLANK(AQ10),AR10,AQ10),IF(ISBLANK(AR10),AQ10,AR10))=0,"",MIN(IF(ISBLANK(AQ10),AR10,AQ10),IF(ISBLANK(AR10),AQ10,AR10)))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</si>
</sst>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m:ss"/>
  </numFmts>
  <fonts count="10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Border="1"/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0" fontId="2" fillId="0" borderId="0" xfId="0" applyFont="1"/>
    <xf numFmtId="2" fontId="2" fillId="0" borderId="1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" xfId="0" applyFont="1" applyBorder="1"/>
    <xf numFmtId="0" fontId="2" fillId="0" borderId="0" xfId="0" applyFont="1" applyBorder="1"/>
    <xf numFmtId="49" fontId="2" fillId="0" borderId="0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3" borderId="5" xfId="0" applyFont="1" applyFill="1" applyBorder="1"/>
    <xf numFmtId="0" fontId="2" fillId="0" borderId="5" xfId="0" applyFont="1" applyBorder="1" applyAlignment="1">
      <alignment horizontal="center"/>
    </xf>
    <xf numFmtId="0" fontId="0" fillId="0" borderId="5" xfId="0" applyBorder="1"/>
    <xf numFmtId="0" fontId="1" fillId="0" borderId="7" xfId="0" applyFont="1" applyBorder="1"/>
    <xf numFmtId="0" fontId="2" fillId="4" borderId="6" xfId="0" applyFont="1" applyFill="1" applyBorder="1" applyAlignment="1">
      <alignment horizontal="left" indent="1"/>
    </xf>
    <xf numFmtId="0" fontId="4" fillId="0" borderId="0" xfId="0" applyFont="1" applyAlignment="1">
      <alignment horizontal="center"/>
    </xf>
    <xf numFmtId="0" fontId="2" fillId="0" borderId="0" xfId="0" applyNumberFormat="1" applyFont="1" applyAlignment="1">
      <alignment horizontal="left"/>
    </xf>
    <xf numFmtId="0" fontId="2" fillId="4" borderId="8" xfId="0" applyFont="1" applyFill="1" applyBorder="1" applyAlignment="1">
      <alignment horizontal="left" indent="1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1" xfId="0" applyFont="1" applyBorder="1"/>
    <xf numFmtId="0" fontId="1" fillId="0" borderId="11" xfId="0" applyFont="1" applyBorder="1"/>
    <xf numFmtId="0" fontId="2" fillId="4" borderId="12" xfId="0" applyFont="1" applyFill="1" applyBorder="1" applyAlignment="1">
      <alignment horizontal="left" indent="1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/>
    <xf numFmtId="0" fontId="2" fillId="0" borderId="4" xfId="0" applyFont="1" applyBorder="1"/>
    <xf numFmtId="49" fontId="2" fillId="0" borderId="4" xfId="0" applyNumberFormat="1" applyFont="1" applyBorder="1" applyAlignment="1">
      <alignment horizontal="center"/>
    </xf>
    <xf numFmtId="0" fontId="0" fillId="0" borderId="4" xfId="0" applyBorder="1"/>
    <xf numFmtId="0" fontId="6" fillId="0" borderId="0" xfId="0" applyFont="1"/>
    <xf numFmtId="49" fontId="2" fillId="0" borderId="0" xfId="0" applyNumberFormat="1" applyFont="1" applyBorder="1" applyAlignment="1">
      <alignment horizontal="right" indent="1"/>
    </xf>
    <xf numFmtId="0" fontId="1" fillId="0" borderId="0" xfId="0" applyFont="1" applyAlignment="1">
      <alignment horizontal="right" indent="1"/>
    </xf>
    <xf numFmtId="49" fontId="0" fillId="0" borderId="0" xfId="0" applyNumberFormat="1" applyBorder="1" applyAlignment="1">
      <alignment horizontal="right" indent="1"/>
    </xf>
    <xf numFmtId="49" fontId="0" fillId="0" borderId="0" xfId="0" applyNumberFormat="1" applyAlignment="1">
      <alignment horizontal="right" indent="1"/>
    </xf>
    <xf numFmtId="49" fontId="2" fillId="2" borderId="1" xfId="0" applyNumberFormat="1" applyFont="1" applyFill="1" applyBorder="1" applyAlignment="1">
      <alignment horizontal="right" indent="1"/>
    </xf>
    <xf numFmtId="49" fontId="2" fillId="0" borderId="0" xfId="0" applyNumberFormat="1" applyFont="1" applyAlignment="1">
      <alignment horizontal="right" indent="1"/>
    </xf>
    <xf numFmtId="0" fontId="2" fillId="0" borderId="0" xfId="0" applyNumberFormat="1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165" fontId="2" fillId="2" borderId="1" xfId="0" applyNumberFormat="1" applyFont="1" applyFill="1" applyBorder="1" applyAlignment="1">
      <alignment horizontal="right" indent="1"/>
    </xf>
    <xf numFmtId="165" fontId="0" fillId="0" borderId="0" xfId="0" applyNumberFormat="1" applyAlignment="1">
      <alignment horizontal="right" indent="1"/>
    </xf>
    <xf numFmtId="165" fontId="2" fillId="0" borderId="0" xfId="0" applyNumberFormat="1" applyFont="1" applyAlignment="1">
      <alignment horizontal="right" indent="1"/>
    </xf>
    <xf numFmtId="49" fontId="2" fillId="2" borderId="7" xfId="0" applyNumberFormat="1" applyFont="1" applyFill="1" applyBorder="1" applyAlignment="1">
      <alignment horizontal="right" indent="1"/>
    </xf>
    <xf numFmtId="165" fontId="2" fillId="2" borderId="7" xfId="0" applyNumberFormat="1" applyFont="1" applyFill="1" applyBorder="1" applyAlignment="1">
      <alignment horizontal="right" indent="1"/>
    </xf>
    <xf numFmtId="16" fontId="2" fillId="0" borderId="2" xfId="0" applyNumberFormat="1" applyFont="1" applyBorder="1" applyAlignment="1">
      <alignment horizontal="center"/>
    </xf>
    <xf numFmtId="16" fontId="2" fillId="0" borderId="3" xfId="0" applyNumberFormat="1" applyFont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" fontId="2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0" fontId="2" fillId="0" borderId="4" xfId="0" applyNumberFormat="1" applyFont="1" applyBorder="1" applyAlignment="1">
      <alignment horizontal="center"/>
    </xf>
    <xf numFmtId="45" fontId="2" fillId="4" borderId="13" xfId="0" applyNumberFormat="1" applyFont="1" applyFill="1" applyBorder="1" applyAlignment="1">
      <alignment horizontal="right" indent="1"/>
    </xf>
    <xf numFmtId="45" fontId="2" fillId="4" borderId="5" xfId="0" applyNumberFormat="1" applyFont="1" applyFill="1" applyBorder="1" applyAlignment="1">
      <alignment horizontal="right" indent="1"/>
    </xf>
    <xf numFmtId="45" fontId="2" fillId="4" borderId="9" xfId="0" applyNumberFormat="1" applyFont="1" applyFill="1" applyBorder="1" applyAlignment="1">
      <alignment horizontal="right" indent="1"/>
    </xf>
    <xf numFmtId="165" fontId="2" fillId="4" borderId="13" xfId="0" applyNumberFormat="1" applyFont="1" applyFill="1" applyBorder="1" applyAlignment="1">
      <alignment horizontal="right" indent="1"/>
    </xf>
    <xf numFmtId="45" fontId="2" fillId="4" borderId="3" xfId="0" applyNumberFormat="1" applyFont="1" applyFill="1" applyBorder="1" applyAlignment="1">
      <alignment horizontal="right" indent="1"/>
    </xf>
    <xf numFmtId="45" fontId="2" fillId="4" borderId="14" xfId="0" applyNumberFormat="1" applyFont="1" applyFill="1" applyBorder="1" applyAlignment="1">
      <alignment horizontal="right" indent="1"/>
    </xf>
    <xf numFmtId="45" fontId="2" fillId="4" borderId="15" xfId="0" applyNumberFormat="1" applyFont="1" applyFill="1" applyBorder="1" applyAlignment="1">
      <alignment horizontal="right" indent="1"/>
    </xf>
    <xf numFmtId="45" fontId="2" fillId="4" borderId="16" xfId="0" applyNumberFormat="1" applyFont="1" applyFill="1" applyBorder="1" applyAlignment="1">
      <alignment horizontal="right" indent="1"/>
    </xf>
    <xf numFmtId="45" fontId="2" fillId="4" borderId="17" xfId="0" applyNumberFormat="1" applyFont="1" applyFill="1" applyBorder="1" applyAlignment="1">
      <alignment horizontal="right" indent="1"/>
    </xf>
    <xf numFmtId="45" fontId="2" fillId="4" borderId="18" xfId="0" applyNumberFormat="1" applyFont="1" applyFill="1" applyBorder="1" applyAlignment="1">
      <alignment horizontal="right" indent="1"/>
    </xf>
    <xf numFmtId="45" fontId="2" fillId="4" borderId="19" xfId="0" applyNumberFormat="1" applyFont="1" applyFill="1" applyBorder="1" applyAlignment="1">
      <alignment horizontal="right" indent="1"/>
    </xf>
    <xf numFmtId="0" fontId="8" fillId="0" borderId="0" xfId="0" applyNumberFormat="1" applyFont="1" applyAlignment="1">
      <alignment horizontal="center"/>
    </xf>
    <xf numFmtId="0" fontId="2" fillId="5" borderId="1" xfId="0" applyFont="1" applyFill="1" applyBorder="1"/>
    <xf numFmtId="0" fontId="9" fillId="0" borderId="1" xfId="0" applyFont="1" applyBorder="1"/>
    <xf numFmtId="0" fontId="2" fillId="5" borderId="1" xfId="0" applyFont="1" applyFill="1" applyBorder="1" applyAlignment="1">
      <alignment horizontal="left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5" xfId="0" applyNumberFormat="1" applyFont="1" applyBorder="1" applyAlignment="1">
      <alignment horizontal="center"/>
    </xf>
  </cellXfs>
  <cellStyles count="1">
    <cellStyle name="Normal" xfId="0" builtinId="0"/>
  </cellStyles>
  <dxfs count="92"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ill>
        <patternFill>
          <bgColor theme="9" tint="0.59996337778862885"/>
        </patternFill>
      </fill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/>
        <color theme="5"/>
      </font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E6E6E6"/>
      <color rgb="FFECECEC"/>
      <color rgb="FFF7F7F7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v>Andrew Rodda</c:v>
          </c:tx>
          <c:cat>
            <c:strRef>
              <c:f>(Names!$D$9,Names!$E$8,Names!$G$8,Names!$I$8,Names!$K$8,Names!$M$8,Names!$O$8,Names!$R$8,Names!$U$8)</c:f>
              <c:strCache>
                <c:ptCount val="9"/>
                <c:pt idx="0">
                  <c:v>PB</c:v>
                </c:pt>
                <c:pt idx="1">
                  <c:v>12/8/2015</c:v>
                </c:pt>
                <c:pt idx="2">
                  <c:v>2/23/2016</c:v>
                </c:pt>
                <c:pt idx="3">
                  <c:v>4/12/2016</c:v>
                </c:pt>
                <c:pt idx="4">
                  <c:v>5/31/2016</c:v>
                </c:pt>
                <c:pt idx="5">
                  <c:v>7/26/2016</c:v>
                </c:pt>
                <c:pt idx="6">
                  <c:v>9/20/2016</c:v>
                </c:pt>
                <c:pt idx="7">
                  <c:v>11/15/2016</c:v>
                </c:pt>
                <c:pt idx="8">
                  <c:v>1/31/2017</c:v>
                </c:pt>
              </c:strCache>
            </c:strRef>
          </c:cat>
          <c:val>
            <c:numRef>
              <c:f>(Names!$D$180,Names!$E$180,Names!$G$180,Names!$I$180,Names!$K$180,Names!$M$180,Names!$O$180,Names!$R$180,Names!$U$180)</c:f>
              <c:numCache>
                <c:formatCode>@</c:formatCode>
                <c:ptCount val="9"/>
              </c:numCache>
            </c:numRef>
          </c:val>
        </c:ser>
        <c:ser>
          <c:idx val="1"/>
          <c:order val="1"/>
          <c:tx>
            <c:strRef>
              <c:f>Names!$B$275</c:f>
              <c:strCache>
                <c:ptCount val="1"/>
                <c:pt idx="0">
                  <c:v>Hasara Tennakoon</c:v>
                </c:pt>
              </c:strCache>
            </c:strRef>
          </c:tx>
          <c:cat>
            <c:strRef>
              <c:f>(Names!$D$9,Names!$E$8,Names!$G$8,Names!$I$8,Names!$K$8,Names!$M$8,Names!$O$8,Names!$R$8,Names!$U$8)</c:f>
              <c:strCache>
                <c:ptCount val="9"/>
                <c:pt idx="0">
                  <c:v>PB</c:v>
                </c:pt>
                <c:pt idx="1">
                  <c:v>12/8/2015</c:v>
                </c:pt>
                <c:pt idx="2">
                  <c:v>2/23/2016</c:v>
                </c:pt>
                <c:pt idx="3">
                  <c:v>4/12/2016</c:v>
                </c:pt>
                <c:pt idx="4">
                  <c:v>5/31/2016</c:v>
                </c:pt>
                <c:pt idx="5">
                  <c:v>7/26/2016</c:v>
                </c:pt>
                <c:pt idx="6">
                  <c:v>9/20/2016</c:v>
                </c:pt>
                <c:pt idx="7">
                  <c:v>11/15/2016</c:v>
                </c:pt>
                <c:pt idx="8">
                  <c:v>1/31/2017</c:v>
                </c:pt>
              </c:strCache>
            </c:strRef>
          </c:cat>
          <c:val>
            <c:numRef>
              <c:f>(Names!$D$275,Names!$E$275,Names!$G$275,Names!$I$275,Names!$K$275,Names!$M$275,Names!$O$275,Names!$R$275,Names!$U$275)</c:f>
              <c:numCache>
                <c:formatCode>@</c:formatCode>
                <c:ptCount val="9"/>
              </c:numCache>
            </c:numRef>
          </c:val>
        </c:ser>
        <c:ser>
          <c:idx val="2"/>
          <c:order val="2"/>
          <c:tx>
            <c:strRef>
              <c:f>Names!$B$652</c:f>
              <c:strCache>
                <c:ptCount val="1"/>
                <c:pt idx="0">
                  <c:v>Sarah Klink</c:v>
                </c:pt>
              </c:strCache>
            </c:strRef>
          </c:tx>
          <c:cat>
            <c:strRef>
              <c:f>(Names!$D$9,Names!$E$8,Names!$G$8,Names!$I$8,Names!$K$8,Names!$M$8,Names!$O$8,Names!$R$8,Names!$U$8)</c:f>
              <c:strCache>
                <c:ptCount val="9"/>
                <c:pt idx="0">
                  <c:v>PB</c:v>
                </c:pt>
                <c:pt idx="1">
                  <c:v>12/8/2015</c:v>
                </c:pt>
                <c:pt idx="2">
                  <c:v>2/23/2016</c:v>
                </c:pt>
                <c:pt idx="3">
                  <c:v>4/12/2016</c:v>
                </c:pt>
                <c:pt idx="4">
                  <c:v>5/31/2016</c:v>
                </c:pt>
                <c:pt idx="5">
                  <c:v>7/26/2016</c:v>
                </c:pt>
                <c:pt idx="6">
                  <c:v>9/20/2016</c:v>
                </c:pt>
                <c:pt idx="7">
                  <c:v>11/15/2016</c:v>
                </c:pt>
                <c:pt idx="8">
                  <c:v>1/31/2017</c:v>
                </c:pt>
              </c:strCache>
            </c:strRef>
          </c:cat>
          <c:val>
            <c:numRef>
              <c:f>(Names!$D$652,Names!$E$652,Names!$G$652,Names!$I$652,Names!$K$652,Names!$M$652,Names!$O$652,Names!$R$652,Names!$U$652)</c:f>
            </c:numRef>
          </c:val>
        </c:ser>
        <c:marker val="1"/>
        <c:axId val="115495680"/>
        <c:axId val="115497216"/>
      </c:lineChart>
      <c:catAx>
        <c:axId val="115495680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5497216"/>
        <c:crosses val="autoZero"/>
        <c:auto val="1"/>
        <c:lblAlgn val="ctr"/>
        <c:lblOffset val="100"/>
      </c:catAx>
      <c:valAx>
        <c:axId val="115497216"/>
        <c:scaling>
          <c:orientation val="minMax"/>
        </c:scaling>
        <c:axPos val="l"/>
        <c:majorGridlines/>
        <c:numFmt formatCode="@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5495680"/>
        <c:crosses val="autoZero"/>
        <c:crossBetween val="between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3</xdr:row>
      <xdr:rowOff>9525</xdr:rowOff>
    </xdr:from>
    <xdr:to>
      <xdr:col>18</xdr:col>
      <xdr:colOff>361950</xdr:colOff>
      <xdr:row>43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AT783"/>
  <sheetViews>
    <sheetView tabSelected="1" zoomScale="95" zoomScaleNormal="95" workbookViewId="0">
      <pane xSplit="3" ySplit="8" topLeftCell="Z564" activePane="bottomRight" state="frozen"/>
      <selection pane="topRight" activeCell="D1" sqref="D1"/>
      <selection pane="bottomLeft" activeCell="A9" sqref="A9"/>
      <selection pane="bottomRight" activeCell="AR626" sqref="AR626"/>
    </sheetView>
  </sheetViews>
  <sheetFormatPr defaultRowHeight="18.75"/>
  <cols>
    <col min="1" max="1" width="4.42578125" style="3" customWidth="1"/>
    <col min="2" max="2" width="27.7109375" customWidth="1"/>
    <col min="3" max="3" width="3.5703125" bestFit="1" customWidth="1"/>
    <col min="4" max="4" width="9.140625" style="17" customWidth="1"/>
    <col min="5" max="5" width="9.140625" style="18" customWidth="1"/>
    <col min="6" max="8" width="9.140625" style="25" customWidth="1"/>
    <col min="9" max="10" width="9.140625" style="17" customWidth="1"/>
    <col min="11" max="14" width="9.140625" style="3" customWidth="1"/>
    <col min="15" max="15" width="9.140625" customWidth="1"/>
    <col min="16" max="16" width="10.85546875" hidden="1" customWidth="1"/>
    <col min="17" max="18" width="9.140625" customWidth="1"/>
    <col min="19" max="19" width="10.85546875" hidden="1" customWidth="1"/>
    <col min="20" max="21" width="9.140625" customWidth="1"/>
    <col min="22" max="22" width="10.85546875" hidden="1" customWidth="1"/>
    <col min="23" max="24" width="9.140625" customWidth="1"/>
    <col min="25" max="25" width="9.140625" hidden="1" customWidth="1"/>
    <col min="26" max="27" width="9.140625" customWidth="1"/>
    <col min="28" max="28" width="9.140625" hidden="1" customWidth="1"/>
    <col min="29" max="30" width="9.140625" customWidth="1"/>
    <col min="31" max="31" width="9.140625" hidden="1" customWidth="1"/>
    <col min="32" max="32" width="9.140625" customWidth="1"/>
    <col min="34" max="34" width="9.140625" hidden="1" customWidth="1"/>
    <col min="37" max="37" width="9.140625" hidden="1" customWidth="1"/>
    <col min="40" max="40" width="9.140625" hidden="1" customWidth="1"/>
    <col min="45" max="45" width="0" hidden="1" customWidth="1"/>
  </cols>
  <sheetData>
    <row r="1" spans="1:46" ht="18.75" customHeight="1">
      <c r="H1" s="32"/>
      <c r="O1" s="3"/>
      <c r="P1" s="3"/>
      <c r="Q1" s="3"/>
    </row>
    <row r="2" spans="1:46" ht="18.75" customHeight="1">
      <c r="B2" s="23"/>
      <c r="C2" s="23"/>
      <c r="O2" s="3"/>
      <c r="P2" s="3"/>
      <c r="Q2" s="3"/>
    </row>
    <row r="3" spans="1:46" ht="18.75" customHeight="1">
      <c r="B3" s="23" t="s">
        <v>895</v>
      </c>
      <c r="C3" s="23"/>
      <c r="D3" s="39" t="s">
        <v>0</v>
      </c>
      <c r="E3" s="43" t="s">
        <v>560</v>
      </c>
      <c r="F3" s="66" t="s">
        <v>568</v>
      </c>
      <c r="O3" s="3"/>
      <c r="P3" s="3"/>
      <c r="Q3" s="3"/>
    </row>
    <row r="4" spans="1:46" ht="18.75" customHeight="1">
      <c r="D4" s="64" t="s">
        <v>894</v>
      </c>
      <c r="E4" s="65"/>
      <c r="O4" s="3"/>
      <c r="P4" s="3"/>
      <c r="Q4" s="3"/>
    </row>
    <row r="5" spans="1:46" ht="3.75" customHeight="1">
      <c r="D5" s="64"/>
      <c r="E5" s="65"/>
      <c r="O5" s="3"/>
      <c r="P5" s="3"/>
      <c r="Q5" s="3"/>
    </row>
    <row r="6" spans="1:46" ht="18.75" customHeight="1">
      <c r="D6" s="64" t="s">
        <v>825</v>
      </c>
      <c r="E6" s="65" t="s">
        <v>894</v>
      </c>
      <c r="F6" s="78" t="s">
        <v>898</v>
      </c>
      <c r="O6" s="3"/>
      <c r="P6" s="3"/>
      <c r="Q6" s="3"/>
    </row>
    <row r="7" spans="1:46" ht="18.75" customHeight="1">
      <c r="O7" s="3"/>
      <c r="P7" s="3"/>
      <c r="Q7" s="3"/>
    </row>
    <row r="8" spans="1:46" ht="18.75" customHeight="1">
      <c r="E8" s="82">
        <v>42346</v>
      </c>
      <c r="F8" s="84"/>
      <c r="G8" s="82">
        <v>42423</v>
      </c>
      <c r="H8" s="84"/>
      <c r="I8" s="82">
        <v>42472</v>
      </c>
      <c r="J8" s="84"/>
      <c r="K8" s="82">
        <v>42521</v>
      </c>
      <c r="L8" s="84"/>
      <c r="M8" s="82">
        <v>42577</v>
      </c>
      <c r="N8" s="84"/>
      <c r="O8" s="82">
        <v>42633</v>
      </c>
      <c r="P8" s="83"/>
      <c r="Q8" s="84"/>
      <c r="R8" s="82">
        <v>42689</v>
      </c>
      <c r="S8" s="83"/>
      <c r="T8" s="84"/>
      <c r="U8" s="82">
        <v>42766</v>
      </c>
      <c r="V8" s="83"/>
      <c r="W8" s="84"/>
      <c r="X8" s="82">
        <v>42829</v>
      </c>
      <c r="Y8" s="83"/>
      <c r="Z8" s="84"/>
      <c r="AA8" s="82">
        <v>42878</v>
      </c>
      <c r="AB8" s="83"/>
      <c r="AC8" s="84"/>
      <c r="AD8" s="82">
        <v>42941</v>
      </c>
      <c r="AE8" s="83"/>
      <c r="AF8" s="84"/>
      <c r="AG8" s="82">
        <v>42997</v>
      </c>
      <c r="AH8" s="83"/>
      <c r="AI8" s="84"/>
      <c r="AJ8" s="82" t="s">
        <v>753</v>
      </c>
      <c r="AK8" s="83"/>
      <c r="AL8" s="84"/>
      <c r="AM8" s="82" t="s">
        <v>814</v>
      </c>
      <c r="AN8" s="83"/>
      <c r="AO8" s="84"/>
      <c r="AP8" s="82" t="s">
        <v>823</v>
      </c>
      <c r="AQ8" s="84"/>
      <c r="AR8" s="82" t="s">
        <v>895</v>
      </c>
      <c r="AS8" s="83"/>
      <c r="AT8" s="84"/>
    </row>
    <row r="9" spans="1:46" ht="18.75" customHeight="1">
      <c r="A9" s="24"/>
      <c r="B9" s="12" t="s">
        <v>567</v>
      </c>
      <c r="C9" s="28"/>
      <c r="D9" s="12" t="s">
        <v>0</v>
      </c>
      <c r="E9" s="60" t="s">
        <v>560</v>
      </c>
      <c r="F9" s="12" t="s">
        <v>0</v>
      </c>
      <c r="G9" s="61" t="s">
        <v>560</v>
      </c>
      <c r="H9" s="12" t="s">
        <v>0</v>
      </c>
      <c r="I9" s="61" t="s">
        <v>560</v>
      </c>
      <c r="J9" s="12" t="s">
        <v>0</v>
      </c>
      <c r="K9" s="61" t="s">
        <v>560</v>
      </c>
      <c r="L9" s="12" t="s">
        <v>0</v>
      </c>
      <c r="M9" s="61" t="s">
        <v>560</v>
      </c>
      <c r="N9" s="12" t="s">
        <v>0</v>
      </c>
      <c r="O9" s="63" t="s">
        <v>560</v>
      </c>
      <c r="P9" s="63" t="s">
        <v>564</v>
      </c>
      <c r="Q9" s="12" t="s">
        <v>0</v>
      </c>
      <c r="R9" s="63" t="s">
        <v>560</v>
      </c>
      <c r="S9" s="63" t="s">
        <v>564</v>
      </c>
      <c r="T9" s="12" t="s">
        <v>0</v>
      </c>
      <c r="U9" s="63" t="s">
        <v>560</v>
      </c>
      <c r="V9" s="63" t="s">
        <v>564</v>
      </c>
      <c r="W9" s="12" t="s">
        <v>0</v>
      </c>
      <c r="X9" s="16" t="s">
        <v>560</v>
      </c>
      <c r="Y9" s="10" t="s">
        <v>564</v>
      </c>
      <c r="Z9" s="10" t="s">
        <v>0</v>
      </c>
      <c r="AA9" s="16" t="s">
        <v>560</v>
      </c>
      <c r="AB9" s="10" t="s">
        <v>564</v>
      </c>
      <c r="AC9" s="10" t="s">
        <v>0</v>
      </c>
      <c r="AD9" s="16" t="s">
        <v>560</v>
      </c>
      <c r="AE9" s="10" t="s">
        <v>564</v>
      </c>
      <c r="AF9" s="10" t="s">
        <v>0</v>
      </c>
      <c r="AG9" s="16" t="s">
        <v>560</v>
      </c>
      <c r="AH9" s="10" t="s">
        <v>564</v>
      </c>
      <c r="AI9" s="10" t="s">
        <v>0</v>
      </c>
      <c r="AJ9" s="16" t="s">
        <v>560</v>
      </c>
      <c r="AK9" s="10" t="s">
        <v>564</v>
      </c>
      <c r="AL9" s="10" t="s">
        <v>0</v>
      </c>
      <c r="AM9" s="16" t="s">
        <v>560</v>
      </c>
      <c r="AN9" s="10" t="s">
        <v>564</v>
      </c>
      <c r="AO9" s="10" t="s">
        <v>0</v>
      </c>
      <c r="AP9" s="16" t="s">
        <v>560</v>
      </c>
      <c r="AQ9" s="10" t="s">
        <v>0</v>
      </c>
      <c r="AR9" s="16" t="s">
        <v>560</v>
      </c>
      <c r="AS9" s="10"/>
      <c r="AT9" s="10" t="s">
        <v>0</v>
      </c>
    </row>
    <row r="10" spans="1:46" ht="18.75" hidden="1" customHeight="1">
      <c r="A10" s="24"/>
      <c r="B10" s="26" t="s">
        <v>512</v>
      </c>
      <c r="C10" s="26" t="s">
        <v>443</v>
      </c>
      <c r="D10" s="50"/>
      <c r="E10" s="51"/>
      <c r="F10" s="58"/>
      <c r="G10" s="52"/>
      <c r="H10" s="58"/>
      <c r="I10" s="53"/>
      <c r="J10" s="58"/>
      <c r="K10" s="54"/>
      <c r="L10" s="58"/>
      <c r="M10" s="56"/>
      <c r="N10" s="59" t="s">
        <v>448</v>
      </c>
      <c r="O10" s="56"/>
      <c r="P10" s="56"/>
      <c r="Q10" s="59" t="str">
        <f>IF(MIN(IF(ISBLANK(O10),N10,O10),IF(ISBLANK(N10),O10,N10))=0,"",MIN(IF(ISBLANK(O10),N10,O10),IF(ISBLANK(N10),O10,N10)))</f>
        <v/>
      </c>
      <c r="R10" s="56"/>
      <c r="S10" s="56"/>
      <c r="T10" s="59" t="str">
        <f>IF(MIN(IF(ISBLANK(R10),Q10,R10),IF(ISBLANK(Q10),R10,Q10))=0,"",MIN(IF(ISBLANK(R10),Q10,R10),IF(ISBLANK(Q10),R10,Q10)))</f>
        <v/>
      </c>
      <c r="U10" s="56"/>
      <c r="V10" s="56"/>
      <c r="W10" s="59" t="str">
        <f>IF(MIN(IF(ISBLANK(U10),T10,U10),IF(ISBLANK(T10),U10,T10))=0,"",MIN(IF(ISBLANK(U10),T10,U10),IF(ISBLANK(T10),U10,T10)))</f>
        <v/>
      </c>
      <c r="X10" s="56"/>
      <c r="Y10" s="56"/>
      <c r="Z10" s="59" t="str">
        <f>IF(MIN(IF(ISBLANK(X10),W10,X10),IF(ISBLANK(W10),X10,W10))=0,"",MIN(IF(ISBLANK(X10),W10,X10),IF(ISBLANK(W10),X10,W10)))</f>
        <v/>
      </c>
      <c r="AA10" s="56"/>
      <c r="AB10" s="56"/>
      <c r="AC10" s="59" t="str">
        <f>IF(MIN(IF(ISBLANK(Z10),AA10,Z10),IF(ISBLANK(AA10),Z10,AA10))=0,"",MIN(IF(ISBLANK(Z10),AA10,Z10),IF(ISBLANK(AA10),Z10,AA10)))</f>
        <v/>
      </c>
      <c r="AD10" s="56"/>
      <c r="AE10" s="56"/>
      <c r="AF10" s="59" t="str">
        <f t="shared" ref="AF10:AF23" si="0">IF(MIN(IF(ISBLANK(AC10),AD10,AC10),IF(ISBLANK(AD10),AC10,AD10))=0,"",MIN(IF(ISBLANK(AC10),AD10,AC10),IF(ISBLANK(AD10),AC10,AD10)))</f>
        <v/>
      </c>
      <c r="AG10" s="56"/>
      <c r="AH10" s="56"/>
      <c r="AI10" s="59" t="str">
        <f t="shared" ref="AI10:AI23" si="1">IF(MIN(IF(ISBLANK(AF10),AG10,AF10),IF(ISBLANK(AG10),AF10,AG10))=0,"",MIN(IF(ISBLANK(AF10),AG10,AF10),IF(ISBLANK(AG10),AF10,AG10)))</f>
        <v/>
      </c>
      <c r="AJ10" s="56"/>
      <c r="AK10" s="56"/>
      <c r="AL10" s="59" t="str">
        <f t="shared" ref="AL10:AL34" si="2">IF(MIN(IF(ISBLANK(AI10),AJ10,AI10),IF(ISBLANK(AJ10),AI10,AJ10))=0,"",MIN(IF(ISBLANK(AI10),AJ10,AI10),IF(ISBLANK(AJ10),AI10,AJ10)))</f>
        <v/>
      </c>
      <c r="AM10" s="56"/>
      <c r="AN10" s="56"/>
      <c r="AO10" s="59" t="str">
        <f t="shared" ref="AO10:AO34" si="3">IF(MIN(IF(ISBLANK(AL10),AM10,AL10),IF(ISBLANK(AM10),AL10,AM10))=0,"",MIN(IF(ISBLANK(AL10),AM10,AL10),IF(ISBLANK(AM10),AL10,AM10)))</f>
        <v/>
      </c>
      <c r="AP10" s="56"/>
      <c r="AQ10" s="59" t="str">
        <f>IF(MIN(IF(ISBLANK(AO10),AP10,AO10),IF(ISBLANK(AP10),AO10,AP10))=0,"",MIN(IF(ISBLANK(AO10),AP10,AO10),IF(ISBLANK(AP10),AO10,AP10)))</f>
        <v/>
      </c>
      <c r="AR10" s="56"/>
      <c r="AS10" s="56"/>
      <c r="AT10" s="59" t="str">
        <f>IF(MIN(IF(ISBLANK(AQ10),AR10,AQ10),IF(ISBLANK(AR10),AQ10,AR10))=0,"",MIN(IF(ISBLANK(AQ10),AR10,AQ10),IF(ISBLANK(AR10),AQ10,AR10)))</f>
        <v/>
      </c>
    </row>
    <row r="11" spans="1:46" ht="18.75" hidden="1" customHeight="1">
      <c r="A11" s="24"/>
      <c r="B11" s="26" t="s">
        <v>537</v>
      </c>
      <c r="C11" s="26" t="s">
        <v>443</v>
      </c>
      <c r="D11" s="50"/>
      <c r="E11" s="51"/>
      <c r="F11" s="58"/>
      <c r="G11" s="52"/>
      <c r="H11" s="58"/>
      <c r="I11" s="53"/>
      <c r="J11" s="58"/>
      <c r="K11" s="53"/>
      <c r="L11" s="58"/>
      <c r="M11" s="57"/>
      <c r="N11" s="59"/>
      <c r="O11" s="57"/>
      <c r="P11" s="57"/>
      <c r="Q11" s="59" t="str">
        <f>IF(MIN(IF(ISBLANK(O11),N11,O11),IF(ISBLANK(N11),O11,N11))=0,"",MIN(IF(ISBLANK(O11),N11,O11),IF(ISBLANK(N11),O11,N11)))</f>
        <v/>
      </c>
      <c r="R11" s="57"/>
      <c r="S11" s="57"/>
      <c r="T11" s="59" t="str">
        <f>IF(MIN(IF(ISBLANK(R11),Q11,R11),IF(ISBLANK(Q11),R11,Q11))=0,"",MIN(IF(ISBLANK(R11),Q11,R11),IF(ISBLANK(Q11),R11,Q11)))</f>
        <v/>
      </c>
      <c r="U11" s="57"/>
      <c r="V11" s="57"/>
      <c r="W11" s="59" t="str">
        <f>IF(MIN(IF(ISBLANK(U11),T11,U11),IF(ISBLANK(T11),U11,T11))=0,"",MIN(IF(ISBLANK(U11),T11,U11),IF(ISBLANK(T11),U11,T11)))</f>
        <v/>
      </c>
      <c r="X11" s="57"/>
      <c r="Y11" s="57"/>
      <c r="Z11" s="59" t="str">
        <f>IF(MIN(IF(ISBLANK(X11),W11,X11),IF(ISBLANK(W11),X11,W11))=0,"",MIN(IF(ISBLANK(X11),W11,X11),IF(ISBLANK(W11),X11,W11)))</f>
        <v/>
      </c>
      <c r="AA11" s="57"/>
      <c r="AB11" s="57"/>
      <c r="AC11" s="59" t="str">
        <f>IF(MIN(IF(ISBLANK(Z11),AA11,Z11),IF(ISBLANK(AA11),Z11,AA11))=0,"",MIN(IF(ISBLANK(Z11),AA11,Z11),IF(ISBLANK(AA11),Z11,AA11)))</f>
        <v/>
      </c>
      <c r="AD11" s="57"/>
      <c r="AE11" s="57"/>
      <c r="AF11" s="59" t="str">
        <f t="shared" si="0"/>
        <v/>
      </c>
      <c r="AG11" s="57"/>
      <c r="AH11" s="57"/>
      <c r="AI11" s="59" t="str">
        <f t="shared" si="1"/>
        <v/>
      </c>
      <c r="AJ11" s="57"/>
      <c r="AK11" s="57"/>
      <c r="AL11" s="59" t="str">
        <f t="shared" si="2"/>
        <v/>
      </c>
      <c r="AM11" s="57"/>
      <c r="AN11" s="57"/>
      <c r="AO11" s="59" t="str">
        <f t="shared" si="3"/>
        <v/>
      </c>
      <c r="AP11" s="57"/>
      <c r="AQ11" s="59" t="str">
        <f t="shared" ref="AQ11:AQ74" si="4">IF(MIN(IF(ISBLANK(AO11),AP11,AO11),IF(ISBLANK(AP11),AO11,AP11))=0,"",MIN(IF(ISBLANK(AO11),AP11,AO11),IF(ISBLANK(AP11),AO11,AP11)))</f>
        <v/>
      </c>
      <c r="AR11" s="57"/>
      <c r="AS11" s="57"/>
      <c r="AT11" s="59" t="str">
        <f t="shared" ref="AT11:AT74" si="5">IF(MIN(IF(ISBLANK(AQ11),AR11,AQ11),IF(ISBLANK(AR11),AQ11,AR11))=0,"",MIN(IF(ISBLANK(AQ11),AR11,AQ11),IF(ISBLANK(AR11),AQ11,AR11)))</f>
        <v/>
      </c>
    </row>
    <row r="12" spans="1:46" ht="18.75" hidden="1" customHeight="1">
      <c r="A12" s="24"/>
      <c r="B12" s="26" t="s">
        <v>2</v>
      </c>
      <c r="C12" s="26" t="s">
        <v>443</v>
      </c>
      <c r="D12" s="59">
        <v>5.4513888888888884E-3</v>
      </c>
      <c r="E12" s="51"/>
      <c r="F12" s="59">
        <v>5.4513888888888884E-3</v>
      </c>
      <c r="G12" s="57">
        <v>5.6828703703703702E-3</v>
      </c>
      <c r="H12" s="59">
        <v>5.4513888888888884E-3</v>
      </c>
      <c r="I12" s="53"/>
      <c r="J12" s="59">
        <v>5.4513888888888884E-3</v>
      </c>
      <c r="K12" s="54"/>
      <c r="L12" s="59">
        <v>5.4513888888888884E-3</v>
      </c>
      <c r="M12" s="56"/>
      <c r="N12" s="59">
        <v>5.4513888888888884E-3</v>
      </c>
      <c r="O12" s="56"/>
      <c r="P12" s="56"/>
      <c r="Q12" s="59">
        <f>IF(MIN(IF(ISBLANK(O12),N12,O12),IF(ISBLANK(N12),O12,N12))=0,"",MIN(IF(ISBLANK(O12),N12,O12),IF(ISBLANK(N12),O12,N12)))</f>
        <v>5.4513888888888884E-3</v>
      </c>
      <c r="R12" s="56"/>
      <c r="S12" s="56"/>
      <c r="T12" s="59">
        <f>IF(MIN(IF(ISBLANK(R12),Q12,R12),IF(ISBLANK(Q12),R12,Q12))=0,"",MIN(IF(ISBLANK(R12),Q12,R12),IF(ISBLANK(Q12),R12,Q12)))</f>
        <v>5.4513888888888884E-3</v>
      </c>
      <c r="U12" s="56"/>
      <c r="V12" s="56"/>
      <c r="W12" s="59">
        <f>IF(MIN(IF(ISBLANK(U12),T12,U12),IF(ISBLANK(T12),U12,T12))=0,"",MIN(IF(ISBLANK(U12),T12,U12),IF(ISBLANK(T12),U12,T12)))</f>
        <v>5.4513888888888884E-3</v>
      </c>
      <c r="X12" s="56"/>
      <c r="Y12" s="56"/>
      <c r="Z12" s="59">
        <f>IF(MIN(IF(ISBLANK(X12),W12,X12),IF(ISBLANK(W12),X12,W12))=0,"",MIN(IF(ISBLANK(X12),W12,X12),IF(ISBLANK(W12),X12,W12)))</f>
        <v>5.4513888888888884E-3</v>
      </c>
      <c r="AA12" s="56"/>
      <c r="AB12" s="56"/>
      <c r="AC12" s="59">
        <f>IF(MIN(IF(ISBLANK(Z12),AA12,Z12),IF(ISBLANK(AA12),Z12,AA12))=0,"",MIN(IF(ISBLANK(Z12),AA12,Z12),IF(ISBLANK(AA12),Z12,AA12)))</f>
        <v>5.4513888888888884E-3</v>
      </c>
      <c r="AD12" s="56"/>
      <c r="AE12" s="56"/>
      <c r="AF12" s="59">
        <f t="shared" si="0"/>
        <v>5.4513888888888884E-3</v>
      </c>
      <c r="AG12" s="56"/>
      <c r="AH12" s="56"/>
      <c r="AI12" s="59">
        <f t="shared" si="1"/>
        <v>5.4513888888888884E-3</v>
      </c>
      <c r="AJ12" s="56"/>
      <c r="AK12" s="56"/>
      <c r="AL12" s="59">
        <f t="shared" si="2"/>
        <v>5.4513888888888884E-3</v>
      </c>
      <c r="AM12" s="56"/>
      <c r="AN12" s="56"/>
      <c r="AO12" s="59">
        <f t="shared" si="3"/>
        <v>5.4513888888888884E-3</v>
      </c>
      <c r="AP12" s="56"/>
      <c r="AQ12" s="59">
        <f t="shared" si="4"/>
        <v>5.4513888888888884E-3</v>
      </c>
      <c r="AR12" s="56"/>
      <c r="AS12" s="56"/>
      <c r="AT12" s="59">
        <f t="shared" si="5"/>
        <v>5.4513888888888884E-3</v>
      </c>
    </row>
    <row r="13" spans="1:46" ht="18.75" hidden="1" customHeight="1">
      <c r="A13" s="24"/>
      <c r="B13" s="26" t="s">
        <v>372</v>
      </c>
      <c r="C13" s="26" t="s">
        <v>443</v>
      </c>
      <c r="D13" s="50"/>
      <c r="E13" s="51"/>
      <c r="F13" s="58"/>
      <c r="G13" s="52"/>
      <c r="H13" s="58"/>
      <c r="I13" s="53"/>
      <c r="J13" s="58" t="s">
        <v>448</v>
      </c>
      <c r="K13" s="53"/>
      <c r="L13" s="58"/>
      <c r="M13" s="57"/>
      <c r="N13" s="59" t="s">
        <v>448</v>
      </c>
      <c r="O13" s="57"/>
      <c r="P13" s="57"/>
      <c r="Q13" s="59" t="str">
        <f>IF(MIN(IF(ISBLANK(O13),N13,O13),IF(ISBLANK(N13),O13,N13))=0,"",MIN(IF(ISBLANK(O13),N13,O13),IF(ISBLANK(N13),O13,N13)))</f>
        <v/>
      </c>
      <c r="R13" s="57"/>
      <c r="S13" s="57"/>
      <c r="T13" s="59" t="str">
        <f>IF(MIN(IF(ISBLANK(R13),Q13,R13),IF(ISBLANK(Q13),R13,Q13))=0,"",MIN(IF(ISBLANK(R13),Q13,R13),IF(ISBLANK(Q13),R13,Q13)))</f>
        <v/>
      </c>
      <c r="U13" s="57"/>
      <c r="V13" s="57"/>
      <c r="W13" s="59" t="str">
        <f>IF(MIN(IF(ISBLANK(U13),T13,U13),IF(ISBLANK(T13),U13,T13))=0,"",MIN(IF(ISBLANK(U13),T13,U13),IF(ISBLANK(T13),U13,T13)))</f>
        <v/>
      </c>
      <c r="X13" s="57"/>
      <c r="Y13" s="57"/>
      <c r="Z13" s="59" t="str">
        <f>IF(MIN(IF(ISBLANK(X13),W13,X13),IF(ISBLANK(W13),X13,W13))=0,"",MIN(IF(ISBLANK(X13),W13,X13),IF(ISBLANK(W13),X13,W13)))</f>
        <v/>
      </c>
      <c r="AA13" s="57"/>
      <c r="AB13" s="57"/>
      <c r="AC13" s="59" t="str">
        <f>IF(MIN(IF(ISBLANK(Z13),AA13,Z13),IF(ISBLANK(AA13),Z13,AA13))=0,"",MIN(IF(ISBLANK(Z13),AA13,Z13),IF(ISBLANK(AA13),Z13,AA13)))</f>
        <v/>
      </c>
      <c r="AD13" s="57"/>
      <c r="AE13" s="57"/>
      <c r="AF13" s="59" t="str">
        <f t="shared" si="0"/>
        <v/>
      </c>
      <c r="AG13" s="57"/>
      <c r="AH13" s="57"/>
      <c r="AI13" s="59" t="str">
        <f t="shared" si="1"/>
        <v/>
      </c>
      <c r="AJ13" s="57"/>
      <c r="AK13" s="57"/>
      <c r="AL13" s="59" t="str">
        <f t="shared" si="2"/>
        <v/>
      </c>
      <c r="AM13" s="57"/>
      <c r="AN13" s="57"/>
      <c r="AO13" s="59" t="str">
        <f t="shared" si="3"/>
        <v/>
      </c>
      <c r="AP13" s="57"/>
      <c r="AQ13" s="59" t="str">
        <f t="shared" si="4"/>
        <v/>
      </c>
      <c r="AR13" s="57"/>
      <c r="AS13" s="57"/>
      <c r="AT13" s="59" t="str">
        <f t="shared" si="5"/>
        <v/>
      </c>
    </row>
    <row r="14" spans="1:46" ht="18.75" hidden="1" customHeight="1">
      <c r="A14" s="24"/>
      <c r="B14" s="26" t="s">
        <v>725</v>
      </c>
      <c r="C14" s="26"/>
      <c r="D14" s="50"/>
      <c r="E14" s="51"/>
      <c r="F14" s="58"/>
      <c r="G14" s="52"/>
      <c r="H14" s="58"/>
      <c r="I14" s="53"/>
      <c r="J14" s="58"/>
      <c r="K14" s="54"/>
      <c r="L14" s="58"/>
      <c r="M14" s="56"/>
      <c r="N14" s="59"/>
      <c r="O14" s="56"/>
      <c r="P14" s="56"/>
      <c r="Q14" s="59"/>
      <c r="R14" s="56"/>
      <c r="S14" s="56"/>
      <c r="T14" s="59"/>
      <c r="U14" s="56"/>
      <c r="V14" s="56"/>
      <c r="W14" s="59"/>
      <c r="X14" s="56"/>
      <c r="Y14" s="56"/>
      <c r="Z14" s="59"/>
      <c r="AA14" s="56"/>
      <c r="AB14" s="56"/>
      <c r="AC14" s="59"/>
      <c r="AD14" s="56"/>
      <c r="AE14" s="56"/>
      <c r="AF14" s="59" t="str">
        <f t="shared" si="0"/>
        <v/>
      </c>
      <c r="AG14" s="57"/>
      <c r="AH14" s="56"/>
      <c r="AI14" s="59" t="str">
        <f t="shared" si="1"/>
        <v/>
      </c>
      <c r="AJ14" s="57"/>
      <c r="AK14" s="56"/>
      <c r="AL14" s="59" t="str">
        <f t="shared" si="2"/>
        <v/>
      </c>
      <c r="AM14" s="57"/>
      <c r="AN14" s="56"/>
      <c r="AO14" s="59" t="str">
        <f t="shared" si="3"/>
        <v/>
      </c>
      <c r="AP14" s="57"/>
      <c r="AQ14" s="59" t="str">
        <f t="shared" si="4"/>
        <v/>
      </c>
      <c r="AR14" s="57"/>
      <c r="AS14" s="57"/>
      <c r="AT14" s="59" t="str">
        <f t="shared" si="5"/>
        <v/>
      </c>
    </row>
    <row r="15" spans="1:46" ht="18.75" hidden="1" customHeight="1">
      <c r="A15" s="24"/>
      <c r="B15" s="26" t="s">
        <v>373</v>
      </c>
      <c r="C15" s="26" t="s">
        <v>443</v>
      </c>
      <c r="D15" s="50"/>
      <c r="E15" s="51"/>
      <c r="F15" s="58"/>
      <c r="G15" s="52"/>
      <c r="H15" s="58"/>
      <c r="I15" s="57">
        <v>6.7592592592592591E-3</v>
      </c>
      <c r="J15" s="59">
        <v>6.7592592592592591E-3</v>
      </c>
      <c r="K15" s="53"/>
      <c r="L15" s="59">
        <v>6.7592592592592591E-3</v>
      </c>
      <c r="M15" s="57"/>
      <c r="N15" s="59">
        <v>6.7592592592592591E-3</v>
      </c>
      <c r="O15" s="57"/>
      <c r="P15" s="57"/>
      <c r="Q15" s="59">
        <f>IF(MIN(IF(ISBLANK(O15),N15,O15),IF(ISBLANK(N15),O15,N15))=0,"",MIN(IF(ISBLANK(O15),N15,O15),IF(ISBLANK(N15),O15,N15)))</f>
        <v>6.7592592592592591E-3</v>
      </c>
      <c r="R15" s="57"/>
      <c r="S15" s="57"/>
      <c r="T15" s="59">
        <f t="shared" ref="T15:T20" si="6">IF(MIN(IF(ISBLANK(R15),Q15,R15),IF(ISBLANK(Q15),R15,Q15))=0,"",MIN(IF(ISBLANK(R15),Q15,R15),IF(ISBLANK(Q15),R15,Q15)))</f>
        <v>6.7592592592592591E-3</v>
      </c>
      <c r="U15" s="57"/>
      <c r="V15" s="57"/>
      <c r="W15" s="59">
        <f t="shared" ref="W15:W20" si="7">IF(MIN(IF(ISBLANK(U15),T15,U15),IF(ISBLANK(T15),U15,T15))=0,"",MIN(IF(ISBLANK(U15),T15,U15),IF(ISBLANK(T15),U15,T15)))</f>
        <v>6.7592592592592591E-3</v>
      </c>
      <c r="X15" s="57"/>
      <c r="Y15" s="57"/>
      <c r="Z15" s="59">
        <f t="shared" ref="Z15:Z23" si="8">IF(MIN(IF(ISBLANK(X15),W15,X15),IF(ISBLANK(W15),X15,W15))=0,"",MIN(IF(ISBLANK(X15),W15,X15),IF(ISBLANK(W15),X15,W15)))</f>
        <v>6.7592592592592591E-3</v>
      </c>
      <c r="AA15" s="57"/>
      <c r="AB15" s="57"/>
      <c r="AC15" s="59">
        <f t="shared" ref="AC15:AC23" si="9">IF(MIN(IF(ISBLANK(Z15),AA15,Z15),IF(ISBLANK(AA15),Z15,AA15))=0,"",MIN(IF(ISBLANK(Z15),AA15,Z15),IF(ISBLANK(AA15),Z15,AA15)))</f>
        <v>6.7592592592592591E-3</v>
      </c>
      <c r="AD15" s="57"/>
      <c r="AE15" s="57"/>
      <c r="AF15" s="59">
        <f t="shared" si="0"/>
        <v>6.7592592592592591E-3</v>
      </c>
      <c r="AG15" s="57"/>
      <c r="AH15" s="57"/>
      <c r="AI15" s="59">
        <f t="shared" si="1"/>
        <v>6.7592592592592591E-3</v>
      </c>
      <c r="AJ15" s="57"/>
      <c r="AK15" s="57"/>
      <c r="AL15" s="59">
        <f t="shared" si="2"/>
        <v>6.7592592592592591E-3</v>
      </c>
      <c r="AM15" s="57"/>
      <c r="AN15" s="57"/>
      <c r="AO15" s="59">
        <f t="shared" si="3"/>
        <v>6.7592592592592591E-3</v>
      </c>
      <c r="AP15" s="57"/>
      <c r="AQ15" s="59">
        <f t="shared" si="4"/>
        <v>6.7592592592592591E-3</v>
      </c>
      <c r="AR15" s="57"/>
      <c r="AS15" s="57"/>
      <c r="AT15" s="59">
        <f t="shared" si="5"/>
        <v>6.7592592592592591E-3</v>
      </c>
    </row>
    <row r="16" spans="1:46" ht="18.75" hidden="1" customHeight="1">
      <c r="A16" s="24"/>
      <c r="B16" s="26" t="s">
        <v>324</v>
      </c>
      <c r="C16" s="26" t="s">
        <v>443</v>
      </c>
      <c r="D16" s="50"/>
      <c r="E16" s="51"/>
      <c r="F16" s="58" t="s">
        <v>448</v>
      </c>
      <c r="G16" s="52"/>
      <c r="H16" s="58"/>
      <c r="I16" s="53"/>
      <c r="J16" s="58" t="s">
        <v>448</v>
      </c>
      <c r="K16" s="53"/>
      <c r="L16" s="58"/>
      <c r="M16" s="57"/>
      <c r="N16" s="59" t="s">
        <v>448</v>
      </c>
      <c r="O16" s="57"/>
      <c r="P16" s="57"/>
      <c r="Q16" s="59" t="str">
        <f>IF(MIN(IF(ISBLANK(O16),N16,O16),IF(ISBLANK(N16),O16,N16))=0,"",MIN(IF(ISBLANK(O16),N16,O16),IF(ISBLANK(N16),O16,N16)))</f>
        <v/>
      </c>
      <c r="R16" s="57"/>
      <c r="S16" s="57"/>
      <c r="T16" s="59" t="str">
        <f t="shared" si="6"/>
        <v/>
      </c>
      <c r="U16" s="57"/>
      <c r="V16" s="57"/>
      <c r="W16" s="59" t="str">
        <f t="shared" si="7"/>
        <v/>
      </c>
      <c r="X16" s="57"/>
      <c r="Y16" s="57"/>
      <c r="Z16" s="59" t="str">
        <f t="shared" si="8"/>
        <v/>
      </c>
      <c r="AA16" s="57"/>
      <c r="AB16" s="57"/>
      <c r="AC16" s="59" t="str">
        <f t="shared" si="9"/>
        <v/>
      </c>
      <c r="AD16" s="57"/>
      <c r="AE16" s="57"/>
      <c r="AF16" s="59" t="str">
        <f t="shared" si="0"/>
        <v/>
      </c>
      <c r="AG16" s="57"/>
      <c r="AH16" s="57"/>
      <c r="AI16" s="59" t="str">
        <f t="shared" si="1"/>
        <v/>
      </c>
      <c r="AJ16" s="57"/>
      <c r="AK16" s="57"/>
      <c r="AL16" s="59" t="str">
        <f t="shared" si="2"/>
        <v/>
      </c>
      <c r="AM16" s="57"/>
      <c r="AN16" s="57"/>
      <c r="AO16" s="59" t="str">
        <f t="shared" si="3"/>
        <v/>
      </c>
      <c r="AP16" s="57"/>
      <c r="AQ16" s="59" t="str">
        <f t="shared" si="4"/>
        <v/>
      </c>
      <c r="AR16" s="57"/>
      <c r="AS16" s="57"/>
      <c r="AT16" s="59" t="str">
        <f t="shared" si="5"/>
        <v/>
      </c>
    </row>
    <row r="17" spans="1:46" ht="18.75" hidden="1" customHeight="1">
      <c r="A17" s="24"/>
      <c r="B17" s="26" t="s">
        <v>598</v>
      </c>
      <c r="C17" s="26"/>
      <c r="D17" s="50"/>
      <c r="E17" s="51"/>
      <c r="F17" s="58"/>
      <c r="G17" s="52"/>
      <c r="H17" s="58"/>
      <c r="I17" s="53"/>
      <c r="J17" s="58"/>
      <c r="K17" s="53"/>
      <c r="L17" s="58"/>
      <c r="M17" s="57"/>
      <c r="N17" s="59"/>
      <c r="O17" s="57"/>
      <c r="P17" s="57"/>
      <c r="Q17" s="59"/>
      <c r="R17" s="57"/>
      <c r="S17" s="57"/>
      <c r="T17" s="59" t="str">
        <f t="shared" si="6"/>
        <v/>
      </c>
      <c r="U17" s="57"/>
      <c r="V17" s="57"/>
      <c r="W17" s="59" t="str">
        <f t="shared" si="7"/>
        <v/>
      </c>
      <c r="X17" s="57"/>
      <c r="Y17" s="57"/>
      <c r="Z17" s="59" t="str">
        <f t="shared" si="8"/>
        <v/>
      </c>
      <c r="AA17" s="57"/>
      <c r="AB17" s="57"/>
      <c r="AC17" s="59" t="str">
        <f t="shared" si="9"/>
        <v/>
      </c>
      <c r="AD17" s="57"/>
      <c r="AE17" s="57"/>
      <c r="AF17" s="59" t="str">
        <f t="shared" si="0"/>
        <v/>
      </c>
      <c r="AG17" s="57"/>
      <c r="AH17" s="57"/>
      <c r="AI17" s="59" t="str">
        <f t="shared" si="1"/>
        <v/>
      </c>
      <c r="AJ17" s="57"/>
      <c r="AK17" s="57"/>
      <c r="AL17" s="59" t="str">
        <f t="shared" si="2"/>
        <v/>
      </c>
      <c r="AM17" s="57"/>
      <c r="AN17" s="57"/>
      <c r="AO17" s="59" t="str">
        <f t="shared" si="3"/>
        <v/>
      </c>
      <c r="AP17" s="57"/>
      <c r="AQ17" s="59" t="str">
        <f t="shared" si="4"/>
        <v/>
      </c>
      <c r="AR17" s="57"/>
      <c r="AS17" s="57"/>
      <c r="AT17" s="59" t="str">
        <f t="shared" si="5"/>
        <v/>
      </c>
    </row>
    <row r="18" spans="1:46" ht="18.75" hidden="1" customHeight="1">
      <c r="A18" s="24"/>
      <c r="B18" s="26" t="s">
        <v>494</v>
      </c>
      <c r="C18" s="26"/>
      <c r="D18" s="50"/>
      <c r="E18" s="51"/>
      <c r="F18" s="58"/>
      <c r="G18" s="52"/>
      <c r="H18" s="58"/>
      <c r="I18" s="53"/>
      <c r="J18" s="58"/>
      <c r="K18" s="53"/>
      <c r="L18" s="58"/>
      <c r="M18" s="57">
        <v>6.1921296296296299E-3</v>
      </c>
      <c r="N18" s="59">
        <v>6.1921296296296299E-3</v>
      </c>
      <c r="O18" s="57">
        <v>5.8796296296296296E-3</v>
      </c>
      <c r="P18" s="57"/>
      <c r="Q18" s="59">
        <f>IF(MIN(IF(ISBLANK(O18),N18,O18),IF(ISBLANK(N18),O18,N18))=0,"",MIN(IF(ISBLANK(O18),N18,O18),IF(ISBLANK(N18),O18,N18)))</f>
        <v>5.8796296296296296E-3</v>
      </c>
      <c r="R18" s="57"/>
      <c r="S18" s="57"/>
      <c r="T18" s="59">
        <f t="shared" si="6"/>
        <v>5.8796296296296296E-3</v>
      </c>
      <c r="U18" s="57"/>
      <c r="V18" s="57"/>
      <c r="W18" s="59">
        <f t="shared" si="7"/>
        <v>5.8796296296296296E-3</v>
      </c>
      <c r="X18" s="57"/>
      <c r="Y18" s="57"/>
      <c r="Z18" s="59">
        <f t="shared" si="8"/>
        <v>5.8796296296296296E-3</v>
      </c>
      <c r="AA18" s="57"/>
      <c r="AB18" s="57"/>
      <c r="AC18" s="59">
        <f t="shared" si="9"/>
        <v>5.8796296296296296E-3</v>
      </c>
      <c r="AD18" s="57"/>
      <c r="AE18" s="57"/>
      <c r="AF18" s="59">
        <f t="shared" si="0"/>
        <v>5.8796296296296296E-3</v>
      </c>
      <c r="AG18" s="57"/>
      <c r="AH18" s="57"/>
      <c r="AI18" s="59">
        <f t="shared" si="1"/>
        <v>5.8796296296296296E-3</v>
      </c>
      <c r="AJ18" s="57"/>
      <c r="AK18" s="57"/>
      <c r="AL18" s="59">
        <f t="shared" si="2"/>
        <v>5.8796296296296296E-3</v>
      </c>
      <c r="AM18" s="57"/>
      <c r="AN18" s="57"/>
      <c r="AO18" s="59">
        <f t="shared" si="3"/>
        <v>5.8796296296296296E-3</v>
      </c>
      <c r="AP18" s="57"/>
      <c r="AQ18" s="59">
        <f t="shared" si="4"/>
        <v>5.8796296296296296E-3</v>
      </c>
      <c r="AR18" s="57"/>
      <c r="AS18" s="57"/>
      <c r="AT18" s="59">
        <f t="shared" si="5"/>
        <v>5.8796296296296296E-3</v>
      </c>
    </row>
    <row r="19" spans="1:46" ht="18.75" hidden="1" customHeight="1">
      <c r="A19" s="24"/>
      <c r="B19" s="26" t="s">
        <v>614</v>
      </c>
      <c r="C19" s="26"/>
      <c r="D19" s="50"/>
      <c r="E19" s="51"/>
      <c r="F19" s="58"/>
      <c r="G19" s="52"/>
      <c r="H19" s="58"/>
      <c r="I19" s="53"/>
      <c r="J19" s="58"/>
      <c r="K19" s="53"/>
      <c r="L19" s="58"/>
      <c r="M19" s="57"/>
      <c r="N19" s="59"/>
      <c r="O19" s="57"/>
      <c r="P19" s="57"/>
      <c r="Q19" s="59"/>
      <c r="R19" s="57"/>
      <c r="S19" s="57"/>
      <c r="T19" s="59" t="str">
        <f t="shared" si="6"/>
        <v/>
      </c>
      <c r="U19" s="57">
        <v>7.5578703703703702E-3</v>
      </c>
      <c r="V19" s="57"/>
      <c r="W19" s="59">
        <f t="shared" si="7"/>
        <v>7.5578703703703702E-3</v>
      </c>
      <c r="X19" s="57"/>
      <c r="Y19" s="57"/>
      <c r="Z19" s="59">
        <f t="shared" si="8"/>
        <v>7.5578703703703702E-3</v>
      </c>
      <c r="AA19" s="57"/>
      <c r="AB19" s="57"/>
      <c r="AC19" s="59">
        <f t="shared" si="9"/>
        <v>7.5578703703703702E-3</v>
      </c>
      <c r="AD19" s="57"/>
      <c r="AE19" s="57"/>
      <c r="AF19" s="59">
        <f t="shared" si="0"/>
        <v>7.5578703703703702E-3</v>
      </c>
      <c r="AG19" s="57"/>
      <c r="AH19" s="57"/>
      <c r="AI19" s="59">
        <f t="shared" si="1"/>
        <v>7.5578703703703702E-3</v>
      </c>
      <c r="AJ19" s="57"/>
      <c r="AK19" s="57"/>
      <c r="AL19" s="59">
        <f t="shared" si="2"/>
        <v>7.5578703703703702E-3</v>
      </c>
      <c r="AM19" s="57"/>
      <c r="AN19" s="57"/>
      <c r="AO19" s="59">
        <f t="shared" si="3"/>
        <v>7.5578703703703702E-3</v>
      </c>
      <c r="AP19" s="57"/>
      <c r="AQ19" s="59">
        <f t="shared" si="4"/>
        <v>7.5578703703703702E-3</v>
      </c>
      <c r="AR19" s="57"/>
      <c r="AS19" s="57"/>
      <c r="AT19" s="59">
        <f t="shared" si="5"/>
        <v>7.5578703703703702E-3</v>
      </c>
    </row>
    <row r="20" spans="1:46" ht="18.75" hidden="1" customHeight="1">
      <c r="A20" s="24"/>
      <c r="B20" s="26" t="s">
        <v>323</v>
      </c>
      <c r="C20" s="26" t="s">
        <v>443</v>
      </c>
      <c r="D20" s="55">
        <v>5.8912037037037032E-3</v>
      </c>
      <c r="E20" s="51"/>
      <c r="F20" s="59">
        <v>5.8912037037037032E-3</v>
      </c>
      <c r="G20" s="52"/>
      <c r="H20" s="59">
        <v>5.8912037037037032E-3</v>
      </c>
      <c r="I20" s="53"/>
      <c r="J20" s="59">
        <v>5.8912037037037032E-3</v>
      </c>
      <c r="K20" s="53"/>
      <c r="L20" s="59">
        <v>5.8912037037037032E-3</v>
      </c>
      <c r="M20" s="57"/>
      <c r="N20" s="59">
        <v>5.8912037037037032E-3</v>
      </c>
      <c r="O20" s="57"/>
      <c r="P20" s="57"/>
      <c r="Q20" s="59">
        <f>IF(MIN(IF(ISBLANK(O20),N20,O20),IF(ISBLANK(N20),O20,N20))=0,"",MIN(IF(ISBLANK(O20),N20,O20),IF(ISBLANK(N20),O20,N20)))</f>
        <v>5.8912037037037032E-3</v>
      </c>
      <c r="R20" s="57"/>
      <c r="S20" s="57"/>
      <c r="T20" s="59">
        <f t="shared" si="6"/>
        <v>5.8912037037037032E-3</v>
      </c>
      <c r="U20" s="57"/>
      <c r="V20" s="57"/>
      <c r="W20" s="59">
        <f t="shared" si="7"/>
        <v>5.8912037037037032E-3</v>
      </c>
      <c r="X20" s="57"/>
      <c r="Y20" s="57"/>
      <c r="Z20" s="59">
        <f t="shared" si="8"/>
        <v>5.8912037037037032E-3</v>
      </c>
      <c r="AA20" s="57"/>
      <c r="AB20" s="57"/>
      <c r="AC20" s="59">
        <f t="shared" si="9"/>
        <v>5.8912037037037032E-3</v>
      </c>
      <c r="AD20" s="57"/>
      <c r="AE20" s="57"/>
      <c r="AF20" s="59">
        <f t="shared" si="0"/>
        <v>5.8912037037037032E-3</v>
      </c>
      <c r="AG20" s="57"/>
      <c r="AH20" s="57"/>
      <c r="AI20" s="59">
        <f t="shared" si="1"/>
        <v>5.8912037037037032E-3</v>
      </c>
      <c r="AJ20" s="57"/>
      <c r="AK20" s="57"/>
      <c r="AL20" s="59">
        <f t="shared" si="2"/>
        <v>5.8912037037037032E-3</v>
      </c>
      <c r="AM20" s="57"/>
      <c r="AN20" s="57"/>
      <c r="AO20" s="59">
        <f t="shared" si="3"/>
        <v>5.8912037037037032E-3</v>
      </c>
      <c r="AP20" s="57"/>
      <c r="AQ20" s="59">
        <f t="shared" si="4"/>
        <v>5.8912037037037032E-3</v>
      </c>
      <c r="AR20" s="57"/>
      <c r="AS20" s="57"/>
      <c r="AT20" s="59">
        <f t="shared" si="5"/>
        <v>5.8912037037037032E-3</v>
      </c>
    </row>
    <row r="21" spans="1:46" ht="18.75" hidden="1" customHeight="1">
      <c r="A21" s="24"/>
      <c r="B21" s="26" t="s">
        <v>617</v>
      </c>
      <c r="C21" s="26" t="s">
        <v>443</v>
      </c>
      <c r="D21" s="50"/>
      <c r="E21" s="51"/>
      <c r="F21" s="58"/>
      <c r="G21" s="52"/>
      <c r="H21" s="58"/>
      <c r="I21" s="53"/>
      <c r="J21" s="58"/>
      <c r="K21" s="53"/>
      <c r="L21" s="58"/>
      <c r="M21" s="57"/>
      <c r="N21" s="59"/>
      <c r="O21" s="57"/>
      <c r="P21" s="57"/>
      <c r="Q21" s="59"/>
      <c r="R21" s="57"/>
      <c r="S21" s="57"/>
      <c r="T21" s="59"/>
      <c r="U21" s="57"/>
      <c r="V21" s="57"/>
      <c r="W21" s="59"/>
      <c r="X21" s="57"/>
      <c r="Y21" s="57"/>
      <c r="Z21" s="59" t="str">
        <f t="shared" si="8"/>
        <v/>
      </c>
      <c r="AA21" s="57"/>
      <c r="AB21" s="57"/>
      <c r="AC21" s="59" t="str">
        <f t="shared" si="9"/>
        <v/>
      </c>
      <c r="AD21" s="57"/>
      <c r="AE21" s="57"/>
      <c r="AF21" s="59" t="str">
        <f t="shared" si="0"/>
        <v/>
      </c>
      <c r="AG21" s="57"/>
      <c r="AH21" s="57"/>
      <c r="AI21" s="59" t="str">
        <f t="shared" si="1"/>
        <v/>
      </c>
      <c r="AJ21" s="57"/>
      <c r="AK21" s="57"/>
      <c r="AL21" s="59" t="str">
        <f t="shared" si="2"/>
        <v/>
      </c>
      <c r="AM21" s="57"/>
      <c r="AN21" s="57"/>
      <c r="AO21" s="59" t="str">
        <f t="shared" si="3"/>
        <v/>
      </c>
      <c r="AP21" s="57"/>
      <c r="AQ21" s="59" t="str">
        <f t="shared" si="4"/>
        <v/>
      </c>
      <c r="AR21" s="57"/>
      <c r="AS21" s="57"/>
      <c r="AT21" s="59" t="str">
        <f t="shared" si="5"/>
        <v/>
      </c>
    </row>
    <row r="22" spans="1:46" ht="18.75" customHeight="1">
      <c r="A22" s="24" t="s">
        <v>792</v>
      </c>
      <c r="B22" s="26" t="s">
        <v>460</v>
      </c>
      <c r="C22" s="26" t="s">
        <v>444</v>
      </c>
      <c r="D22" s="50"/>
      <c r="E22" s="51"/>
      <c r="F22" s="58"/>
      <c r="G22" s="52"/>
      <c r="H22" s="58"/>
      <c r="I22" s="53"/>
      <c r="J22" s="58"/>
      <c r="K22" s="53"/>
      <c r="L22" s="58"/>
      <c r="M22" s="57">
        <v>6.8402777777777776E-3</v>
      </c>
      <c r="N22" s="59">
        <v>6.8402777777777776E-3</v>
      </c>
      <c r="O22" s="57">
        <v>6.7245370370370367E-3</v>
      </c>
      <c r="P22" s="57"/>
      <c r="Q22" s="59">
        <f>IF(MIN(IF(ISBLANK(O22),N22,O22),IF(ISBLANK(N22),O22,N22))=0,"",MIN(IF(ISBLANK(O22),N22,O22),IF(ISBLANK(N22),O22,N22)))</f>
        <v>6.7245370370370367E-3</v>
      </c>
      <c r="R22" s="57">
        <v>6.5509259259259262E-3</v>
      </c>
      <c r="S22" s="57"/>
      <c r="T22" s="59">
        <f>IF(MIN(IF(ISBLANK(R22),Q22,R22),IF(ISBLANK(Q22),R22,Q22))=0,"",MIN(IF(ISBLANK(R22),Q22,R22),IF(ISBLANK(Q22),R22,Q22)))</f>
        <v>6.5509259259259262E-3</v>
      </c>
      <c r="U22" s="57"/>
      <c r="V22" s="57"/>
      <c r="W22" s="59">
        <f>IF(MIN(IF(ISBLANK(U22),T22,U22),IF(ISBLANK(T22),U22,T22))=0,"",MIN(IF(ISBLANK(U22),T22,U22),IF(ISBLANK(T22),U22,T22)))</f>
        <v>6.5509259259259262E-3</v>
      </c>
      <c r="X22" s="57"/>
      <c r="Y22" s="57"/>
      <c r="Z22" s="59">
        <f t="shared" si="8"/>
        <v>6.5509259259259262E-3</v>
      </c>
      <c r="AA22" s="57"/>
      <c r="AB22" s="57"/>
      <c r="AC22" s="59">
        <f t="shared" si="9"/>
        <v>6.5509259259259262E-3</v>
      </c>
      <c r="AD22" s="57"/>
      <c r="AE22" s="57"/>
      <c r="AF22" s="59">
        <f t="shared" si="0"/>
        <v>6.5509259259259262E-3</v>
      </c>
      <c r="AG22" s="57"/>
      <c r="AH22" s="57"/>
      <c r="AI22" s="59">
        <f t="shared" si="1"/>
        <v>6.5509259259259262E-3</v>
      </c>
      <c r="AJ22" s="57"/>
      <c r="AK22" s="57"/>
      <c r="AL22" s="59">
        <f t="shared" si="2"/>
        <v>6.5509259259259262E-3</v>
      </c>
      <c r="AM22" s="57"/>
      <c r="AN22" s="57"/>
      <c r="AO22" s="59">
        <f t="shared" si="3"/>
        <v>6.5509259259259262E-3</v>
      </c>
      <c r="AP22" s="57"/>
      <c r="AQ22" s="59">
        <f t="shared" si="4"/>
        <v>6.5509259259259262E-3</v>
      </c>
      <c r="AR22" s="57"/>
      <c r="AS22" s="57"/>
      <c r="AT22" s="59">
        <f t="shared" si="5"/>
        <v>6.5509259259259262E-3</v>
      </c>
    </row>
    <row r="23" spans="1:46" ht="18.75" hidden="1" customHeight="1">
      <c r="A23" s="24"/>
      <c r="B23" s="26" t="s">
        <v>576</v>
      </c>
      <c r="C23" s="26"/>
      <c r="D23" s="50"/>
      <c r="E23" s="51"/>
      <c r="F23" s="58"/>
      <c r="G23" s="52"/>
      <c r="H23" s="58"/>
      <c r="I23" s="53"/>
      <c r="J23" s="58"/>
      <c r="K23" s="53"/>
      <c r="L23" s="58"/>
      <c r="M23" s="57"/>
      <c r="N23" s="59"/>
      <c r="O23" s="57"/>
      <c r="P23" s="57"/>
      <c r="Q23" s="59"/>
      <c r="R23" s="57">
        <v>5.5208333333333333E-3</v>
      </c>
      <c r="S23" s="57"/>
      <c r="T23" s="59">
        <f>IF(MIN(IF(ISBLANK(R23),Q23,R23),IF(ISBLANK(Q23),R23,Q23))=0,"",MIN(IF(ISBLANK(R23),Q23,R23),IF(ISBLANK(Q23),R23,Q23)))</f>
        <v>5.5208333333333333E-3</v>
      </c>
      <c r="U23" s="57"/>
      <c r="V23" s="57"/>
      <c r="W23" s="59">
        <f>IF(MIN(IF(ISBLANK(U23),T23,U23),IF(ISBLANK(T23),U23,T23))=0,"",MIN(IF(ISBLANK(U23),T23,U23),IF(ISBLANK(T23),U23,T23)))</f>
        <v>5.5208333333333333E-3</v>
      </c>
      <c r="X23" s="57"/>
      <c r="Y23" s="57"/>
      <c r="Z23" s="59">
        <f t="shared" si="8"/>
        <v>5.5208333333333333E-3</v>
      </c>
      <c r="AA23" s="57"/>
      <c r="AB23" s="57"/>
      <c r="AC23" s="59">
        <f t="shared" si="9"/>
        <v>5.5208333333333333E-3</v>
      </c>
      <c r="AD23" s="57"/>
      <c r="AE23" s="57"/>
      <c r="AF23" s="59">
        <f t="shared" si="0"/>
        <v>5.5208333333333333E-3</v>
      </c>
      <c r="AG23" s="57"/>
      <c r="AH23" s="57"/>
      <c r="AI23" s="59">
        <f t="shared" si="1"/>
        <v>5.5208333333333333E-3</v>
      </c>
      <c r="AJ23" s="57"/>
      <c r="AK23" s="57"/>
      <c r="AL23" s="59">
        <f t="shared" si="2"/>
        <v>5.5208333333333333E-3</v>
      </c>
      <c r="AM23" s="57"/>
      <c r="AN23" s="57"/>
      <c r="AO23" s="59">
        <f t="shared" si="3"/>
        <v>5.5208333333333333E-3</v>
      </c>
      <c r="AP23" s="57"/>
      <c r="AQ23" s="59">
        <f t="shared" si="4"/>
        <v>5.5208333333333333E-3</v>
      </c>
      <c r="AR23" s="57"/>
      <c r="AS23" s="57"/>
      <c r="AT23" s="59">
        <f t="shared" si="5"/>
        <v>5.5208333333333333E-3</v>
      </c>
    </row>
    <row r="24" spans="1:46" ht="18.75" hidden="1" customHeight="1">
      <c r="A24" s="24"/>
      <c r="B24" s="26" t="s">
        <v>754</v>
      </c>
      <c r="C24" s="26"/>
      <c r="D24" s="50"/>
      <c r="E24" s="51"/>
      <c r="F24" s="50"/>
      <c r="G24" s="52"/>
      <c r="H24" s="50"/>
      <c r="I24" s="53"/>
      <c r="J24" s="50"/>
      <c r="K24" s="53"/>
      <c r="L24" s="50"/>
      <c r="M24" s="57"/>
      <c r="N24" s="55"/>
      <c r="O24" s="57"/>
      <c r="P24" s="57"/>
      <c r="Q24" s="59"/>
      <c r="R24" s="57"/>
      <c r="S24" s="57"/>
      <c r="T24" s="59"/>
      <c r="U24" s="57"/>
      <c r="V24" s="57"/>
      <c r="W24" s="59"/>
      <c r="X24" s="57"/>
      <c r="Y24" s="57"/>
      <c r="Z24" s="59"/>
      <c r="AA24" s="57"/>
      <c r="AB24" s="57"/>
      <c r="AC24" s="59"/>
      <c r="AD24" s="57"/>
      <c r="AE24" s="57"/>
      <c r="AF24" s="59"/>
      <c r="AG24" s="57"/>
      <c r="AH24" s="57"/>
      <c r="AI24" s="59"/>
      <c r="AJ24" s="57"/>
      <c r="AK24" s="57"/>
      <c r="AL24" s="59" t="str">
        <f t="shared" si="2"/>
        <v/>
      </c>
      <c r="AM24" s="57"/>
      <c r="AN24" s="57"/>
      <c r="AO24" s="59" t="str">
        <f t="shared" si="3"/>
        <v/>
      </c>
      <c r="AP24" s="57"/>
      <c r="AQ24" s="59" t="str">
        <f t="shared" si="4"/>
        <v/>
      </c>
      <c r="AR24" s="57"/>
      <c r="AS24" s="57"/>
      <c r="AT24" s="59" t="str">
        <f t="shared" si="5"/>
        <v/>
      </c>
    </row>
    <row r="25" spans="1:46" ht="18.75" hidden="1" customHeight="1">
      <c r="A25" s="24"/>
      <c r="B25" s="26" t="s">
        <v>12</v>
      </c>
      <c r="C25" s="26" t="s">
        <v>443</v>
      </c>
      <c r="D25" s="55">
        <v>6.1342592592592594E-3</v>
      </c>
      <c r="E25" s="51"/>
      <c r="F25" s="55">
        <v>6.1342592592592594E-3</v>
      </c>
      <c r="G25" s="52"/>
      <c r="H25" s="55">
        <v>6.1342592592592594E-3</v>
      </c>
      <c r="I25" s="53"/>
      <c r="J25" s="55">
        <v>6.1342592592592594E-3</v>
      </c>
      <c r="K25" s="53"/>
      <c r="L25" s="55">
        <v>6.1342592592592594E-3</v>
      </c>
      <c r="M25" s="57"/>
      <c r="N25" s="55">
        <v>6.1342592592592594E-3</v>
      </c>
      <c r="O25" s="57"/>
      <c r="P25" s="57"/>
      <c r="Q25" s="59">
        <f>IF(MIN(IF(ISBLANK(O25),N25,O25),IF(ISBLANK(N25),O25,N25))=0,"",MIN(IF(ISBLANK(O25),N25,O25),IF(ISBLANK(N25),O25,N25)))</f>
        <v>6.1342592592592594E-3</v>
      </c>
      <c r="R25" s="57"/>
      <c r="S25" s="57"/>
      <c r="T25" s="59">
        <f>IF(MIN(IF(ISBLANK(R25),Q25,R25),IF(ISBLANK(Q25),R25,Q25))=0,"",MIN(IF(ISBLANK(R25),Q25,R25),IF(ISBLANK(Q25),R25,Q25)))</f>
        <v>6.1342592592592594E-3</v>
      </c>
      <c r="U25" s="57"/>
      <c r="V25" s="57"/>
      <c r="W25" s="59">
        <f>IF(MIN(IF(ISBLANK(U25),T25,U25),IF(ISBLANK(T25),U25,T25))=0,"",MIN(IF(ISBLANK(U25),T25,U25),IF(ISBLANK(T25),U25,T25)))</f>
        <v>6.1342592592592594E-3</v>
      </c>
      <c r="X25" s="57"/>
      <c r="Y25" s="57"/>
      <c r="Z25" s="59">
        <f>IF(MIN(IF(ISBLANK(X25),W25,X25),IF(ISBLANK(W25),X25,W25))=0,"",MIN(IF(ISBLANK(X25),W25,X25),IF(ISBLANK(W25),X25,W25)))</f>
        <v>6.1342592592592594E-3</v>
      </c>
      <c r="AA25" s="57"/>
      <c r="AB25" s="57"/>
      <c r="AC25" s="59">
        <f>IF(MIN(IF(ISBLANK(Z25),AA25,Z25),IF(ISBLANK(AA25),Z25,AA25))=0,"",MIN(IF(ISBLANK(Z25),AA25,Z25),IF(ISBLANK(AA25),Z25,AA25)))</f>
        <v>6.1342592592592594E-3</v>
      </c>
      <c r="AD25" s="57"/>
      <c r="AE25" s="57"/>
      <c r="AF25" s="59">
        <f t="shared" ref="AF25:AF34" si="10">IF(MIN(IF(ISBLANK(AC25),AD25,AC25),IF(ISBLANK(AD25),AC25,AD25))=0,"",MIN(IF(ISBLANK(AC25),AD25,AC25),IF(ISBLANK(AD25),AC25,AD25)))</f>
        <v>6.1342592592592594E-3</v>
      </c>
      <c r="AG25" s="57"/>
      <c r="AH25" s="57"/>
      <c r="AI25" s="59">
        <f t="shared" ref="AI25:AI34" si="11">IF(MIN(IF(ISBLANK(AF25),AG25,AF25),IF(ISBLANK(AG25),AF25,AG25))=0,"",MIN(IF(ISBLANK(AF25),AG25,AF25),IF(ISBLANK(AG25),AF25,AG25)))</f>
        <v>6.1342592592592594E-3</v>
      </c>
      <c r="AJ25" s="57"/>
      <c r="AK25" s="57"/>
      <c r="AL25" s="59">
        <f t="shared" si="2"/>
        <v>6.1342592592592594E-3</v>
      </c>
      <c r="AM25" s="57"/>
      <c r="AN25" s="57"/>
      <c r="AO25" s="59">
        <f t="shared" si="3"/>
        <v>6.1342592592592594E-3</v>
      </c>
      <c r="AP25" s="57"/>
      <c r="AQ25" s="59">
        <f t="shared" si="4"/>
        <v>6.1342592592592594E-3</v>
      </c>
      <c r="AR25" s="57"/>
      <c r="AS25" s="57"/>
      <c r="AT25" s="59">
        <f t="shared" si="5"/>
        <v>6.1342592592592594E-3</v>
      </c>
    </row>
    <row r="26" spans="1:46" ht="18.75" customHeight="1">
      <c r="A26" s="24" t="s">
        <v>792</v>
      </c>
      <c r="B26" s="26" t="s">
        <v>714</v>
      </c>
      <c r="C26" s="26"/>
      <c r="D26" s="50"/>
      <c r="E26" s="51"/>
      <c r="F26" s="50"/>
      <c r="G26" s="52"/>
      <c r="H26" s="50"/>
      <c r="I26" s="53"/>
      <c r="J26" s="50"/>
      <c r="K26" s="54"/>
      <c r="L26" s="50"/>
      <c r="M26" s="56"/>
      <c r="N26" s="55"/>
      <c r="O26" s="56"/>
      <c r="P26" s="56"/>
      <c r="Q26" s="59"/>
      <c r="R26" s="56"/>
      <c r="S26" s="56"/>
      <c r="T26" s="59"/>
      <c r="U26" s="56"/>
      <c r="V26" s="56"/>
      <c r="W26" s="59"/>
      <c r="X26" s="56"/>
      <c r="Y26" s="56"/>
      <c r="Z26" s="59"/>
      <c r="AA26" s="56"/>
      <c r="AB26" s="56"/>
      <c r="AC26" s="59"/>
      <c r="AD26" s="56"/>
      <c r="AE26" s="56"/>
      <c r="AF26" s="59" t="str">
        <f t="shared" si="10"/>
        <v/>
      </c>
      <c r="AG26" s="57"/>
      <c r="AH26" s="56"/>
      <c r="AI26" s="59" t="str">
        <f t="shared" si="11"/>
        <v/>
      </c>
      <c r="AJ26" s="57"/>
      <c r="AK26" s="56"/>
      <c r="AL26" s="59" t="str">
        <f t="shared" si="2"/>
        <v/>
      </c>
      <c r="AM26" s="57">
        <v>8.2754629629629619E-3</v>
      </c>
      <c r="AN26" s="56"/>
      <c r="AO26" s="59">
        <f t="shared" si="3"/>
        <v>8.2754629629629619E-3</v>
      </c>
      <c r="AP26" s="57"/>
      <c r="AQ26" s="59">
        <f t="shared" si="4"/>
        <v>8.2754629629629619E-3</v>
      </c>
      <c r="AR26" s="57"/>
      <c r="AS26" s="57"/>
      <c r="AT26" s="59">
        <f t="shared" si="5"/>
        <v>8.2754629629629619E-3</v>
      </c>
    </row>
    <row r="27" spans="1:46" ht="18.75" hidden="1" customHeight="1">
      <c r="A27" s="24"/>
      <c r="B27" s="26" t="s">
        <v>726</v>
      </c>
      <c r="C27" s="26"/>
      <c r="D27" s="50"/>
      <c r="E27" s="51"/>
      <c r="F27" s="50"/>
      <c r="G27" s="52"/>
      <c r="H27" s="50"/>
      <c r="I27" s="53"/>
      <c r="J27" s="50"/>
      <c r="K27" s="54"/>
      <c r="L27" s="50"/>
      <c r="M27" s="56"/>
      <c r="N27" s="55"/>
      <c r="O27" s="56"/>
      <c r="P27" s="56"/>
      <c r="Q27" s="59"/>
      <c r="R27" s="56"/>
      <c r="S27" s="56"/>
      <c r="T27" s="59"/>
      <c r="U27" s="56"/>
      <c r="V27" s="56"/>
      <c r="W27" s="59"/>
      <c r="X27" s="56"/>
      <c r="Y27" s="56"/>
      <c r="Z27" s="59"/>
      <c r="AA27" s="56"/>
      <c r="AB27" s="56"/>
      <c r="AC27" s="59"/>
      <c r="AD27" s="56"/>
      <c r="AE27" s="56"/>
      <c r="AF27" s="59" t="str">
        <f t="shared" si="10"/>
        <v/>
      </c>
      <c r="AG27" s="57"/>
      <c r="AH27" s="56"/>
      <c r="AI27" s="59" t="str">
        <f t="shared" si="11"/>
        <v/>
      </c>
      <c r="AJ27" s="57"/>
      <c r="AK27" s="56"/>
      <c r="AL27" s="59" t="str">
        <f t="shared" si="2"/>
        <v/>
      </c>
      <c r="AM27" s="57"/>
      <c r="AN27" s="56"/>
      <c r="AO27" s="59" t="str">
        <f t="shared" si="3"/>
        <v/>
      </c>
      <c r="AP27" s="57"/>
      <c r="AQ27" s="59" t="str">
        <f t="shared" si="4"/>
        <v/>
      </c>
      <c r="AR27" s="57"/>
      <c r="AS27" s="57"/>
      <c r="AT27" s="59" t="str">
        <f t="shared" si="5"/>
        <v/>
      </c>
    </row>
    <row r="28" spans="1:46" ht="18.75" hidden="1" customHeight="1">
      <c r="A28" s="24"/>
      <c r="B28" s="26" t="s">
        <v>374</v>
      </c>
      <c r="C28" s="26" t="s">
        <v>443</v>
      </c>
      <c r="D28" s="50"/>
      <c r="E28" s="51"/>
      <c r="F28" s="50"/>
      <c r="G28" s="52"/>
      <c r="H28" s="50"/>
      <c r="I28" s="53"/>
      <c r="J28" s="50" t="s">
        <v>448</v>
      </c>
      <c r="K28" s="53"/>
      <c r="L28" s="50"/>
      <c r="M28" s="57"/>
      <c r="N28" s="55" t="s">
        <v>448</v>
      </c>
      <c r="O28" s="57"/>
      <c r="P28" s="57"/>
      <c r="Q28" s="59" t="str">
        <f>IF(MIN(IF(ISBLANK(O28),N28,O28),IF(ISBLANK(N28),O28,N28))=0,"",MIN(IF(ISBLANK(O28),N28,O28),IF(ISBLANK(N28),O28,N28)))</f>
        <v/>
      </c>
      <c r="R28" s="57"/>
      <c r="S28" s="57"/>
      <c r="T28" s="59" t="str">
        <f>IF(MIN(IF(ISBLANK(R28),Q28,R28),IF(ISBLANK(Q28),R28,Q28))=0,"",MIN(IF(ISBLANK(R28),Q28,R28),IF(ISBLANK(Q28),R28,Q28)))</f>
        <v/>
      </c>
      <c r="U28" s="57"/>
      <c r="V28" s="57"/>
      <c r="W28" s="59" t="str">
        <f>IF(MIN(IF(ISBLANK(U28),T28,U28),IF(ISBLANK(T28),U28,T28))=0,"",MIN(IF(ISBLANK(U28),T28,U28),IF(ISBLANK(T28),U28,T28)))</f>
        <v/>
      </c>
      <c r="X28" s="57"/>
      <c r="Y28" s="57"/>
      <c r="Z28" s="59" t="str">
        <f t="shared" ref="Z28:Z34" si="12">IF(MIN(IF(ISBLANK(X28),W28,X28),IF(ISBLANK(W28),X28,W28))=0,"",MIN(IF(ISBLANK(X28),W28,X28),IF(ISBLANK(W28),X28,W28)))</f>
        <v/>
      </c>
      <c r="AA28" s="57"/>
      <c r="AB28" s="57"/>
      <c r="AC28" s="59" t="str">
        <f t="shared" ref="AC28:AC34" si="13">IF(MIN(IF(ISBLANK(Z28),AA28,Z28),IF(ISBLANK(AA28),Z28,AA28))=0,"",MIN(IF(ISBLANK(Z28),AA28,Z28),IF(ISBLANK(AA28),Z28,AA28)))</f>
        <v/>
      </c>
      <c r="AD28" s="57"/>
      <c r="AE28" s="57"/>
      <c r="AF28" s="59" t="str">
        <f t="shared" si="10"/>
        <v/>
      </c>
      <c r="AG28" s="57"/>
      <c r="AH28" s="57"/>
      <c r="AI28" s="59" t="str">
        <f t="shared" si="11"/>
        <v/>
      </c>
      <c r="AJ28" s="57"/>
      <c r="AK28" s="57"/>
      <c r="AL28" s="59" t="str">
        <f t="shared" si="2"/>
        <v/>
      </c>
      <c r="AM28" s="57"/>
      <c r="AN28" s="57"/>
      <c r="AO28" s="59" t="str">
        <f t="shared" si="3"/>
        <v/>
      </c>
      <c r="AP28" s="57"/>
      <c r="AQ28" s="59" t="str">
        <f t="shared" si="4"/>
        <v/>
      </c>
      <c r="AR28" s="57"/>
      <c r="AS28" s="57"/>
      <c r="AT28" s="59" t="str">
        <f t="shared" si="5"/>
        <v/>
      </c>
    </row>
    <row r="29" spans="1:46" ht="18.75" hidden="1" customHeight="1">
      <c r="A29" s="24"/>
      <c r="B29" s="26" t="s">
        <v>19</v>
      </c>
      <c r="C29" s="26" t="s">
        <v>443</v>
      </c>
      <c r="D29" s="55">
        <v>5.7870370370370376E-3</v>
      </c>
      <c r="E29" s="51"/>
      <c r="F29" s="55">
        <v>5.7870370370370376E-3</v>
      </c>
      <c r="G29" s="52"/>
      <c r="H29" s="55">
        <v>5.7870370370370376E-3</v>
      </c>
      <c r="I29" s="53"/>
      <c r="J29" s="55">
        <v>5.7870370370370376E-3</v>
      </c>
      <c r="K29" s="53"/>
      <c r="L29" s="55">
        <v>5.7870370370370376E-3</v>
      </c>
      <c r="M29" s="57"/>
      <c r="N29" s="55">
        <v>5.7870370370370376E-3</v>
      </c>
      <c r="O29" s="57"/>
      <c r="P29" s="57"/>
      <c r="Q29" s="59">
        <f>IF(MIN(IF(ISBLANK(O29),N29,O29),IF(ISBLANK(N29),O29,N29))=0,"",MIN(IF(ISBLANK(O29),N29,O29),IF(ISBLANK(N29),O29,N29)))</f>
        <v>5.7870370370370376E-3</v>
      </c>
      <c r="R29" s="57"/>
      <c r="S29" s="57"/>
      <c r="T29" s="59">
        <f>IF(MIN(IF(ISBLANK(R29),Q29,R29),IF(ISBLANK(Q29),R29,Q29))=0,"",MIN(IF(ISBLANK(R29),Q29,R29),IF(ISBLANK(Q29),R29,Q29)))</f>
        <v>5.7870370370370376E-3</v>
      </c>
      <c r="U29" s="57"/>
      <c r="V29" s="57"/>
      <c r="W29" s="59">
        <f>IF(MIN(IF(ISBLANK(U29),T29,U29),IF(ISBLANK(T29),U29,T29))=0,"",MIN(IF(ISBLANK(U29),T29,U29),IF(ISBLANK(T29),U29,T29)))</f>
        <v>5.7870370370370376E-3</v>
      </c>
      <c r="X29" s="57"/>
      <c r="Y29" s="57"/>
      <c r="Z29" s="59">
        <f t="shared" si="12"/>
        <v>5.7870370370370376E-3</v>
      </c>
      <c r="AA29" s="57"/>
      <c r="AB29" s="57"/>
      <c r="AC29" s="59">
        <f t="shared" si="13"/>
        <v>5.7870370370370376E-3</v>
      </c>
      <c r="AD29" s="57"/>
      <c r="AE29" s="57"/>
      <c r="AF29" s="59">
        <f t="shared" si="10"/>
        <v>5.7870370370370376E-3</v>
      </c>
      <c r="AG29" s="57"/>
      <c r="AH29" s="57"/>
      <c r="AI29" s="59">
        <f t="shared" si="11"/>
        <v>5.7870370370370376E-3</v>
      </c>
      <c r="AJ29" s="57"/>
      <c r="AK29" s="57"/>
      <c r="AL29" s="59">
        <f t="shared" si="2"/>
        <v>5.7870370370370376E-3</v>
      </c>
      <c r="AM29" s="57"/>
      <c r="AN29" s="57"/>
      <c r="AO29" s="59">
        <f t="shared" si="3"/>
        <v>5.7870370370370376E-3</v>
      </c>
      <c r="AP29" s="57"/>
      <c r="AQ29" s="59">
        <f t="shared" si="4"/>
        <v>5.7870370370370376E-3</v>
      </c>
      <c r="AR29" s="57"/>
      <c r="AS29" s="57"/>
      <c r="AT29" s="59">
        <f t="shared" si="5"/>
        <v>5.7870370370370376E-3</v>
      </c>
    </row>
    <row r="30" spans="1:46" ht="18.75" hidden="1" customHeight="1">
      <c r="A30" s="24"/>
      <c r="B30" s="26" t="s">
        <v>24</v>
      </c>
      <c r="C30" s="26" t="s">
        <v>444</v>
      </c>
      <c r="D30" s="55">
        <v>6.8865740740740736E-3</v>
      </c>
      <c r="E30" s="51"/>
      <c r="F30" s="55">
        <v>6.8865740740740736E-3</v>
      </c>
      <c r="G30" s="52"/>
      <c r="H30" s="55">
        <v>6.8865740740740736E-3</v>
      </c>
      <c r="I30" s="57">
        <v>6.9328703703703696E-3</v>
      </c>
      <c r="J30" s="55">
        <v>6.8865740740740736E-3</v>
      </c>
      <c r="K30" s="53"/>
      <c r="L30" s="55">
        <v>6.8865740740740736E-3</v>
      </c>
      <c r="M30" s="57"/>
      <c r="N30" s="55">
        <v>6.8865740740740736E-3</v>
      </c>
      <c r="O30" s="57"/>
      <c r="P30" s="57"/>
      <c r="Q30" s="59">
        <f>IF(MIN(IF(ISBLANK(O30),N30,O30),IF(ISBLANK(N30),O30,N30))=0,"",MIN(IF(ISBLANK(O30),N30,O30),IF(ISBLANK(N30),O30,N30)))</f>
        <v>6.8865740740740736E-3</v>
      </c>
      <c r="R30" s="57"/>
      <c r="S30" s="57"/>
      <c r="T30" s="59">
        <f>IF(MIN(IF(ISBLANK(R30),Q30,R30),IF(ISBLANK(Q30),R30,Q30))=0,"",MIN(IF(ISBLANK(R30),Q30,R30),IF(ISBLANK(Q30),R30,Q30)))</f>
        <v>6.8865740740740736E-3</v>
      </c>
      <c r="U30" s="57"/>
      <c r="V30" s="57"/>
      <c r="W30" s="59">
        <f>IF(MIN(IF(ISBLANK(U30),T30,U30),IF(ISBLANK(T30),U30,T30))=0,"",MIN(IF(ISBLANK(U30),T30,U30),IF(ISBLANK(T30),U30,T30)))</f>
        <v>6.8865740740740736E-3</v>
      </c>
      <c r="X30" s="57"/>
      <c r="Y30" s="57"/>
      <c r="Z30" s="59">
        <f t="shared" si="12"/>
        <v>6.8865740740740736E-3</v>
      </c>
      <c r="AA30" s="57"/>
      <c r="AB30" s="57"/>
      <c r="AC30" s="59">
        <f t="shared" si="13"/>
        <v>6.8865740740740736E-3</v>
      </c>
      <c r="AD30" s="57"/>
      <c r="AE30" s="57"/>
      <c r="AF30" s="59">
        <f t="shared" si="10"/>
        <v>6.8865740740740736E-3</v>
      </c>
      <c r="AG30" s="57"/>
      <c r="AH30" s="57"/>
      <c r="AI30" s="59">
        <f t="shared" si="11"/>
        <v>6.8865740740740736E-3</v>
      </c>
      <c r="AJ30" s="57"/>
      <c r="AK30" s="57"/>
      <c r="AL30" s="59">
        <f t="shared" si="2"/>
        <v>6.8865740740740736E-3</v>
      </c>
      <c r="AM30" s="57"/>
      <c r="AN30" s="57"/>
      <c r="AO30" s="59">
        <f t="shared" si="3"/>
        <v>6.8865740740740736E-3</v>
      </c>
      <c r="AP30" s="57"/>
      <c r="AQ30" s="59">
        <f t="shared" si="4"/>
        <v>6.8865740740740736E-3</v>
      </c>
      <c r="AR30" s="57"/>
      <c r="AS30" s="57"/>
      <c r="AT30" s="59">
        <f t="shared" si="5"/>
        <v>6.8865740740740736E-3</v>
      </c>
    </row>
    <row r="31" spans="1:46" ht="18.75" hidden="1" customHeight="1">
      <c r="A31" s="24"/>
      <c r="B31" s="26" t="s">
        <v>596</v>
      </c>
      <c r="C31" s="26"/>
      <c r="D31" s="50"/>
      <c r="E31" s="51"/>
      <c r="F31" s="50"/>
      <c r="G31" s="52"/>
      <c r="H31" s="50"/>
      <c r="I31" s="53"/>
      <c r="J31" s="50"/>
      <c r="K31" s="53"/>
      <c r="L31" s="50"/>
      <c r="M31" s="57"/>
      <c r="N31" s="55"/>
      <c r="O31" s="57"/>
      <c r="P31" s="57"/>
      <c r="Q31" s="59"/>
      <c r="R31" s="57">
        <v>4.9189814814814816E-3</v>
      </c>
      <c r="S31" s="57"/>
      <c r="T31" s="59">
        <f>IF(MIN(IF(ISBLANK(R31),Q31,R31),IF(ISBLANK(Q31),R31,Q31))=0,"",MIN(IF(ISBLANK(R31),Q31,R31),IF(ISBLANK(Q31),R31,Q31)))</f>
        <v>4.9189814814814816E-3</v>
      </c>
      <c r="U31" s="57">
        <v>4.8495370370370368E-3</v>
      </c>
      <c r="V31" s="57"/>
      <c r="W31" s="59">
        <f>IF(MIN(IF(ISBLANK(U31),T31,U31),IF(ISBLANK(T31),U31,T31))=0,"",MIN(IF(ISBLANK(U31),T31,U31),IF(ISBLANK(T31),U31,T31)))</f>
        <v>4.8495370370370368E-3</v>
      </c>
      <c r="X31" s="57">
        <v>4.8032407407407407E-3</v>
      </c>
      <c r="Y31" s="57"/>
      <c r="Z31" s="59">
        <f t="shared" si="12"/>
        <v>4.8032407407407407E-3</v>
      </c>
      <c r="AA31" s="57"/>
      <c r="AB31" s="57"/>
      <c r="AC31" s="59">
        <f t="shared" si="13"/>
        <v>4.8032407407407407E-3</v>
      </c>
      <c r="AD31" s="57"/>
      <c r="AE31" s="57"/>
      <c r="AF31" s="59">
        <f t="shared" si="10"/>
        <v>4.8032407407407407E-3</v>
      </c>
      <c r="AG31" s="57"/>
      <c r="AH31" s="57"/>
      <c r="AI31" s="59">
        <f t="shared" si="11"/>
        <v>4.8032407407407407E-3</v>
      </c>
      <c r="AJ31" s="57">
        <v>5.0462962962962961E-3</v>
      </c>
      <c r="AK31" s="57"/>
      <c r="AL31" s="59">
        <f t="shared" si="2"/>
        <v>4.8032407407407407E-3</v>
      </c>
      <c r="AM31" s="57"/>
      <c r="AN31" s="57"/>
      <c r="AO31" s="59">
        <f t="shared" si="3"/>
        <v>4.8032407407407407E-3</v>
      </c>
      <c r="AP31" s="57"/>
      <c r="AQ31" s="59">
        <f t="shared" si="4"/>
        <v>4.8032407407407407E-3</v>
      </c>
      <c r="AR31" s="57"/>
      <c r="AS31" s="57"/>
      <c r="AT31" s="59">
        <f t="shared" si="5"/>
        <v>4.8032407407407407E-3</v>
      </c>
    </row>
    <row r="32" spans="1:46" ht="18.75" hidden="1" customHeight="1">
      <c r="A32" s="24"/>
      <c r="B32" s="26" t="s">
        <v>618</v>
      </c>
      <c r="C32" s="26"/>
      <c r="D32" s="50"/>
      <c r="E32" s="51"/>
      <c r="F32" s="50"/>
      <c r="G32" s="52"/>
      <c r="H32" s="50"/>
      <c r="I32" s="53"/>
      <c r="J32" s="50"/>
      <c r="K32" s="53"/>
      <c r="L32" s="50"/>
      <c r="M32" s="57"/>
      <c r="N32" s="55"/>
      <c r="O32" s="57"/>
      <c r="P32" s="57"/>
      <c r="Q32" s="59"/>
      <c r="R32" s="57"/>
      <c r="S32" s="57"/>
      <c r="T32" s="59"/>
      <c r="U32" s="57"/>
      <c r="V32" s="57"/>
      <c r="W32" s="59"/>
      <c r="X32" s="57">
        <v>6.5972222222222222E-3</v>
      </c>
      <c r="Y32" s="57"/>
      <c r="Z32" s="59">
        <f t="shared" si="12"/>
        <v>6.5972222222222222E-3</v>
      </c>
      <c r="AA32" s="57"/>
      <c r="AB32" s="57"/>
      <c r="AC32" s="59">
        <f t="shared" si="13"/>
        <v>6.5972222222222222E-3</v>
      </c>
      <c r="AD32" s="57"/>
      <c r="AE32" s="57"/>
      <c r="AF32" s="59">
        <f t="shared" si="10"/>
        <v>6.5972222222222222E-3</v>
      </c>
      <c r="AG32" s="57"/>
      <c r="AH32" s="57"/>
      <c r="AI32" s="59">
        <f t="shared" si="11"/>
        <v>6.5972222222222222E-3</v>
      </c>
      <c r="AJ32" s="57"/>
      <c r="AK32" s="57"/>
      <c r="AL32" s="59">
        <f t="shared" si="2"/>
        <v>6.5972222222222222E-3</v>
      </c>
      <c r="AM32" s="57"/>
      <c r="AN32" s="57"/>
      <c r="AO32" s="59">
        <f t="shared" si="3"/>
        <v>6.5972222222222222E-3</v>
      </c>
      <c r="AP32" s="57"/>
      <c r="AQ32" s="59">
        <f t="shared" si="4"/>
        <v>6.5972222222222222E-3</v>
      </c>
      <c r="AR32" s="57"/>
      <c r="AS32" s="57"/>
      <c r="AT32" s="59">
        <f t="shared" si="5"/>
        <v>6.5972222222222222E-3</v>
      </c>
    </row>
    <row r="33" spans="1:46" ht="18.75" hidden="1" customHeight="1">
      <c r="A33" s="24"/>
      <c r="B33" s="26" t="s">
        <v>28</v>
      </c>
      <c r="C33" s="26" t="s">
        <v>443</v>
      </c>
      <c r="D33" s="55">
        <v>6.4004629629629628E-3</v>
      </c>
      <c r="E33" s="51"/>
      <c r="F33" s="55">
        <v>6.4004629629629628E-3</v>
      </c>
      <c r="G33" s="52"/>
      <c r="H33" s="55">
        <v>6.4004629629629628E-3</v>
      </c>
      <c r="I33" s="53"/>
      <c r="J33" s="55">
        <v>6.4004629629629628E-3</v>
      </c>
      <c r="K33" s="53"/>
      <c r="L33" s="55">
        <v>6.4004629629629628E-3</v>
      </c>
      <c r="M33" s="57"/>
      <c r="N33" s="55">
        <v>6.4004629629629628E-3</v>
      </c>
      <c r="O33" s="57"/>
      <c r="P33" s="57"/>
      <c r="Q33" s="59">
        <f>IF(MIN(IF(ISBLANK(O33),N33,O33),IF(ISBLANK(N33),O33,N33))=0,"",MIN(IF(ISBLANK(O33),N33,O33),IF(ISBLANK(N33),O33,N33)))</f>
        <v>6.4004629629629628E-3</v>
      </c>
      <c r="R33" s="57"/>
      <c r="S33" s="57"/>
      <c r="T33" s="59">
        <f>IF(MIN(IF(ISBLANK(R33),Q33,R33),IF(ISBLANK(Q33),R33,Q33))=0,"",MIN(IF(ISBLANK(R33),Q33,R33),IF(ISBLANK(Q33),R33,Q33)))</f>
        <v>6.4004629629629628E-3</v>
      </c>
      <c r="U33" s="57"/>
      <c r="V33" s="57"/>
      <c r="W33" s="59">
        <f>IF(MIN(IF(ISBLANK(U33),T33,U33),IF(ISBLANK(T33),U33,T33))=0,"",MIN(IF(ISBLANK(U33),T33,U33),IF(ISBLANK(T33),U33,T33)))</f>
        <v>6.4004629629629628E-3</v>
      </c>
      <c r="X33" s="57"/>
      <c r="Y33" s="57"/>
      <c r="Z33" s="59">
        <f t="shared" si="12"/>
        <v>6.4004629629629628E-3</v>
      </c>
      <c r="AA33" s="57"/>
      <c r="AB33" s="57"/>
      <c r="AC33" s="59">
        <f t="shared" si="13"/>
        <v>6.4004629629629628E-3</v>
      </c>
      <c r="AD33" s="57"/>
      <c r="AE33" s="57"/>
      <c r="AF33" s="59">
        <f t="shared" si="10"/>
        <v>6.4004629629629628E-3</v>
      </c>
      <c r="AG33" s="57"/>
      <c r="AH33" s="57"/>
      <c r="AI33" s="59">
        <f t="shared" si="11"/>
        <v>6.4004629629629628E-3</v>
      </c>
      <c r="AJ33" s="57"/>
      <c r="AK33" s="57"/>
      <c r="AL33" s="59">
        <f t="shared" si="2"/>
        <v>6.4004629629629628E-3</v>
      </c>
      <c r="AM33" s="57"/>
      <c r="AN33" s="57"/>
      <c r="AO33" s="59">
        <f t="shared" si="3"/>
        <v>6.4004629629629628E-3</v>
      </c>
      <c r="AP33" s="57"/>
      <c r="AQ33" s="59">
        <f t="shared" si="4"/>
        <v>6.4004629629629628E-3</v>
      </c>
      <c r="AR33" s="57"/>
      <c r="AS33" s="57"/>
      <c r="AT33" s="59">
        <f t="shared" si="5"/>
        <v>6.4004629629629628E-3</v>
      </c>
    </row>
    <row r="34" spans="1:46" ht="18.75" hidden="1" customHeight="1">
      <c r="A34" s="24"/>
      <c r="B34" s="26" t="s">
        <v>546</v>
      </c>
      <c r="C34" s="26"/>
      <c r="D34" s="50"/>
      <c r="E34" s="51"/>
      <c r="F34" s="50"/>
      <c r="G34" s="52"/>
      <c r="H34" s="50"/>
      <c r="I34" s="53"/>
      <c r="J34" s="50"/>
      <c r="K34" s="53"/>
      <c r="L34" s="50"/>
      <c r="M34" s="57"/>
      <c r="N34" s="55" t="s">
        <v>448</v>
      </c>
      <c r="O34" s="57"/>
      <c r="P34" s="57"/>
      <c r="Q34" s="59" t="str">
        <f>IF(MIN(IF(ISBLANK(O34),N34,O34),IF(ISBLANK(N34),O34,N34))=0,"",MIN(IF(ISBLANK(O34),N34,O34),IF(ISBLANK(N34),O34,N34)))</f>
        <v/>
      </c>
      <c r="R34" s="57">
        <v>6.4814814814814813E-3</v>
      </c>
      <c r="S34" s="57"/>
      <c r="T34" s="59">
        <f>IF(MIN(IF(ISBLANK(R34),Q34,R34),IF(ISBLANK(Q34),R34,Q34))=0,"",MIN(IF(ISBLANK(R34),Q34,R34),IF(ISBLANK(Q34),R34,Q34)))</f>
        <v>6.4814814814814813E-3</v>
      </c>
      <c r="U34" s="57">
        <v>7.0254629629629634E-3</v>
      </c>
      <c r="V34" s="57"/>
      <c r="W34" s="59">
        <f>IF(MIN(IF(ISBLANK(U34),T34,U34),IF(ISBLANK(T34),U34,T34))=0,"",MIN(IF(ISBLANK(U34),T34,U34),IF(ISBLANK(T34),U34,T34)))</f>
        <v>6.4814814814814813E-3</v>
      </c>
      <c r="X34" s="57"/>
      <c r="Y34" s="57"/>
      <c r="Z34" s="59">
        <f t="shared" si="12"/>
        <v>6.4814814814814813E-3</v>
      </c>
      <c r="AA34" s="57"/>
      <c r="AB34" s="57"/>
      <c r="AC34" s="59">
        <f t="shared" si="13"/>
        <v>6.4814814814814813E-3</v>
      </c>
      <c r="AD34" s="57"/>
      <c r="AE34" s="57"/>
      <c r="AF34" s="59">
        <f t="shared" si="10"/>
        <v>6.4814814814814813E-3</v>
      </c>
      <c r="AG34" s="57"/>
      <c r="AH34" s="57"/>
      <c r="AI34" s="59">
        <f t="shared" si="11"/>
        <v>6.4814814814814813E-3</v>
      </c>
      <c r="AJ34" s="57"/>
      <c r="AK34" s="57"/>
      <c r="AL34" s="59">
        <f t="shared" si="2"/>
        <v>6.4814814814814813E-3</v>
      </c>
      <c r="AM34" s="57"/>
      <c r="AN34" s="57"/>
      <c r="AO34" s="59">
        <f t="shared" si="3"/>
        <v>6.4814814814814813E-3</v>
      </c>
      <c r="AP34" s="57"/>
      <c r="AQ34" s="59">
        <f t="shared" si="4"/>
        <v>6.4814814814814813E-3</v>
      </c>
      <c r="AR34" s="57"/>
      <c r="AS34" s="57"/>
      <c r="AT34" s="59">
        <f t="shared" si="5"/>
        <v>6.4814814814814813E-3</v>
      </c>
    </row>
    <row r="35" spans="1:46" ht="18.75" hidden="1" customHeight="1">
      <c r="A35" s="24"/>
      <c r="B35" s="26" t="s">
        <v>829</v>
      </c>
      <c r="C35" s="26"/>
      <c r="D35" s="50"/>
      <c r="E35" s="51"/>
      <c r="F35" s="50"/>
      <c r="G35" s="52"/>
      <c r="H35" s="50"/>
      <c r="I35" s="53"/>
      <c r="J35" s="50"/>
      <c r="K35" s="53"/>
      <c r="L35" s="50"/>
      <c r="M35" s="57"/>
      <c r="N35" s="55"/>
      <c r="O35" s="57"/>
      <c r="P35" s="57"/>
      <c r="Q35" s="59"/>
      <c r="R35" s="57"/>
      <c r="S35" s="57"/>
      <c r="T35" s="59"/>
      <c r="U35" s="57"/>
      <c r="V35" s="57"/>
      <c r="W35" s="59"/>
      <c r="X35" s="57"/>
      <c r="Y35" s="57"/>
      <c r="Z35" s="59"/>
      <c r="AA35" s="57"/>
      <c r="AB35" s="57"/>
      <c r="AC35" s="59"/>
      <c r="AD35" s="57"/>
      <c r="AE35" s="57"/>
      <c r="AF35" s="59"/>
      <c r="AG35" s="57"/>
      <c r="AH35" s="57"/>
      <c r="AI35" s="59"/>
      <c r="AJ35" s="57"/>
      <c r="AK35" s="57"/>
      <c r="AL35" s="59"/>
      <c r="AM35" s="57"/>
      <c r="AN35" s="57"/>
      <c r="AO35" s="59"/>
      <c r="AP35" s="57">
        <v>5.9027777777777776E-3</v>
      </c>
      <c r="AQ35" s="59">
        <f>IF(MIN(IF(ISBLANK(AO35),AP35,AO35),IF(ISBLANK(AP35),AO35,AP35))=0,"",MIN(IF(ISBLANK(AO35),AP35,AO35),IF(ISBLANK(AP35),AO35,AP35)))</f>
        <v>5.9027777777777776E-3</v>
      </c>
      <c r="AR35" s="57"/>
      <c r="AS35" s="57"/>
      <c r="AT35" s="59">
        <f t="shared" si="5"/>
        <v>5.9027777777777776E-3</v>
      </c>
    </row>
    <row r="36" spans="1:46" ht="18.75" customHeight="1">
      <c r="A36" s="24" t="s">
        <v>792</v>
      </c>
      <c r="B36" s="26" t="s">
        <v>890</v>
      </c>
      <c r="C36" s="26" t="s">
        <v>443</v>
      </c>
      <c r="D36" s="50"/>
      <c r="E36" s="51"/>
      <c r="F36" s="50"/>
      <c r="G36" s="52"/>
      <c r="H36" s="50"/>
      <c r="I36" s="53"/>
      <c r="J36" s="50"/>
      <c r="K36" s="53"/>
      <c r="L36" s="50"/>
      <c r="M36" s="57"/>
      <c r="N36" s="55"/>
      <c r="O36" s="57"/>
      <c r="P36" s="57"/>
      <c r="Q36" s="59"/>
      <c r="R36" s="57"/>
      <c r="S36" s="57"/>
      <c r="T36" s="59"/>
      <c r="U36" s="57"/>
      <c r="V36" s="57"/>
      <c r="W36" s="59"/>
      <c r="X36" s="57"/>
      <c r="Y36" s="57"/>
      <c r="Z36" s="59"/>
      <c r="AA36" s="57"/>
      <c r="AB36" s="57"/>
      <c r="AC36" s="59"/>
      <c r="AD36" s="57"/>
      <c r="AE36" s="57"/>
      <c r="AF36" s="59"/>
      <c r="AG36" s="57"/>
      <c r="AH36" s="57"/>
      <c r="AI36" s="59"/>
      <c r="AJ36" s="57"/>
      <c r="AK36" s="57"/>
      <c r="AL36" s="59"/>
      <c r="AM36" s="57"/>
      <c r="AN36" s="57"/>
      <c r="AO36" s="59"/>
      <c r="AP36" s="57"/>
      <c r="AQ36" s="59" t="str">
        <f t="shared" si="4"/>
        <v/>
      </c>
      <c r="AR36" s="57"/>
      <c r="AS36" s="57"/>
      <c r="AT36" s="59" t="str">
        <f t="shared" si="5"/>
        <v/>
      </c>
    </row>
    <row r="37" spans="1:46" ht="18.75" hidden="1" customHeight="1">
      <c r="A37" s="24"/>
      <c r="B37" s="26" t="s">
        <v>40</v>
      </c>
      <c r="C37" s="26" t="s">
        <v>444</v>
      </c>
      <c r="D37" s="55">
        <v>8.8425925925925911E-3</v>
      </c>
      <c r="E37" s="51"/>
      <c r="F37" s="55">
        <v>8.8425925925925911E-3</v>
      </c>
      <c r="G37" s="52"/>
      <c r="H37" s="55">
        <v>8.8425925925925911E-3</v>
      </c>
      <c r="I37" s="53"/>
      <c r="J37" s="55">
        <v>8.8425925925925911E-3</v>
      </c>
      <c r="K37" s="53"/>
      <c r="L37" s="55">
        <v>8.8425925925925911E-3</v>
      </c>
      <c r="M37" s="57"/>
      <c r="N37" s="55">
        <v>8.8425925925925911E-3</v>
      </c>
      <c r="O37" s="57"/>
      <c r="P37" s="57"/>
      <c r="Q37" s="59">
        <f>IF(MIN(IF(ISBLANK(O37),N37,O37),IF(ISBLANK(N37),O37,N37))=0,"",MIN(IF(ISBLANK(O37),N37,O37),IF(ISBLANK(N37),O37,N37)))</f>
        <v>8.8425925925925911E-3</v>
      </c>
      <c r="R37" s="57"/>
      <c r="S37" s="57"/>
      <c r="T37" s="59">
        <f>IF(MIN(IF(ISBLANK(R37),Q37,R37),IF(ISBLANK(Q37),R37,Q37))=0,"",MIN(IF(ISBLANK(R37),Q37,R37),IF(ISBLANK(Q37),R37,Q37)))</f>
        <v>8.8425925925925911E-3</v>
      </c>
      <c r="U37" s="57"/>
      <c r="V37" s="57"/>
      <c r="W37" s="59">
        <f>IF(MIN(IF(ISBLANK(U37),T37,U37),IF(ISBLANK(T37),U37,T37))=0,"",MIN(IF(ISBLANK(U37),T37,U37),IF(ISBLANK(T37),U37,T37)))</f>
        <v>8.8425925925925911E-3</v>
      </c>
      <c r="X37" s="57"/>
      <c r="Y37" s="57"/>
      <c r="Z37" s="59">
        <f>IF(MIN(IF(ISBLANK(X37),W37,X37),IF(ISBLANK(W37),X37,W37))=0,"",MIN(IF(ISBLANK(X37),W37,X37),IF(ISBLANK(W37),X37,W37)))</f>
        <v>8.8425925925925911E-3</v>
      </c>
      <c r="AA37" s="57"/>
      <c r="AB37" s="57"/>
      <c r="AC37" s="59">
        <f>IF(MIN(IF(ISBLANK(Z37),AA37,Z37),IF(ISBLANK(AA37),Z37,AA37))=0,"",MIN(IF(ISBLANK(Z37),AA37,Z37),IF(ISBLANK(AA37),Z37,AA37)))</f>
        <v>8.8425925925925911E-3</v>
      </c>
      <c r="AD37" s="57"/>
      <c r="AE37" s="57"/>
      <c r="AF37" s="59">
        <f>IF(MIN(IF(ISBLANK(AC37),AD37,AC37),IF(ISBLANK(AD37),AC37,AD37))=0,"",MIN(IF(ISBLANK(AC37),AD37,AC37),IF(ISBLANK(AD37),AC37,AD37)))</f>
        <v>8.8425925925925911E-3</v>
      </c>
      <c r="AG37" s="57"/>
      <c r="AH37" s="57"/>
      <c r="AI37" s="59">
        <f>IF(MIN(IF(ISBLANK(AF37),AG37,AF37),IF(ISBLANK(AG37),AF37,AG37))=0,"",MIN(IF(ISBLANK(AF37),AG37,AF37),IF(ISBLANK(AG37),AF37,AG37)))</f>
        <v>8.8425925925925911E-3</v>
      </c>
      <c r="AJ37" s="57"/>
      <c r="AK37" s="57"/>
      <c r="AL37" s="59">
        <f>IF(MIN(IF(ISBLANK(AI37),AJ37,AI37),IF(ISBLANK(AJ37),AI37,AJ37))=0,"",MIN(IF(ISBLANK(AI37),AJ37,AI37),IF(ISBLANK(AJ37),AI37,AJ37)))</f>
        <v>8.8425925925925911E-3</v>
      </c>
      <c r="AM37" s="57"/>
      <c r="AN37" s="57"/>
      <c r="AO37" s="59">
        <f>IF(MIN(IF(ISBLANK(AL37),AM37,AL37),IF(ISBLANK(AM37),AL37,AM37))=0,"",MIN(IF(ISBLANK(AL37),AM37,AL37),IF(ISBLANK(AM37),AL37,AM37)))</f>
        <v>8.8425925925925911E-3</v>
      </c>
      <c r="AP37" s="57"/>
      <c r="AQ37" s="59">
        <f t="shared" si="4"/>
        <v>8.8425925925925911E-3</v>
      </c>
      <c r="AR37" s="57"/>
      <c r="AS37" s="57"/>
      <c r="AT37" s="59">
        <f t="shared" si="5"/>
        <v>8.8425925925925911E-3</v>
      </c>
    </row>
    <row r="38" spans="1:46" ht="18.75" hidden="1" customHeight="1">
      <c r="A38" s="24"/>
      <c r="B38" s="26" t="s">
        <v>583</v>
      </c>
      <c r="C38" s="26" t="s">
        <v>444</v>
      </c>
      <c r="D38" s="50"/>
      <c r="E38" s="51"/>
      <c r="F38" s="50"/>
      <c r="G38" s="52"/>
      <c r="H38" s="50"/>
      <c r="I38" s="53"/>
      <c r="J38" s="50"/>
      <c r="K38" s="53"/>
      <c r="L38" s="50"/>
      <c r="M38" s="57"/>
      <c r="N38" s="55"/>
      <c r="O38" s="57">
        <v>9.0277777777777787E-3</v>
      </c>
      <c r="P38" s="57"/>
      <c r="Q38" s="59">
        <f>IF(MIN(IF(ISBLANK(O38),N38,O38),IF(ISBLANK(N38),O38,N38))=0,"",MIN(IF(ISBLANK(O38),N38,O38),IF(ISBLANK(N38),O38,N38)))</f>
        <v>9.0277777777777787E-3</v>
      </c>
      <c r="R38" s="57"/>
      <c r="S38" s="57"/>
      <c r="T38" s="59">
        <f>IF(MIN(IF(ISBLANK(R38),Q38,R38),IF(ISBLANK(Q38),R38,Q38))=0,"",MIN(IF(ISBLANK(R38),Q38,R38),IF(ISBLANK(Q38),R38,Q38)))</f>
        <v>9.0277777777777787E-3</v>
      </c>
      <c r="U38" s="57"/>
      <c r="V38" s="57"/>
      <c r="W38" s="59">
        <f>IF(MIN(IF(ISBLANK(U38),T38,U38),IF(ISBLANK(T38),U38,T38))=0,"",MIN(IF(ISBLANK(U38),T38,U38),IF(ISBLANK(T38),U38,T38)))</f>
        <v>9.0277777777777787E-3</v>
      </c>
      <c r="X38" s="57"/>
      <c r="Y38" s="57"/>
      <c r="Z38" s="59">
        <f>IF(MIN(IF(ISBLANK(X38),W38,X38),IF(ISBLANK(W38),X38,W38))=0,"",MIN(IF(ISBLANK(X38),W38,X38),IF(ISBLANK(W38),X38,W38)))</f>
        <v>9.0277777777777787E-3</v>
      </c>
      <c r="AA38" s="57"/>
      <c r="AB38" s="57"/>
      <c r="AC38" s="59">
        <f>IF(MIN(IF(ISBLANK(Z38),AA38,Z38),IF(ISBLANK(AA38),Z38,AA38))=0,"",MIN(IF(ISBLANK(Z38),AA38,Z38),IF(ISBLANK(AA38),Z38,AA38)))</f>
        <v>9.0277777777777787E-3</v>
      </c>
      <c r="AD38" s="57"/>
      <c r="AE38" s="57"/>
      <c r="AF38" s="59">
        <f>IF(MIN(IF(ISBLANK(AC38),AD38,AC38),IF(ISBLANK(AD38),AC38,AD38))=0,"",MIN(IF(ISBLANK(AC38),AD38,AC38),IF(ISBLANK(AD38),AC38,AD38)))</f>
        <v>9.0277777777777787E-3</v>
      </c>
      <c r="AG38" s="57"/>
      <c r="AH38" s="57"/>
      <c r="AI38" s="59">
        <f>IF(MIN(IF(ISBLANK(AF38),AG38,AF38),IF(ISBLANK(AG38),AF38,AG38))=0,"",MIN(IF(ISBLANK(AF38),AG38,AF38),IF(ISBLANK(AG38),AF38,AG38)))</f>
        <v>9.0277777777777787E-3</v>
      </c>
      <c r="AJ38" s="57"/>
      <c r="AK38" s="57"/>
      <c r="AL38" s="59">
        <f>IF(MIN(IF(ISBLANK(AI38),AJ38,AI38),IF(ISBLANK(AJ38),AI38,AJ38))=0,"",MIN(IF(ISBLANK(AI38),AJ38,AI38),IF(ISBLANK(AJ38),AI38,AJ38)))</f>
        <v>9.0277777777777787E-3</v>
      </c>
      <c r="AM38" s="57"/>
      <c r="AN38" s="57"/>
      <c r="AO38" s="59">
        <f>IF(MIN(IF(ISBLANK(AL38),AM38,AL38),IF(ISBLANK(AM38),AL38,AM38))=0,"",MIN(IF(ISBLANK(AL38),AM38,AL38),IF(ISBLANK(AM38),AL38,AM38)))</f>
        <v>9.0277777777777787E-3</v>
      </c>
      <c r="AP38" s="57"/>
      <c r="AQ38" s="59">
        <f t="shared" si="4"/>
        <v>9.0277777777777787E-3</v>
      </c>
      <c r="AR38" s="57"/>
      <c r="AS38" s="57"/>
      <c r="AT38" s="59">
        <f t="shared" si="5"/>
        <v>9.0277777777777787E-3</v>
      </c>
    </row>
    <row r="39" spans="1:46" ht="18.75" hidden="1" customHeight="1">
      <c r="A39" s="24"/>
      <c r="B39" s="26" t="s">
        <v>727</v>
      </c>
      <c r="C39" s="26"/>
      <c r="D39" s="50"/>
      <c r="E39" s="51"/>
      <c r="F39" s="50"/>
      <c r="G39" s="52"/>
      <c r="H39" s="50"/>
      <c r="I39" s="53"/>
      <c r="J39" s="50"/>
      <c r="K39" s="53"/>
      <c r="L39" s="50"/>
      <c r="M39" s="57"/>
      <c r="N39" s="55"/>
      <c r="O39" s="57"/>
      <c r="P39" s="57"/>
      <c r="Q39" s="59"/>
      <c r="R39" s="57"/>
      <c r="S39" s="57"/>
      <c r="T39" s="59"/>
      <c r="U39" s="57"/>
      <c r="V39" s="57"/>
      <c r="W39" s="59"/>
      <c r="X39" s="57"/>
      <c r="Y39" s="57"/>
      <c r="Z39" s="59"/>
      <c r="AA39" s="57"/>
      <c r="AB39" s="57"/>
      <c r="AC39" s="59"/>
      <c r="AD39" s="57"/>
      <c r="AE39" s="57"/>
      <c r="AF39" s="59" t="str">
        <f>IF(MIN(IF(ISBLANK(AC39),AD39,AC39),IF(ISBLANK(AD39),AC39,AD39))=0,"",MIN(IF(ISBLANK(AC39),AD39,AC39),IF(ISBLANK(AD39),AC39,AD39)))</f>
        <v/>
      </c>
      <c r="AG39" s="57">
        <v>6.2847222222222228E-3</v>
      </c>
      <c r="AH39" s="57"/>
      <c r="AI39" s="59">
        <f>IF(MIN(IF(ISBLANK(AF39),AG39,AF39),IF(ISBLANK(AG39),AF39,AG39))=0,"",MIN(IF(ISBLANK(AF39),AG39,AF39),IF(ISBLANK(AG39),AF39,AG39)))</f>
        <v>6.2847222222222228E-3</v>
      </c>
      <c r="AJ39" s="57"/>
      <c r="AK39" s="57"/>
      <c r="AL39" s="59">
        <f>IF(MIN(IF(ISBLANK(AI39),AJ39,AI39),IF(ISBLANK(AJ39),AI39,AJ39))=0,"",MIN(IF(ISBLANK(AI39),AJ39,AI39),IF(ISBLANK(AJ39),AI39,AJ39)))</f>
        <v>6.2847222222222228E-3</v>
      </c>
      <c r="AM39" s="57"/>
      <c r="AN39" s="57"/>
      <c r="AO39" s="59">
        <f>IF(MIN(IF(ISBLANK(AL39),AM39,AL39),IF(ISBLANK(AM39),AL39,AM39))=0,"",MIN(IF(ISBLANK(AL39),AM39,AL39),IF(ISBLANK(AM39),AL39,AM39)))</f>
        <v>6.2847222222222228E-3</v>
      </c>
      <c r="AP39" s="57"/>
      <c r="AQ39" s="59">
        <f t="shared" si="4"/>
        <v>6.2847222222222228E-3</v>
      </c>
      <c r="AR39" s="57"/>
      <c r="AS39" s="57"/>
      <c r="AT39" s="59">
        <f t="shared" si="5"/>
        <v>6.2847222222222228E-3</v>
      </c>
    </row>
    <row r="40" spans="1:46" ht="18.75" hidden="1" customHeight="1">
      <c r="A40" s="24"/>
      <c r="B40" s="26" t="s">
        <v>47</v>
      </c>
      <c r="C40" s="26" t="s">
        <v>444</v>
      </c>
      <c r="D40" s="50"/>
      <c r="E40" s="51"/>
      <c r="F40" s="50" t="s">
        <v>448</v>
      </c>
      <c r="G40" s="52"/>
      <c r="H40" s="50"/>
      <c r="I40" s="53"/>
      <c r="J40" s="50" t="s">
        <v>448</v>
      </c>
      <c r="K40" s="53"/>
      <c r="L40" s="50"/>
      <c r="M40" s="57"/>
      <c r="N40" s="55" t="s">
        <v>448</v>
      </c>
      <c r="O40" s="57"/>
      <c r="P40" s="57"/>
      <c r="Q40" s="59" t="str">
        <f>IF(MIN(IF(ISBLANK(O40),N40,O40),IF(ISBLANK(N40),O40,N40))=0,"",MIN(IF(ISBLANK(O40),N40,O40),IF(ISBLANK(N40),O40,N40)))</f>
        <v/>
      </c>
      <c r="R40" s="57"/>
      <c r="S40" s="57"/>
      <c r="T40" s="59" t="str">
        <f>IF(MIN(IF(ISBLANK(R40),Q40,R40),IF(ISBLANK(Q40),R40,Q40))=0,"",MIN(IF(ISBLANK(R40),Q40,R40),IF(ISBLANK(Q40),R40,Q40)))</f>
        <v/>
      </c>
      <c r="U40" s="57"/>
      <c r="V40" s="57"/>
      <c r="W40" s="59" t="str">
        <f>IF(MIN(IF(ISBLANK(U40),T40,U40),IF(ISBLANK(T40),U40,T40))=0,"",MIN(IF(ISBLANK(U40),T40,U40),IF(ISBLANK(T40),U40,T40)))</f>
        <v/>
      </c>
      <c r="X40" s="57"/>
      <c r="Y40" s="57"/>
      <c r="Z40" s="59" t="str">
        <f>IF(MIN(IF(ISBLANK(X40),W40,X40),IF(ISBLANK(W40),X40,W40))=0,"",MIN(IF(ISBLANK(X40),W40,X40),IF(ISBLANK(W40),X40,W40)))</f>
        <v/>
      </c>
      <c r="AA40" s="57"/>
      <c r="AB40" s="57"/>
      <c r="AC40" s="59" t="str">
        <f>IF(MIN(IF(ISBLANK(Z40),AA40,Z40),IF(ISBLANK(AA40),Z40,AA40))=0,"",MIN(IF(ISBLANK(Z40),AA40,Z40),IF(ISBLANK(AA40),Z40,AA40)))</f>
        <v/>
      </c>
      <c r="AD40" s="57"/>
      <c r="AE40" s="57"/>
      <c r="AF40" s="59" t="str">
        <f>IF(MIN(IF(ISBLANK(AC40),AD40,AC40),IF(ISBLANK(AD40),AC40,AD40))=0,"",MIN(IF(ISBLANK(AC40),AD40,AC40),IF(ISBLANK(AD40),AC40,AD40)))</f>
        <v/>
      </c>
      <c r="AG40" s="57"/>
      <c r="AH40" s="57"/>
      <c r="AI40" s="59" t="str">
        <f>IF(MIN(IF(ISBLANK(AF40),AG40,AF40),IF(ISBLANK(AG40),AF40,AG40))=0,"",MIN(IF(ISBLANK(AF40),AG40,AF40),IF(ISBLANK(AG40),AF40,AG40)))</f>
        <v/>
      </c>
      <c r="AJ40" s="57"/>
      <c r="AK40" s="57"/>
      <c r="AL40" s="59" t="str">
        <f>IF(MIN(IF(ISBLANK(AI40),AJ40,AI40),IF(ISBLANK(AJ40),AI40,AJ40))=0,"",MIN(IF(ISBLANK(AI40),AJ40,AI40),IF(ISBLANK(AJ40),AI40,AJ40)))</f>
        <v/>
      </c>
      <c r="AM40" s="57"/>
      <c r="AN40" s="57"/>
      <c r="AO40" s="59" t="str">
        <f>IF(MIN(IF(ISBLANK(AL40),AM40,AL40),IF(ISBLANK(AM40),AL40,AM40))=0,"",MIN(IF(ISBLANK(AL40),AM40,AL40),IF(ISBLANK(AM40),AL40,AM40)))</f>
        <v/>
      </c>
      <c r="AP40" s="57"/>
      <c r="AQ40" s="59" t="str">
        <f t="shared" si="4"/>
        <v/>
      </c>
      <c r="AR40" s="57"/>
      <c r="AS40" s="57"/>
      <c r="AT40" s="59" t="str">
        <f t="shared" si="5"/>
        <v/>
      </c>
    </row>
    <row r="41" spans="1:46" ht="18.75" customHeight="1">
      <c r="A41" s="24" t="s">
        <v>792</v>
      </c>
      <c r="B41" s="26" t="s">
        <v>832</v>
      </c>
      <c r="C41" s="26"/>
      <c r="D41" s="50"/>
      <c r="E41" s="51"/>
      <c r="F41" s="50"/>
      <c r="G41" s="52"/>
      <c r="H41" s="50"/>
      <c r="I41" s="53"/>
      <c r="J41" s="50"/>
      <c r="K41" s="53"/>
      <c r="L41" s="50"/>
      <c r="M41" s="57"/>
      <c r="N41" s="55"/>
      <c r="O41" s="57"/>
      <c r="P41" s="57"/>
      <c r="Q41" s="59"/>
      <c r="R41" s="57"/>
      <c r="S41" s="57"/>
      <c r="T41" s="59"/>
      <c r="U41" s="57"/>
      <c r="V41" s="57"/>
      <c r="W41" s="59"/>
      <c r="X41" s="57"/>
      <c r="Y41" s="57"/>
      <c r="Z41" s="59"/>
      <c r="AA41" s="57"/>
      <c r="AB41" s="57"/>
      <c r="AC41" s="59"/>
      <c r="AD41" s="57"/>
      <c r="AE41" s="57"/>
      <c r="AF41" s="59"/>
      <c r="AG41" s="57"/>
      <c r="AH41" s="57"/>
      <c r="AI41" s="59"/>
      <c r="AJ41" s="57"/>
      <c r="AK41" s="57"/>
      <c r="AL41" s="59"/>
      <c r="AM41" s="57"/>
      <c r="AN41" s="57"/>
      <c r="AO41" s="59"/>
      <c r="AP41" s="57"/>
      <c r="AQ41" s="59" t="str">
        <f t="shared" si="4"/>
        <v/>
      </c>
      <c r="AR41" s="57"/>
      <c r="AS41" s="57"/>
      <c r="AT41" s="59" t="str">
        <f t="shared" si="5"/>
        <v/>
      </c>
    </row>
    <row r="42" spans="1:46" ht="18.75" hidden="1" customHeight="1">
      <c r="A42" s="24"/>
      <c r="B42" s="26" t="s">
        <v>454</v>
      </c>
      <c r="C42" s="26" t="s">
        <v>444</v>
      </c>
      <c r="D42" s="50"/>
      <c r="E42" s="51"/>
      <c r="F42" s="50"/>
      <c r="G42" s="52"/>
      <c r="H42" s="50"/>
      <c r="I42" s="53"/>
      <c r="J42" s="50"/>
      <c r="K42" s="53"/>
      <c r="L42" s="50"/>
      <c r="M42" s="57"/>
      <c r="N42" s="55" t="s">
        <v>448</v>
      </c>
      <c r="O42" s="57"/>
      <c r="P42" s="57"/>
      <c r="Q42" s="59" t="str">
        <f>IF(MIN(IF(ISBLANK(O42),N42,O42),IF(ISBLANK(N42),O42,N42))=0,"",MIN(IF(ISBLANK(O42),N42,O42),IF(ISBLANK(N42),O42,N42)))</f>
        <v/>
      </c>
      <c r="R42" s="57"/>
      <c r="S42" s="57"/>
      <c r="T42" s="59" t="str">
        <f>IF(MIN(IF(ISBLANK(R42),Q42,R42),IF(ISBLANK(Q42),R42,Q42))=0,"",MIN(IF(ISBLANK(R42),Q42,R42),IF(ISBLANK(Q42),R42,Q42)))</f>
        <v/>
      </c>
      <c r="U42" s="57"/>
      <c r="V42" s="57"/>
      <c r="W42" s="59" t="str">
        <f>IF(MIN(IF(ISBLANK(U42),T42,U42),IF(ISBLANK(T42),U42,T42))=0,"",MIN(IF(ISBLANK(U42),T42,U42),IF(ISBLANK(T42),U42,T42)))</f>
        <v/>
      </c>
      <c r="X42" s="57"/>
      <c r="Y42" s="57"/>
      <c r="Z42" s="59" t="str">
        <f>IF(MIN(IF(ISBLANK(X42),W42,X42),IF(ISBLANK(W42),X42,W42))=0,"",MIN(IF(ISBLANK(X42),W42,X42),IF(ISBLANK(W42),X42,W42)))</f>
        <v/>
      </c>
      <c r="AA42" s="57"/>
      <c r="AB42" s="57"/>
      <c r="AC42" s="59" t="str">
        <f>IF(MIN(IF(ISBLANK(Z42),AA42,Z42),IF(ISBLANK(AA42),Z42,AA42))=0,"",MIN(IF(ISBLANK(Z42),AA42,Z42),IF(ISBLANK(AA42),Z42,AA42)))</f>
        <v/>
      </c>
      <c r="AD42" s="57"/>
      <c r="AE42" s="57"/>
      <c r="AF42" s="59" t="str">
        <f>IF(MIN(IF(ISBLANK(AC42),AD42,AC42),IF(ISBLANK(AD42),AC42,AD42))=0,"",MIN(IF(ISBLANK(AC42),AD42,AC42),IF(ISBLANK(AD42),AC42,AD42)))</f>
        <v/>
      </c>
      <c r="AG42" s="57"/>
      <c r="AH42" s="57"/>
      <c r="AI42" s="59" t="str">
        <f>IF(MIN(IF(ISBLANK(AF42),AG42,AF42),IF(ISBLANK(AG42),AF42,AG42))=0,"",MIN(IF(ISBLANK(AF42),AG42,AF42),IF(ISBLANK(AG42),AF42,AG42)))</f>
        <v/>
      </c>
      <c r="AJ42" s="57"/>
      <c r="AK42" s="57"/>
      <c r="AL42" s="59" t="str">
        <f>IF(MIN(IF(ISBLANK(AI42),AJ42,AI42),IF(ISBLANK(AJ42),AI42,AJ42))=0,"",MIN(IF(ISBLANK(AI42),AJ42,AI42),IF(ISBLANK(AJ42),AI42,AJ42)))</f>
        <v/>
      </c>
      <c r="AM42" s="57"/>
      <c r="AN42" s="57"/>
      <c r="AO42" s="59" t="str">
        <f>IF(MIN(IF(ISBLANK(AL42),AM42,AL42),IF(ISBLANK(AM42),AL42,AM42))=0,"",MIN(IF(ISBLANK(AL42),AM42,AL42),IF(ISBLANK(AM42),AL42,AM42)))</f>
        <v/>
      </c>
      <c r="AP42" s="57"/>
      <c r="AQ42" s="59" t="str">
        <f t="shared" si="4"/>
        <v/>
      </c>
      <c r="AR42" s="57"/>
      <c r="AS42" s="57"/>
      <c r="AT42" s="59" t="str">
        <f t="shared" si="5"/>
        <v/>
      </c>
    </row>
    <row r="43" spans="1:46" ht="18.75" hidden="1" customHeight="1">
      <c r="A43" s="24"/>
      <c r="B43" s="26" t="s">
        <v>758</v>
      </c>
      <c r="C43" s="26"/>
      <c r="D43" s="50"/>
      <c r="E43" s="51"/>
      <c r="F43" s="50"/>
      <c r="G43" s="52"/>
      <c r="H43" s="50"/>
      <c r="I43" s="53"/>
      <c r="J43" s="50"/>
      <c r="K43" s="53"/>
      <c r="L43" s="50"/>
      <c r="M43" s="57"/>
      <c r="N43" s="55"/>
      <c r="O43" s="57"/>
      <c r="P43" s="57"/>
      <c r="Q43" s="59"/>
      <c r="R43" s="57"/>
      <c r="S43" s="57"/>
      <c r="T43" s="59"/>
      <c r="U43" s="57"/>
      <c r="V43" s="57"/>
      <c r="W43" s="59"/>
      <c r="X43" s="57"/>
      <c r="Y43" s="57"/>
      <c r="Z43" s="59"/>
      <c r="AA43" s="57"/>
      <c r="AB43" s="57"/>
      <c r="AC43" s="59"/>
      <c r="AD43" s="57"/>
      <c r="AE43" s="57"/>
      <c r="AF43" s="59"/>
      <c r="AG43" s="57"/>
      <c r="AH43" s="57"/>
      <c r="AI43" s="59"/>
      <c r="AJ43" s="57">
        <v>6.7476851851851856E-3</v>
      </c>
      <c r="AK43" s="57"/>
      <c r="AL43" s="59">
        <f>IF(MIN(IF(ISBLANK(AI43),AJ43,AI43),IF(ISBLANK(AJ43),AI43,AJ43))=0,"",MIN(IF(ISBLANK(AI43),AJ43,AI43),IF(ISBLANK(AJ43),AI43,AJ43)))</f>
        <v>6.7476851851851856E-3</v>
      </c>
      <c r="AM43" s="57"/>
      <c r="AN43" s="57"/>
      <c r="AO43" s="59">
        <f>IF(MIN(IF(ISBLANK(AL43),AM43,AL43),IF(ISBLANK(AM43),AL43,AM43))=0,"",MIN(IF(ISBLANK(AL43),AM43,AL43),IF(ISBLANK(AM43),AL43,AM43)))</f>
        <v>6.7476851851851856E-3</v>
      </c>
      <c r="AP43" s="57"/>
      <c r="AQ43" s="59">
        <f t="shared" si="4"/>
        <v>6.7476851851851856E-3</v>
      </c>
      <c r="AR43" s="57"/>
      <c r="AS43" s="57"/>
      <c r="AT43" s="59">
        <f t="shared" si="5"/>
        <v>6.7476851851851856E-3</v>
      </c>
    </row>
    <row r="44" spans="1:46" ht="18.75" customHeight="1">
      <c r="A44" s="24" t="s">
        <v>792</v>
      </c>
      <c r="B44" s="26" t="s">
        <v>619</v>
      </c>
      <c r="C44" s="26"/>
      <c r="D44" s="50"/>
      <c r="E44" s="51"/>
      <c r="F44" s="50"/>
      <c r="G44" s="52"/>
      <c r="H44" s="50"/>
      <c r="I44" s="53"/>
      <c r="J44" s="50"/>
      <c r="K44" s="53"/>
      <c r="L44" s="50"/>
      <c r="M44" s="57"/>
      <c r="N44" s="55"/>
      <c r="O44" s="57"/>
      <c r="P44" s="57"/>
      <c r="Q44" s="59"/>
      <c r="R44" s="57"/>
      <c r="S44" s="57"/>
      <c r="T44" s="59"/>
      <c r="U44" s="57"/>
      <c r="V44" s="57"/>
      <c r="W44" s="59"/>
      <c r="X44" s="57"/>
      <c r="Y44" s="57"/>
      <c r="Z44" s="59" t="str">
        <f>IF(MIN(IF(ISBLANK(X44),W44,X44),IF(ISBLANK(W44),X44,W44))=0,"",MIN(IF(ISBLANK(X44),W44,X44),IF(ISBLANK(W44),X44,W44)))</f>
        <v/>
      </c>
      <c r="AA44" s="57"/>
      <c r="AB44" s="57"/>
      <c r="AC44" s="59" t="str">
        <f>IF(MIN(IF(ISBLANK(Z44),AA44,Z44),IF(ISBLANK(AA44),Z44,AA44))=0,"",MIN(IF(ISBLANK(Z44),AA44,Z44),IF(ISBLANK(AA44),Z44,AA44)))</f>
        <v/>
      </c>
      <c r="AD44" s="57">
        <v>5.8217592592592592E-3</v>
      </c>
      <c r="AE44" s="57"/>
      <c r="AF44" s="59">
        <f>IF(MIN(IF(ISBLANK(AC44),AD44,AC44),IF(ISBLANK(AD44),AC44,AD44))=0,"",MIN(IF(ISBLANK(AC44),AD44,AC44),IF(ISBLANK(AD44),AC44,AD44)))</f>
        <v>5.8217592592592592E-3</v>
      </c>
      <c r="AG44" s="57">
        <v>5.5671296296296302E-3</v>
      </c>
      <c r="AH44" s="57"/>
      <c r="AI44" s="59">
        <f>IF(MIN(IF(ISBLANK(AF44),AG44,AF44),IF(ISBLANK(AG44),AF44,AG44))=0,"",MIN(IF(ISBLANK(AF44),AG44,AF44),IF(ISBLANK(AG44),AF44,AG44)))</f>
        <v>5.5671296296296302E-3</v>
      </c>
      <c r="AJ44" s="57"/>
      <c r="AK44" s="57"/>
      <c r="AL44" s="59">
        <f>IF(MIN(IF(ISBLANK(AI44),AJ44,AI44),IF(ISBLANK(AJ44),AI44,AJ44))=0,"",MIN(IF(ISBLANK(AI44),AJ44,AI44),IF(ISBLANK(AJ44),AI44,AJ44)))</f>
        <v>5.5671296296296302E-3</v>
      </c>
      <c r="AM44" s="57"/>
      <c r="AN44" s="57"/>
      <c r="AO44" s="59">
        <f>IF(MIN(IF(ISBLANK(AL44),AM44,AL44),IF(ISBLANK(AM44),AL44,AM44))=0,"",MIN(IF(ISBLANK(AL44),AM44,AL44),IF(ISBLANK(AM44),AL44,AM44)))</f>
        <v>5.5671296296296302E-3</v>
      </c>
      <c r="AP44" s="57">
        <v>5.6249999999999989E-3</v>
      </c>
      <c r="AQ44" s="59">
        <f t="shared" si="4"/>
        <v>5.5671296296296302E-3</v>
      </c>
      <c r="AR44" s="57"/>
      <c r="AS44" s="57"/>
      <c r="AT44" s="59">
        <f t="shared" si="5"/>
        <v>5.5671296296296302E-3</v>
      </c>
    </row>
    <row r="45" spans="1:46" ht="18.75" hidden="1" customHeight="1">
      <c r="A45" s="24"/>
      <c r="B45" s="26" t="s">
        <v>58</v>
      </c>
      <c r="C45" s="26" t="s">
        <v>444</v>
      </c>
      <c r="D45" s="55">
        <v>6.122685185185185E-3</v>
      </c>
      <c r="E45" s="51"/>
      <c r="F45" s="55">
        <v>6.122685185185185E-3</v>
      </c>
      <c r="G45" s="52"/>
      <c r="H45" s="55">
        <v>6.122685185185185E-3</v>
      </c>
      <c r="I45" s="53"/>
      <c r="J45" s="55">
        <v>6.122685185185185E-3</v>
      </c>
      <c r="K45" s="53"/>
      <c r="L45" s="55">
        <v>6.122685185185185E-3</v>
      </c>
      <c r="M45" s="57"/>
      <c r="N45" s="55">
        <v>6.122685185185185E-3</v>
      </c>
      <c r="O45" s="57"/>
      <c r="P45" s="57"/>
      <c r="Q45" s="59">
        <f>IF(MIN(IF(ISBLANK(O45),N45,O45),IF(ISBLANK(N45),O45,N45))=0,"",MIN(IF(ISBLANK(O45),N45,O45),IF(ISBLANK(N45),O45,N45)))</f>
        <v>6.122685185185185E-3</v>
      </c>
      <c r="R45" s="57"/>
      <c r="S45" s="57"/>
      <c r="T45" s="59">
        <f>IF(MIN(IF(ISBLANK(R45),Q45,R45),IF(ISBLANK(Q45),R45,Q45))=0,"",MIN(IF(ISBLANK(R45),Q45,R45),IF(ISBLANK(Q45),R45,Q45)))</f>
        <v>6.122685185185185E-3</v>
      </c>
      <c r="U45" s="57"/>
      <c r="V45" s="57"/>
      <c r="W45" s="59">
        <f>IF(MIN(IF(ISBLANK(U45),T45,U45),IF(ISBLANK(T45),U45,T45))=0,"",MIN(IF(ISBLANK(U45),T45,U45),IF(ISBLANK(T45),U45,T45)))</f>
        <v>6.122685185185185E-3</v>
      </c>
      <c r="X45" s="57"/>
      <c r="Y45" s="57"/>
      <c r="Z45" s="59">
        <f>IF(MIN(IF(ISBLANK(X45),W45,X45),IF(ISBLANK(W45),X45,W45))=0,"",MIN(IF(ISBLANK(X45),W45,X45),IF(ISBLANK(W45),X45,W45)))</f>
        <v>6.122685185185185E-3</v>
      </c>
      <c r="AA45" s="57"/>
      <c r="AB45" s="57"/>
      <c r="AC45" s="59">
        <f>IF(MIN(IF(ISBLANK(Z45),AA45,Z45),IF(ISBLANK(AA45),Z45,AA45))=0,"",MIN(IF(ISBLANK(Z45),AA45,Z45),IF(ISBLANK(AA45),Z45,AA45)))</f>
        <v>6.122685185185185E-3</v>
      </c>
      <c r="AD45" s="57"/>
      <c r="AE45" s="57"/>
      <c r="AF45" s="59">
        <f>IF(MIN(IF(ISBLANK(AC45),AD45,AC45),IF(ISBLANK(AD45),AC45,AD45))=0,"",MIN(IF(ISBLANK(AC45),AD45,AC45),IF(ISBLANK(AD45),AC45,AD45)))</f>
        <v>6.122685185185185E-3</v>
      </c>
      <c r="AG45" s="57"/>
      <c r="AH45" s="57"/>
      <c r="AI45" s="59">
        <f>IF(MIN(IF(ISBLANK(AF45),AG45,AF45),IF(ISBLANK(AG45),AF45,AG45))=0,"",MIN(IF(ISBLANK(AF45),AG45,AF45),IF(ISBLANK(AG45),AF45,AG45)))</f>
        <v>6.122685185185185E-3</v>
      </c>
      <c r="AJ45" s="57"/>
      <c r="AK45" s="57"/>
      <c r="AL45" s="59">
        <f>IF(MIN(IF(ISBLANK(AI45),AJ45,AI45),IF(ISBLANK(AJ45),AI45,AJ45))=0,"",MIN(IF(ISBLANK(AI45),AJ45,AI45),IF(ISBLANK(AJ45),AI45,AJ45)))</f>
        <v>6.122685185185185E-3</v>
      </c>
      <c r="AM45" s="57"/>
      <c r="AN45" s="57"/>
      <c r="AO45" s="59">
        <f>IF(MIN(IF(ISBLANK(AL45),AM45,AL45),IF(ISBLANK(AM45),AL45,AM45))=0,"",MIN(IF(ISBLANK(AL45),AM45,AL45),IF(ISBLANK(AM45),AL45,AM45)))</f>
        <v>6.122685185185185E-3</v>
      </c>
      <c r="AP45" s="57"/>
      <c r="AQ45" s="59">
        <f t="shared" si="4"/>
        <v>6.122685185185185E-3</v>
      </c>
      <c r="AR45" s="57"/>
      <c r="AS45" s="57"/>
      <c r="AT45" s="59">
        <f t="shared" si="5"/>
        <v>6.122685185185185E-3</v>
      </c>
    </row>
    <row r="46" spans="1:46" ht="18.75" customHeight="1">
      <c r="A46" s="24" t="s">
        <v>792</v>
      </c>
      <c r="B46" s="26" t="s">
        <v>836</v>
      </c>
      <c r="C46" s="26"/>
      <c r="D46" s="50"/>
      <c r="E46" s="51"/>
      <c r="F46" s="50"/>
      <c r="G46" s="52"/>
      <c r="H46" s="50"/>
      <c r="I46" s="53"/>
      <c r="J46" s="50"/>
      <c r="K46" s="53"/>
      <c r="L46" s="50"/>
      <c r="M46" s="57"/>
      <c r="N46" s="55"/>
      <c r="O46" s="57"/>
      <c r="P46" s="57"/>
      <c r="Q46" s="59"/>
      <c r="R46" s="57"/>
      <c r="S46" s="57"/>
      <c r="T46" s="59"/>
      <c r="U46" s="57"/>
      <c r="V46" s="57"/>
      <c r="W46" s="59"/>
      <c r="X46" s="57"/>
      <c r="Y46" s="57"/>
      <c r="Z46" s="59"/>
      <c r="AA46" s="57"/>
      <c r="AB46" s="57"/>
      <c r="AC46" s="59"/>
      <c r="AD46" s="57"/>
      <c r="AE46" s="57"/>
      <c r="AF46" s="59"/>
      <c r="AG46" s="57"/>
      <c r="AH46" s="57"/>
      <c r="AI46" s="59"/>
      <c r="AJ46" s="57"/>
      <c r="AK46" s="57"/>
      <c r="AL46" s="59"/>
      <c r="AM46" s="57"/>
      <c r="AN46" s="57"/>
      <c r="AO46" s="59"/>
      <c r="AP46" s="57"/>
      <c r="AQ46" s="59" t="str">
        <f t="shared" si="4"/>
        <v/>
      </c>
      <c r="AR46" s="57"/>
      <c r="AS46" s="57"/>
      <c r="AT46" s="59" t="str">
        <f t="shared" si="5"/>
        <v/>
      </c>
    </row>
    <row r="47" spans="1:46" ht="18.75" hidden="1" customHeight="1">
      <c r="A47" s="24"/>
      <c r="B47" s="26" t="s">
        <v>584</v>
      </c>
      <c r="C47" s="26"/>
      <c r="D47" s="50"/>
      <c r="E47" s="51"/>
      <c r="F47" s="50"/>
      <c r="G47" s="52"/>
      <c r="H47" s="50"/>
      <c r="I47" s="53"/>
      <c r="J47" s="50"/>
      <c r="K47" s="53"/>
      <c r="L47" s="50"/>
      <c r="M47" s="57"/>
      <c r="N47" s="55"/>
      <c r="O47" s="57">
        <v>1.2268518518518519E-2</v>
      </c>
      <c r="P47" s="57"/>
      <c r="Q47" s="59">
        <f>IF(MIN(IF(ISBLANK(O47),N47,O47),IF(ISBLANK(N47),O47,N47))=0,"",MIN(IF(ISBLANK(O47),N47,O47),IF(ISBLANK(N47),O47,N47)))</f>
        <v>1.2268518518518519E-2</v>
      </c>
      <c r="R47" s="57"/>
      <c r="S47" s="57"/>
      <c r="T47" s="59">
        <f>IF(MIN(IF(ISBLANK(R47),Q47,R47),IF(ISBLANK(Q47),R47,Q47))=0,"",MIN(IF(ISBLANK(R47),Q47,R47),IF(ISBLANK(Q47),R47,Q47)))</f>
        <v>1.2268518518518519E-2</v>
      </c>
      <c r="U47" s="57"/>
      <c r="V47" s="57"/>
      <c r="W47" s="59">
        <f>IF(MIN(IF(ISBLANK(U47),T47,U47),IF(ISBLANK(T47),U47,T47))=0,"",MIN(IF(ISBLANK(U47),T47,U47),IF(ISBLANK(T47),U47,T47)))</f>
        <v>1.2268518518518519E-2</v>
      </c>
      <c r="X47" s="57"/>
      <c r="Y47" s="57"/>
      <c r="Z47" s="59">
        <f>IF(MIN(IF(ISBLANK(X47),W47,X47),IF(ISBLANK(W47),X47,W47))=0,"",MIN(IF(ISBLANK(X47),W47,X47),IF(ISBLANK(W47),X47,W47)))</f>
        <v>1.2268518518518519E-2</v>
      </c>
      <c r="AA47" s="57"/>
      <c r="AB47" s="57"/>
      <c r="AC47" s="59">
        <f>IF(MIN(IF(ISBLANK(Z47),AA47,Z47),IF(ISBLANK(AA47),Z47,AA47))=0,"",MIN(IF(ISBLANK(Z47),AA47,Z47),IF(ISBLANK(AA47),Z47,AA47)))</f>
        <v>1.2268518518518519E-2</v>
      </c>
      <c r="AD47" s="57"/>
      <c r="AE47" s="57"/>
      <c r="AF47" s="59">
        <f>IF(MIN(IF(ISBLANK(AC47),AD47,AC47),IF(ISBLANK(AD47),AC47,AD47))=0,"",MIN(IF(ISBLANK(AC47),AD47,AC47),IF(ISBLANK(AD47),AC47,AD47)))</f>
        <v>1.2268518518518519E-2</v>
      </c>
      <c r="AG47" s="57"/>
      <c r="AH47" s="57"/>
      <c r="AI47" s="59">
        <f>IF(MIN(IF(ISBLANK(AF47),AG47,AF47),IF(ISBLANK(AG47),AF47,AG47))=0,"",MIN(IF(ISBLANK(AF47),AG47,AF47),IF(ISBLANK(AG47),AF47,AG47)))</f>
        <v>1.2268518518518519E-2</v>
      </c>
      <c r="AJ47" s="57"/>
      <c r="AK47" s="57"/>
      <c r="AL47" s="59">
        <f>IF(MIN(IF(ISBLANK(AI47),AJ47,AI47),IF(ISBLANK(AJ47),AI47,AJ47))=0,"",MIN(IF(ISBLANK(AI47),AJ47,AI47),IF(ISBLANK(AJ47),AI47,AJ47)))</f>
        <v>1.2268518518518519E-2</v>
      </c>
      <c r="AM47" s="57"/>
      <c r="AN47" s="57"/>
      <c r="AO47" s="59">
        <f>IF(MIN(IF(ISBLANK(AL47),AM47,AL47),IF(ISBLANK(AM47),AL47,AM47))=0,"",MIN(IF(ISBLANK(AL47),AM47,AL47),IF(ISBLANK(AM47),AL47,AM47)))</f>
        <v>1.2268518518518519E-2</v>
      </c>
      <c r="AP47" s="57"/>
      <c r="AQ47" s="59">
        <f t="shared" si="4"/>
        <v>1.2268518518518519E-2</v>
      </c>
      <c r="AR47" s="57"/>
      <c r="AS47" s="57"/>
      <c r="AT47" s="59">
        <f t="shared" si="5"/>
        <v>1.2268518518518519E-2</v>
      </c>
    </row>
    <row r="48" spans="1:46" ht="18.75" hidden="1" customHeight="1">
      <c r="A48" s="24"/>
      <c r="B48" s="26" t="s">
        <v>69</v>
      </c>
      <c r="C48" s="26" t="s">
        <v>443</v>
      </c>
      <c r="D48" s="50"/>
      <c r="E48" s="51"/>
      <c r="F48" s="50" t="s">
        <v>448</v>
      </c>
      <c r="G48" s="52"/>
      <c r="H48" s="50"/>
      <c r="I48" s="53"/>
      <c r="J48" s="50" t="s">
        <v>448</v>
      </c>
      <c r="K48" s="53"/>
      <c r="L48" s="50"/>
      <c r="M48" s="57"/>
      <c r="N48" s="55" t="s">
        <v>448</v>
      </c>
      <c r="O48" s="57"/>
      <c r="P48" s="57"/>
      <c r="Q48" s="59" t="str">
        <f>IF(MIN(IF(ISBLANK(O48),N48,O48),IF(ISBLANK(N48),O48,N48))=0,"",MIN(IF(ISBLANK(O48),N48,O48),IF(ISBLANK(N48),O48,N48)))</f>
        <v/>
      </c>
      <c r="R48" s="57"/>
      <c r="S48" s="57"/>
      <c r="T48" s="59" t="str">
        <f>IF(MIN(IF(ISBLANK(R48),Q48,R48),IF(ISBLANK(Q48),R48,Q48))=0,"",MIN(IF(ISBLANK(R48),Q48,R48),IF(ISBLANK(Q48),R48,Q48)))</f>
        <v/>
      </c>
      <c r="U48" s="57"/>
      <c r="V48" s="57"/>
      <c r="W48" s="59" t="str">
        <f>IF(MIN(IF(ISBLANK(U48),T48,U48),IF(ISBLANK(T48),U48,T48))=0,"",MIN(IF(ISBLANK(U48),T48,U48),IF(ISBLANK(T48),U48,T48)))</f>
        <v/>
      </c>
      <c r="X48" s="57"/>
      <c r="Y48" s="57"/>
      <c r="Z48" s="59" t="str">
        <f>IF(MIN(IF(ISBLANK(X48),W48,X48),IF(ISBLANK(W48),X48,W48))=0,"",MIN(IF(ISBLANK(X48),W48,X48),IF(ISBLANK(W48),X48,W48)))</f>
        <v/>
      </c>
      <c r="AA48" s="57"/>
      <c r="AB48" s="57"/>
      <c r="AC48" s="59" t="str">
        <f>IF(MIN(IF(ISBLANK(Z48),AA48,Z48),IF(ISBLANK(AA48),Z48,AA48))=0,"",MIN(IF(ISBLANK(Z48),AA48,Z48),IF(ISBLANK(AA48),Z48,AA48)))</f>
        <v/>
      </c>
      <c r="AD48" s="57"/>
      <c r="AE48" s="57"/>
      <c r="AF48" s="59" t="str">
        <f>IF(MIN(IF(ISBLANK(AC48),AD48,AC48),IF(ISBLANK(AD48),AC48,AD48))=0,"",MIN(IF(ISBLANK(AC48),AD48,AC48),IF(ISBLANK(AD48),AC48,AD48)))</f>
        <v/>
      </c>
      <c r="AG48" s="57"/>
      <c r="AH48" s="57"/>
      <c r="AI48" s="59" t="str">
        <f>IF(MIN(IF(ISBLANK(AF48),AG48,AF48),IF(ISBLANK(AG48),AF48,AG48))=0,"",MIN(IF(ISBLANK(AF48),AG48,AF48),IF(ISBLANK(AG48),AF48,AG48)))</f>
        <v/>
      </c>
      <c r="AJ48" s="57"/>
      <c r="AK48" s="57"/>
      <c r="AL48" s="59" t="str">
        <f>IF(MIN(IF(ISBLANK(AI48),AJ48,AI48),IF(ISBLANK(AJ48),AI48,AJ48))=0,"",MIN(IF(ISBLANK(AI48),AJ48,AI48),IF(ISBLANK(AJ48),AI48,AJ48)))</f>
        <v/>
      </c>
      <c r="AM48" s="57"/>
      <c r="AN48" s="57"/>
      <c r="AO48" s="59" t="str">
        <f>IF(MIN(IF(ISBLANK(AL48),AM48,AL48),IF(ISBLANK(AM48),AL48,AM48))=0,"",MIN(IF(ISBLANK(AL48),AM48,AL48),IF(ISBLANK(AM48),AL48,AM48)))</f>
        <v/>
      </c>
      <c r="AP48" s="57"/>
      <c r="AQ48" s="59" t="str">
        <f t="shared" si="4"/>
        <v/>
      </c>
      <c r="AR48" s="57"/>
      <c r="AS48" s="57"/>
      <c r="AT48" s="59" t="str">
        <f t="shared" si="5"/>
        <v/>
      </c>
    </row>
    <row r="49" spans="1:46" ht="18.75" hidden="1" customHeight="1">
      <c r="A49" s="24"/>
      <c r="B49" s="26" t="s">
        <v>74</v>
      </c>
      <c r="C49" s="26" t="s">
        <v>444</v>
      </c>
      <c r="D49" s="50"/>
      <c r="E49" s="51"/>
      <c r="F49" s="50" t="s">
        <v>448</v>
      </c>
      <c r="G49" s="52"/>
      <c r="H49" s="50"/>
      <c r="I49" s="53"/>
      <c r="J49" s="50" t="s">
        <v>448</v>
      </c>
      <c r="K49" s="53"/>
      <c r="L49" s="50"/>
      <c r="M49" s="57"/>
      <c r="N49" s="55" t="s">
        <v>448</v>
      </c>
      <c r="O49" s="57"/>
      <c r="P49" s="57"/>
      <c r="Q49" s="59" t="str">
        <f>IF(MIN(IF(ISBLANK(O49),N49,O49),IF(ISBLANK(N49),O49,N49))=0,"",MIN(IF(ISBLANK(O49),N49,O49),IF(ISBLANK(N49),O49,N49)))</f>
        <v/>
      </c>
      <c r="R49" s="57">
        <v>5.4976851851851853E-3</v>
      </c>
      <c r="S49" s="57"/>
      <c r="T49" s="59">
        <f>IF(MIN(IF(ISBLANK(R49),Q49,R49),IF(ISBLANK(Q49),R49,Q49))=0,"",MIN(IF(ISBLANK(R49),Q49,R49),IF(ISBLANK(Q49),R49,Q49)))</f>
        <v>5.4976851851851853E-3</v>
      </c>
      <c r="U49" s="57"/>
      <c r="V49" s="57"/>
      <c r="W49" s="59">
        <f>IF(MIN(IF(ISBLANK(U49),T49,U49),IF(ISBLANK(T49),U49,T49))=0,"",MIN(IF(ISBLANK(U49),T49,U49),IF(ISBLANK(T49),U49,T49)))</f>
        <v>5.4976851851851853E-3</v>
      </c>
      <c r="X49" s="57"/>
      <c r="Y49" s="57"/>
      <c r="Z49" s="59">
        <f>IF(MIN(IF(ISBLANK(X49),W49,X49),IF(ISBLANK(W49),X49,W49))=0,"",MIN(IF(ISBLANK(X49),W49,X49),IF(ISBLANK(W49),X49,W49)))</f>
        <v>5.4976851851851853E-3</v>
      </c>
      <c r="AA49" s="57"/>
      <c r="AB49" s="57"/>
      <c r="AC49" s="59">
        <f>IF(MIN(IF(ISBLANK(Z49),AA49,Z49),IF(ISBLANK(AA49),Z49,AA49))=0,"",MIN(IF(ISBLANK(Z49),AA49,Z49),IF(ISBLANK(AA49),Z49,AA49)))</f>
        <v>5.4976851851851853E-3</v>
      </c>
      <c r="AD49" s="57"/>
      <c r="AE49" s="57"/>
      <c r="AF49" s="59">
        <f>IF(MIN(IF(ISBLANK(AC49),AD49,AC49),IF(ISBLANK(AD49),AC49,AD49))=0,"",MIN(IF(ISBLANK(AC49),AD49,AC49),IF(ISBLANK(AD49),AC49,AD49)))</f>
        <v>5.4976851851851853E-3</v>
      </c>
      <c r="AG49" s="57"/>
      <c r="AH49" s="57"/>
      <c r="AI49" s="59">
        <f>IF(MIN(IF(ISBLANK(AF49),AG49,AF49),IF(ISBLANK(AG49),AF49,AG49))=0,"",MIN(IF(ISBLANK(AF49),AG49,AF49),IF(ISBLANK(AG49),AF49,AG49)))</f>
        <v>5.4976851851851853E-3</v>
      </c>
      <c r="AJ49" s="57"/>
      <c r="AK49" s="57"/>
      <c r="AL49" s="59">
        <f>IF(MIN(IF(ISBLANK(AI49),AJ49,AI49),IF(ISBLANK(AJ49),AI49,AJ49))=0,"",MIN(IF(ISBLANK(AI49),AJ49,AI49),IF(ISBLANK(AJ49),AI49,AJ49)))</f>
        <v>5.4976851851851853E-3</v>
      </c>
      <c r="AM49" s="57"/>
      <c r="AN49" s="57"/>
      <c r="AO49" s="59">
        <f>IF(MIN(IF(ISBLANK(AL49),AM49,AL49),IF(ISBLANK(AM49),AL49,AM49))=0,"",MIN(IF(ISBLANK(AL49),AM49,AL49),IF(ISBLANK(AM49),AL49,AM49)))</f>
        <v>5.4976851851851853E-3</v>
      </c>
      <c r="AP49" s="57"/>
      <c r="AQ49" s="59">
        <f t="shared" si="4"/>
        <v>5.4976851851851853E-3</v>
      </c>
      <c r="AR49" s="57"/>
      <c r="AS49" s="57"/>
      <c r="AT49" s="59">
        <f t="shared" si="5"/>
        <v>5.4976851851851853E-3</v>
      </c>
    </row>
    <row r="50" spans="1:46" ht="18.75" customHeight="1">
      <c r="A50" s="24" t="s">
        <v>792</v>
      </c>
      <c r="B50" s="26" t="s">
        <v>838</v>
      </c>
      <c r="C50" s="26"/>
      <c r="D50" s="50"/>
      <c r="E50" s="51"/>
      <c r="F50" s="50"/>
      <c r="G50" s="52"/>
      <c r="H50" s="50"/>
      <c r="I50" s="53"/>
      <c r="J50" s="50"/>
      <c r="K50" s="53"/>
      <c r="L50" s="50"/>
      <c r="M50" s="57"/>
      <c r="N50" s="55"/>
      <c r="O50" s="57"/>
      <c r="P50" s="57"/>
      <c r="Q50" s="59"/>
      <c r="R50" s="57"/>
      <c r="S50" s="57"/>
      <c r="T50" s="59"/>
      <c r="U50" s="57"/>
      <c r="V50" s="57"/>
      <c r="W50" s="59"/>
      <c r="X50" s="57"/>
      <c r="Y50" s="57"/>
      <c r="Z50" s="59"/>
      <c r="AA50" s="57"/>
      <c r="AB50" s="57"/>
      <c r="AC50" s="59"/>
      <c r="AD50" s="57"/>
      <c r="AE50" s="57"/>
      <c r="AF50" s="59"/>
      <c r="AG50" s="57"/>
      <c r="AH50" s="57"/>
      <c r="AI50" s="59"/>
      <c r="AJ50" s="57"/>
      <c r="AK50" s="57"/>
      <c r="AL50" s="59"/>
      <c r="AM50" s="57"/>
      <c r="AN50" s="57"/>
      <c r="AO50" s="59"/>
      <c r="AP50" s="57">
        <v>8.8657407407407417E-3</v>
      </c>
      <c r="AQ50" s="59">
        <f t="shared" si="4"/>
        <v>8.8657407407407417E-3</v>
      </c>
      <c r="AR50" s="57"/>
      <c r="AS50" s="57"/>
      <c r="AT50" s="59">
        <f t="shared" si="5"/>
        <v>8.8657407407407417E-3</v>
      </c>
    </row>
    <row r="51" spans="1:46" ht="18.75" hidden="1" customHeight="1">
      <c r="A51" s="24"/>
      <c r="B51" s="26" t="s">
        <v>370</v>
      </c>
      <c r="C51" s="26" t="s">
        <v>444</v>
      </c>
      <c r="D51" s="50"/>
      <c r="E51" s="51"/>
      <c r="F51" s="50"/>
      <c r="G51" s="57">
        <v>6.9097222222222225E-3</v>
      </c>
      <c r="H51" s="55">
        <v>6.9097222222222225E-3</v>
      </c>
      <c r="I51" s="52"/>
      <c r="J51" s="55">
        <v>6.9097222222222225E-3</v>
      </c>
      <c r="K51" s="57">
        <v>6.6319444444444446E-3</v>
      </c>
      <c r="L51" s="55">
        <v>6.6319444444444446E-3</v>
      </c>
      <c r="M51" s="57">
        <v>6.7592592592592591E-3</v>
      </c>
      <c r="N51" s="55">
        <v>6.6319444444444446E-3</v>
      </c>
      <c r="O51" s="57">
        <v>6.4699074074074069E-3</v>
      </c>
      <c r="P51" s="57"/>
      <c r="Q51" s="59">
        <f t="shared" ref="Q51:Q56" si="14">IF(MIN(IF(ISBLANK(O51),N51,O51),IF(ISBLANK(N51),O51,N51))=0,"",MIN(IF(ISBLANK(O51),N51,O51),IF(ISBLANK(N51),O51,N51)))</f>
        <v>6.4699074074074069E-3</v>
      </c>
      <c r="R51" s="57">
        <v>6.4583333333333333E-3</v>
      </c>
      <c r="S51" s="57"/>
      <c r="T51" s="59">
        <f t="shared" ref="T51:T56" si="15">IF(MIN(IF(ISBLANK(R51),Q51,R51),IF(ISBLANK(Q51),R51,Q51))=0,"",MIN(IF(ISBLANK(R51),Q51,R51),IF(ISBLANK(Q51),R51,Q51)))</f>
        <v>6.4583333333333333E-3</v>
      </c>
      <c r="U51" s="57"/>
      <c r="V51" s="57"/>
      <c r="W51" s="59">
        <f t="shared" ref="W51:W56" si="16">IF(MIN(IF(ISBLANK(U51),T51,U51),IF(ISBLANK(T51),U51,T51))=0,"",MIN(IF(ISBLANK(U51),T51,U51),IF(ISBLANK(T51),U51,T51)))</f>
        <v>6.4583333333333333E-3</v>
      </c>
      <c r="X51" s="57">
        <v>6.3773148148148148E-3</v>
      </c>
      <c r="Y51" s="57"/>
      <c r="Z51" s="59">
        <f t="shared" ref="Z51:Z56" si="17">IF(MIN(IF(ISBLANK(X51),W51,X51),IF(ISBLANK(W51),X51,W51))=0,"",MIN(IF(ISBLANK(X51),W51,X51),IF(ISBLANK(W51),X51,W51)))</f>
        <v>6.3773148148148148E-3</v>
      </c>
      <c r="AA51" s="57"/>
      <c r="AB51" s="57"/>
      <c r="AC51" s="59">
        <f t="shared" ref="AC51:AC56" si="18">IF(MIN(IF(ISBLANK(Z51),AA51,Z51),IF(ISBLANK(AA51),Z51,AA51))=0,"",MIN(IF(ISBLANK(Z51),AA51,Z51),IF(ISBLANK(AA51),Z51,AA51)))</f>
        <v>6.3773148148148148E-3</v>
      </c>
      <c r="AD51" s="57"/>
      <c r="AE51" s="57"/>
      <c r="AF51" s="59">
        <f t="shared" ref="AF51:AF56" si="19">IF(MIN(IF(ISBLANK(AC51),AD51,AC51),IF(ISBLANK(AD51),AC51,AD51))=0,"",MIN(IF(ISBLANK(AC51),AD51,AC51),IF(ISBLANK(AD51),AC51,AD51)))</f>
        <v>6.3773148148148148E-3</v>
      </c>
      <c r="AG51" s="57"/>
      <c r="AH51" s="57"/>
      <c r="AI51" s="59">
        <f t="shared" ref="AI51:AI56" si="20">IF(MIN(IF(ISBLANK(AF51),AG51,AF51),IF(ISBLANK(AG51),AF51,AG51))=0,"",MIN(IF(ISBLANK(AF51),AG51,AF51),IF(ISBLANK(AG51),AF51,AG51)))</f>
        <v>6.3773148148148148E-3</v>
      </c>
      <c r="AJ51" s="57"/>
      <c r="AK51" s="57"/>
      <c r="AL51" s="59">
        <f t="shared" ref="AL51:AL64" si="21">IF(MIN(IF(ISBLANK(AI51),AJ51,AI51),IF(ISBLANK(AJ51),AI51,AJ51))=0,"",MIN(IF(ISBLANK(AI51),AJ51,AI51),IF(ISBLANK(AJ51),AI51,AJ51)))</f>
        <v>6.3773148148148148E-3</v>
      </c>
      <c r="AM51" s="57"/>
      <c r="AN51" s="57"/>
      <c r="AO51" s="59">
        <f t="shared" ref="AO51:AO64" si="22">IF(MIN(IF(ISBLANK(AL51),AM51,AL51),IF(ISBLANK(AM51),AL51,AM51))=0,"",MIN(IF(ISBLANK(AL51),AM51,AL51),IF(ISBLANK(AM51),AL51,AM51)))</f>
        <v>6.3773148148148148E-3</v>
      </c>
      <c r="AP51" s="57"/>
      <c r="AQ51" s="59">
        <f t="shared" si="4"/>
        <v>6.3773148148148148E-3</v>
      </c>
      <c r="AR51" s="57"/>
      <c r="AS51" s="57"/>
      <c r="AT51" s="59">
        <f t="shared" si="5"/>
        <v>6.3773148148148148E-3</v>
      </c>
    </row>
    <row r="52" spans="1:46" ht="18.75" hidden="1" customHeight="1">
      <c r="A52" s="24"/>
      <c r="B52" s="26" t="s">
        <v>85</v>
      </c>
      <c r="C52" s="26" t="s">
        <v>444</v>
      </c>
      <c r="D52" s="55">
        <v>5.7291666666666671E-3</v>
      </c>
      <c r="E52" s="57">
        <v>5.8680555555555543E-3</v>
      </c>
      <c r="F52" s="55">
        <v>5.7291666666666671E-3</v>
      </c>
      <c r="G52" s="52"/>
      <c r="H52" s="55">
        <v>5.7291666666666671E-3</v>
      </c>
      <c r="I52" s="53"/>
      <c r="J52" s="55">
        <v>5.7291666666666671E-3</v>
      </c>
      <c r="K52" s="53"/>
      <c r="L52" s="55">
        <v>5.7291666666666671E-3</v>
      </c>
      <c r="M52" s="57"/>
      <c r="N52" s="55">
        <v>5.7291666666666671E-3</v>
      </c>
      <c r="O52" s="57"/>
      <c r="P52" s="57"/>
      <c r="Q52" s="59">
        <f t="shared" si="14"/>
        <v>5.7291666666666671E-3</v>
      </c>
      <c r="R52" s="57"/>
      <c r="S52" s="57"/>
      <c r="T52" s="59">
        <f t="shared" si="15"/>
        <v>5.7291666666666671E-3</v>
      </c>
      <c r="U52" s="57"/>
      <c r="V52" s="57"/>
      <c r="W52" s="59">
        <f t="shared" si="16"/>
        <v>5.7291666666666671E-3</v>
      </c>
      <c r="X52" s="57"/>
      <c r="Y52" s="57"/>
      <c r="Z52" s="59">
        <f t="shared" si="17"/>
        <v>5.7291666666666671E-3</v>
      </c>
      <c r="AA52" s="57"/>
      <c r="AB52" s="57"/>
      <c r="AC52" s="59">
        <f t="shared" si="18"/>
        <v>5.7291666666666671E-3</v>
      </c>
      <c r="AD52" s="57"/>
      <c r="AE52" s="57"/>
      <c r="AF52" s="59">
        <f t="shared" si="19"/>
        <v>5.7291666666666671E-3</v>
      </c>
      <c r="AG52" s="57"/>
      <c r="AH52" s="57"/>
      <c r="AI52" s="59">
        <f t="shared" si="20"/>
        <v>5.7291666666666671E-3</v>
      </c>
      <c r="AJ52" s="57"/>
      <c r="AK52" s="57"/>
      <c r="AL52" s="59">
        <f t="shared" si="21"/>
        <v>5.7291666666666671E-3</v>
      </c>
      <c r="AM52" s="57"/>
      <c r="AN52" s="57"/>
      <c r="AO52" s="59">
        <f t="shared" si="22"/>
        <v>5.7291666666666671E-3</v>
      </c>
      <c r="AP52" s="57"/>
      <c r="AQ52" s="59">
        <f t="shared" si="4"/>
        <v>5.7291666666666671E-3</v>
      </c>
      <c r="AR52" s="57"/>
      <c r="AS52" s="57"/>
      <c r="AT52" s="59">
        <f t="shared" si="5"/>
        <v>5.7291666666666671E-3</v>
      </c>
    </row>
    <row r="53" spans="1:46" ht="18.75" hidden="1" customHeight="1">
      <c r="A53" s="24"/>
      <c r="B53" s="26" t="s">
        <v>532</v>
      </c>
      <c r="C53" s="26"/>
      <c r="D53" s="50"/>
      <c r="E53" s="51"/>
      <c r="F53" s="50"/>
      <c r="G53" s="52"/>
      <c r="H53" s="50"/>
      <c r="I53" s="53"/>
      <c r="J53" s="50"/>
      <c r="K53" s="53"/>
      <c r="L53" s="50"/>
      <c r="M53" s="57"/>
      <c r="N53" s="55" t="s">
        <v>448</v>
      </c>
      <c r="O53" s="57"/>
      <c r="P53" s="57"/>
      <c r="Q53" s="59" t="str">
        <f t="shared" si="14"/>
        <v/>
      </c>
      <c r="R53" s="57"/>
      <c r="S53" s="57"/>
      <c r="T53" s="59" t="str">
        <f t="shared" si="15"/>
        <v/>
      </c>
      <c r="U53" s="57"/>
      <c r="V53" s="57"/>
      <c r="W53" s="59" t="str">
        <f t="shared" si="16"/>
        <v/>
      </c>
      <c r="X53" s="57"/>
      <c r="Y53" s="57"/>
      <c r="Z53" s="59" t="str">
        <f t="shared" si="17"/>
        <v/>
      </c>
      <c r="AA53" s="57"/>
      <c r="AB53" s="57"/>
      <c r="AC53" s="59" t="str">
        <f t="shared" si="18"/>
        <v/>
      </c>
      <c r="AD53" s="57"/>
      <c r="AE53" s="57"/>
      <c r="AF53" s="59" t="str">
        <f t="shared" si="19"/>
        <v/>
      </c>
      <c r="AG53" s="57"/>
      <c r="AH53" s="57"/>
      <c r="AI53" s="59" t="str">
        <f t="shared" si="20"/>
        <v/>
      </c>
      <c r="AJ53" s="57"/>
      <c r="AK53" s="57"/>
      <c r="AL53" s="59" t="str">
        <f t="shared" si="21"/>
        <v/>
      </c>
      <c r="AM53" s="57"/>
      <c r="AN53" s="57"/>
      <c r="AO53" s="59" t="str">
        <f t="shared" si="22"/>
        <v/>
      </c>
      <c r="AP53" s="57"/>
      <c r="AQ53" s="59" t="str">
        <f t="shared" si="4"/>
        <v/>
      </c>
      <c r="AR53" s="57"/>
      <c r="AS53" s="57"/>
      <c r="AT53" s="59" t="str">
        <f t="shared" si="5"/>
        <v/>
      </c>
    </row>
    <row r="54" spans="1:46" ht="18.75" hidden="1" customHeight="1">
      <c r="A54" s="24"/>
      <c r="B54" s="26" t="s">
        <v>322</v>
      </c>
      <c r="C54" s="26" t="s">
        <v>443</v>
      </c>
      <c r="D54" s="50"/>
      <c r="E54" s="57">
        <v>7.2685185185185188E-3</v>
      </c>
      <c r="F54" s="55">
        <v>7.2685185185185188E-3</v>
      </c>
      <c r="G54" s="57">
        <v>7.106481481481481E-3</v>
      </c>
      <c r="H54" s="55">
        <v>7.106481481481481E-3</v>
      </c>
      <c r="I54" s="57">
        <v>6.828703703703704E-3</v>
      </c>
      <c r="J54" s="55">
        <v>6.828703703703704E-3</v>
      </c>
      <c r="K54" s="57">
        <v>6.9212962962962969E-3</v>
      </c>
      <c r="L54" s="55">
        <v>6.828703703703704E-3</v>
      </c>
      <c r="M54" s="57">
        <v>7.1180555555555554E-3</v>
      </c>
      <c r="N54" s="55">
        <v>6.828703703703704E-3</v>
      </c>
      <c r="O54" s="57">
        <v>6.7013888888888887E-3</v>
      </c>
      <c r="P54" s="57"/>
      <c r="Q54" s="59">
        <f t="shared" si="14"/>
        <v>6.7013888888888887E-3</v>
      </c>
      <c r="R54" s="57"/>
      <c r="S54" s="57"/>
      <c r="T54" s="59">
        <f t="shared" si="15"/>
        <v>6.7013888888888887E-3</v>
      </c>
      <c r="U54" s="57"/>
      <c r="V54" s="57"/>
      <c r="W54" s="59">
        <f t="shared" si="16"/>
        <v>6.7013888888888887E-3</v>
      </c>
      <c r="X54" s="57"/>
      <c r="Y54" s="57"/>
      <c r="Z54" s="59">
        <f t="shared" si="17"/>
        <v>6.7013888888888887E-3</v>
      </c>
      <c r="AA54" s="57"/>
      <c r="AB54" s="57"/>
      <c r="AC54" s="59">
        <f t="shared" si="18"/>
        <v>6.7013888888888887E-3</v>
      </c>
      <c r="AD54" s="57"/>
      <c r="AE54" s="57"/>
      <c r="AF54" s="59">
        <f t="shared" si="19"/>
        <v>6.7013888888888887E-3</v>
      </c>
      <c r="AG54" s="57"/>
      <c r="AH54" s="57"/>
      <c r="AI54" s="59">
        <f t="shared" si="20"/>
        <v>6.7013888888888887E-3</v>
      </c>
      <c r="AJ54" s="57"/>
      <c r="AK54" s="57"/>
      <c r="AL54" s="59">
        <f t="shared" si="21"/>
        <v>6.7013888888888887E-3</v>
      </c>
      <c r="AM54" s="57"/>
      <c r="AN54" s="57"/>
      <c r="AO54" s="59">
        <f t="shared" si="22"/>
        <v>6.7013888888888887E-3</v>
      </c>
      <c r="AP54" s="57"/>
      <c r="AQ54" s="59">
        <f t="shared" si="4"/>
        <v>6.7013888888888887E-3</v>
      </c>
      <c r="AR54" s="57"/>
      <c r="AS54" s="57"/>
      <c r="AT54" s="59">
        <f t="shared" si="5"/>
        <v>6.7013888888888887E-3</v>
      </c>
    </row>
    <row r="55" spans="1:46" ht="18.75" hidden="1" customHeight="1">
      <c r="A55" s="24"/>
      <c r="B55" s="26" t="s">
        <v>477</v>
      </c>
      <c r="C55" s="26" t="s">
        <v>443</v>
      </c>
      <c r="D55" s="50"/>
      <c r="E55" s="51"/>
      <c r="F55" s="50"/>
      <c r="G55" s="52"/>
      <c r="H55" s="50"/>
      <c r="I55" s="53"/>
      <c r="J55" s="50"/>
      <c r="K55" s="57">
        <v>5.1967592592592595E-3</v>
      </c>
      <c r="L55" s="55">
        <v>5.1967592592592595E-3</v>
      </c>
      <c r="M55" s="57"/>
      <c r="N55" s="55">
        <v>5.1967592592592595E-3</v>
      </c>
      <c r="O55" s="57">
        <v>5.2546296296296299E-3</v>
      </c>
      <c r="P55" s="57"/>
      <c r="Q55" s="59">
        <f t="shared" si="14"/>
        <v>5.1967592592592595E-3</v>
      </c>
      <c r="R55" s="57"/>
      <c r="S55" s="57"/>
      <c r="T55" s="59">
        <f t="shared" si="15"/>
        <v>5.1967592592592595E-3</v>
      </c>
      <c r="U55" s="57"/>
      <c r="V55" s="57"/>
      <c r="W55" s="59">
        <f t="shared" si="16"/>
        <v>5.1967592592592595E-3</v>
      </c>
      <c r="X55" s="57"/>
      <c r="Y55" s="57"/>
      <c r="Z55" s="59">
        <f t="shared" si="17"/>
        <v>5.1967592592592595E-3</v>
      </c>
      <c r="AA55" s="57"/>
      <c r="AB55" s="57"/>
      <c r="AC55" s="59">
        <f t="shared" si="18"/>
        <v>5.1967592592592595E-3</v>
      </c>
      <c r="AD55" s="57"/>
      <c r="AE55" s="57"/>
      <c r="AF55" s="59">
        <f t="shared" si="19"/>
        <v>5.1967592592592595E-3</v>
      </c>
      <c r="AG55" s="57"/>
      <c r="AH55" s="57"/>
      <c r="AI55" s="59">
        <f t="shared" si="20"/>
        <v>5.1967592592592595E-3</v>
      </c>
      <c r="AJ55" s="57"/>
      <c r="AK55" s="57"/>
      <c r="AL55" s="59">
        <f t="shared" si="21"/>
        <v>5.1967592592592595E-3</v>
      </c>
      <c r="AM55" s="57"/>
      <c r="AN55" s="57"/>
      <c r="AO55" s="59">
        <f t="shared" si="22"/>
        <v>5.1967592592592595E-3</v>
      </c>
      <c r="AP55" s="57"/>
      <c r="AQ55" s="59">
        <f t="shared" si="4"/>
        <v>5.1967592592592595E-3</v>
      </c>
      <c r="AR55" s="57"/>
      <c r="AS55" s="57"/>
      <c r="AT55" s="59">
        <f t="shared" si="5"/>
        <v>5.1967592592592595E-3</v>
      </c>
    </row>
    <row r="56" spans="1:46" ht="18.75" hidden="1" customHeight="1">
      <c r="A56" s="24"/>
      <c r="B56" s="26" t="s">
        <v>91</v>
      </c>
      <c r="C56" s="26" t="s">
        <v>443</v>
      </c>
      <c r="D56" s="55">
        <v>4.4791666666666669E-3</v>
      </c>
      <c r="E56" s="51"/>
      <c r="F56" s="55">
        <v>4.4791666666666669E-3</v>
      </c>
      <c r="G56" s="52"/>
      <c r="H56" s="55">
        <v>4.4791666666666669E-3</v>
      </c>
      <c r="I56" s="53"/>
      <c r="J56" s="55">
        <v>4.4791666666666669E-3</v>
      </c>
      <c r="K56" s="53"/>
      <c r="L56" s="55">
        <v>4.4791666666666669E-3</v>
      </c>
      <c r="M56" s="57"/>
      <c r="N56" s="55">
        <v>4.4791666666666669E-3</v>
      </c>
      <c r="O56" s="57"/>
      <c r="P56" s="57"/>
      <c r="Q56" s="59">
        <f t="shared" si="14"/>
        <v>4.4791666666666669E-3</v>
      </c>
      <c r="R56" s="57"/>
      <c r="S56" s="57"/>
      <c r="T56" s="59">
        <f t="shared" si="15"/>
        <v>4.4791666666666669E-3</v>
      </c>
      <c r="U56" s="57"/>
      <c r="V56" s="57"/>
      <c r="W56" s="59">
        <f t="shared" si="16"/>
        <v>4.4791666666666669E-3</v>
      </c>
      <c r="X56" s="57"/>
      <c r="Y56" s="57"/>
      <c r="Z56" s="59">
        <f t="shared" si="17"/>
        <v>4.4791666666666669E-3</v>
      </c>
      <c r="AA56" s="57"/>
      <c r="AB56" s="57"/>
      <c r="AC56" s="59">
        <f t="shared" si="18"/>
        <v>4.4791666666666669E-3</v>
      </c>
      <c r="AD56" s="57"/>
      <c r="AE56" s="57"/>
      <c r="AF56" s="59">
        <f t="shared" si="19"/>
        <v>4.4791666666666669E-3</v>
      </c>
      <c r="AG56" s="57"/>
      <c r="AH56" s="57"/>
      <c r="AI56" s="59">
        <f t="shared" si="20"/>
        <v>4.4791666666666669E-3</v>
      </c>
      <c r="AJ56" s="57"/>
      <c r="AK56" s="57"/>
      <c r="AL56" s="59">
        <f t="shared" si="21"/>
        <v>4.4791666666666669E-3</v>
      </c>
      <c r="AM56" s="57"/>
      <c r="AN56" s="57"/>
      <c r="AO56" s="59">
        <f t="shared" si="22"/>
        <v>4.4791666666666669E-3</v>
      </c>
      <c r="AP56" s="57"/>
      <c r="AQ56" s="59">
        <f t="shared" si="4"/>
        <v>4.4791666666666669E-3</v>
      </c>
      <c r="AR56" s="57"/>
      <c r="AS56" s="57"/>
      <c r="AT56" s="59">
        <f t="shared" si="5"/>
        <v>4.4791666666666669E-3</v>
      </c>
    </row>
    <row r="57" spans="1:46" ht="18.75" customHeight="1">
      <c r="A57" s="24" t="s">
        <v>792</v>
      </c>
      <c r="B57" s="26" t="s">
        <v>761</v>
      </c>
      <c r="C57" s="26"/>
      <c r="D57" s="50"/>
      <c r="E57" s="51"/>
      <c r="F57" s="50"/>
      <c r="G57" s="52"/>
      <c r="H57" s="50"/>
      <c r="I57" s="53"/>
      <c r="J57" s="50"/>
      <c r="K57" s="53"/>
      <c r="L57" s="50"/>
      <c r="M57" s="57"/>
      <c r="N57" s="55"/>
      <c r="O57" s="57"/>
      <c r="P57" s="57"/>
      <c r="Q57" s="59"/>
      <c r="R57" s="57"/>
      <c r="S57" s="57"/>
      <c r="T57" s="59"/>
      <c r="U57" s="57"/>
      <c r="V57" s="57"/>
      <c r="W57" s="59"/>
      <c r="X57" s="57"/>
      <c r="Y57" s="57"/>
      <c r="Z57" s="59"/>
      <c r="AA57" s="57"/>
      <c r="AB57" s="57"/>
      <c r="AC57" s="59"/>
      <c r="AD57" s="57"/>
      <c r="AE57" s="57"/>
      <c r="AF57" s="59"/>
      <c r="AG57" s="57"/>
      <c r="AH57" s="57"/>
      <c r="AI57" s="59"/>
      <c r="AJ57" s="57"/>
      <c r="AK57" s="57"/>
      <c r="AL57" s="59" t="str">
        <f t="shared" si="21"/>
        <v/>
      </c>
      <c r="AM57" s="57"/>
      <c r="AN57" s="57"/>
      <c r="AO57" s="59" t="str">
        <f t="shared" si="22"/>
        <v/>
      </c>
      <c r="AP57" s="57"/>
      <c r="AQ57" s="59" t="str">
        <f t="shared" si="4"/>
        <v/>
      </c>
      <c r="AR57" s="57"/>
      <c r="AS57" s="57"/>
      <c r="AT57" s="59" t="str">
        <f t="shared" si="5"/>
        <v/>
      </c>
    </row>
    <row r="58" spans="1:46" ht="18.75" hidden="1" customHeight="1">
      <c r="A58" s="24"/>
      <c r="B58" s="26" t="s">
        <v>122</v>
      </c>
      <c r="C58" s="26" t="s">
        <v>443</v>
      </c>
      <c r="D58" s="55">
        <v>5.347222222222222E-3</v>
      </c>
      <c r="E58" s="51"/>
      <c r="F58" s="55">
        <v>5.347222222222222E-3</v>
      </c>
      <c r="G58" s="52"/>
      <c r="H58" s="55">
        <v>5.347222222222222E-3</v>
      </c>
      <c r="I58" s="53"/>
      <c r="J58" s="55">
        <v>5.347222222222222E-3</v>
      </c>
      <c r="K58" s="53"/>
      <c r="L58" s="55">
        <v>5.347222222222222E-3</v>
      </c>
      <c r="M58" s="57"/>
      <c r="N58" s="55">
        <v>5.347222222222222E-3</v>
      </c>
      <c r="O58" s="57"/>
      <c r="P58" s="57"/>
      <c r="Q58" s="59">
        <f>IF(MIN(IF(ISBLANK(O58),N58,O58),IF(ISBLANK(N58),O58,N58))=0,"",MIN(IF(ISBLANK(O58),N58,O58),IF(ISBLANK(N58),O58,N58)))</f>
        <v>5.347222222222222E-3</v>
      </c>
      <c r="R58" s="57"/>
      <c r="S58" s="57"/>
      <c r="T58" s="59">
        <f>IF(MIN(IF(ISBLANK(R58),Q58,R58),IF(ISBLANK(Q58),R58,Q58))=0,"",MIN(IF(ISBLANK(R58),Q58,R58),IF(ISBLANK(Q58),R58,Q58)))</f>
        <v>5.347222222222222E-3</v>
      </c>
      <c r="U58" s="57"/>
      <c r="V58" s="57"/>
      <c r="W58" s="59">
        <f>IF(MIN(IF(ISBLANK(U58),T58,U58),IF(ISBLANK(T58),U58,T58))=0,"",MIN(IF(ISBLANK(U58),T58,U58),IF(ISBLANK(T58),U58,T58)))</f>
        <v>5.347222222222222E-3</v>
      </c>
      <c r="X58" s="57"/>
      <c r="Y58" s="57"/>
      <c r="Z58" s="59">
        <f>IF(MIN(IF(ISBLANK(X58),W58,X58),IF(ISBLANK(W58),X58,W58))=0,"",MIN(IF(ISBLANK(X58),W58,X58),IF(ISBLANK(W58),X58,W58)))</f>
        <v>5.347222222222222E-3</v>
      </c>
      <c r="AA58" s="57"/>
      <c r="AB58" s="57"/>
      <c r="AC58" s="59">
        <f>IF(MIN(IF(ISBLANK(Z58),AA58,Z58),IF(ISBLANK(AA58),Z58,AA58))=0,"",MIN(IF(ISBLANK(Z58),AA58,Z58),IF(ISBLANK(AA58),Z58,AA58)))</f>
        <v>5.347222222222222E-3</v>
      </c>
      <c r="AD58" s="57"/>
      <c r="AE58" s="57"/>
      <c r="AF58" s="59">
        <f t="shared" ref="AF58:AF64" si="23">IF(MIN(IF(ISBLANK(AC58),AD58,AC58),IF(ISBLANK(AD58),AC58,AD58))=0,"",MIN(IF(ISBLANK(AC58),AD58,AC58),IF(ISBLANK(AD58),AC58,AD58)))</f>
        <v>5.347222222222222E-3</v>
      </c>
      <c r="AG58" s="57"/>
      <c r="AH58" s="57"/>
      <c r="AI58" s="59">
        <f t="shared" ref="AI58:AI64" si="24">IF(MIN(IF(ISBLANK(AF58),AG58,AF58),IF(ISBLANK(AG58),AF58,AG58))=0,"",MIN(IF(ISBLANK(AF58),AG58,AF58),IF(ISBLANK(AG58),AF58,AG58)))</f>
        <v>5.347222222222222E-3</v>
      </c>
      <c r="AJ58" s="57"/>
      <c r="AK58" s="57"/>
      <c r="AL58" s="59">
        <f t="shared" si="21"/>
        <v>5.347222222222222E-3</v>
      </c>
      <c r="AM58" s="57"/>
      <c r="AN58" s="57"/>
      <c r="AO58" s="59">
        <f t="shared" si="22"/>
        <v>5.347222222222222E-3</v>
      </c>
      <c r="AP58" s="57"/>
      <c r="AQ58" s="59">
        <f t="shared" si="4"/>
        <v>5.347222222222222E-3</v>
      </c>
      <c r="AR58" s="57"/>
      <c r="AS58" s="57"/>
      <c r="AT58" s="59">
        <f t="shared" si="5"/>
        <v>5.347222222222222E-3</v>
      </c>
    </row>
    <row r="59" spans="1:46" ht="18.75" customHeight="1">
      <c r="A59" s="24" t="s">
        <v>792</v>
      </c>
      <c r="B59" s="26" t="s">
        <v>96</v>
      </c>
      <c r="C59" s="26" t="s">
        <v>443</v>
      </c>
      <c r="D59" s="55">
        <v>5.1273148148148146E-3</v>
      </c>
      <c r="E59" s="57">
        <v>5.4513888888888884E-3</v>
      </c>
      <c r="F59" s="55">
        <v>5.1273148148148146E-3</v>
      </c>
      <c r="G59" s="57">
        <v>5.3240740740740748E-3</v>
      </c>
      <c r="H59" s="55">
        <v>5.1273148148148146E-3</v>
      </c>
      <c r="I59" s="57"/>
      <c r="J59" s="55">
        <v>5.1273148148148146E-3</v>
      </c>
      <c r="K59" s="57"/>
      <c r="L59" s="55">
        <v>5.1273148148148146E-3</v>
      </c>
      <c r="M59" s="57">
        <v>5.4745370370370373E-3</v>
      </c>
      <c r="N59" s="55">
        <v>5.1273148148148146E-3</v>
      </c>
      <c r="O59" s="57"/>
      <c r="P59" s="57"/>
      <c r="Q59" s="59">
        <f>IF(MIN(IF(ISBLANK(O59),N59,O59),IF(ISBLANK(N59),O59,N59))=0,"",MIN(IF(ISBLANK(O59),N59,O59),IF(ISBLANK(N59),O59,N59)))</f>
        <v>5.1273148148148146E-3</v>
      </c>
      <c r="R59" s="57"/>
      <c r="S59" s="57"/>
      <c r="T59" s="59">
        <f>IF(MIN(IF(ISBLANK(R59),Q59,R59),IF(ISBLANK(Q59),R59,Q59))=0,"",MIN(IF(ISBLANK(R59),Q59,R59),IF(ISBLANK(Q59),R59,Q59)))</f>
        <v>5.1273148148148146E-3</v>
      </c>
      <c r="U59" s="57">
        <v>5.2662037037037035E-3</v>
      </c>
      <c r="V59" s="57"/>
      <c r="W59" s="59">
        <f>IF(MIN(IF(ISBLANK(U59),T59,U59),IF(ISBLANK(T59),U59,T59))=0,"",MIN(IF(ISBLANK(U59),T59,U59),IF(ISBLANK(T59),U59,T59)))</f>
        <v>5.1273148148148146E-3</v>
      </c>
      <c r="X59" s="57"/>
      <c r="Y59" s="57"/>
      <c r="Z59" s="59">
        <f>IF(MIN(IF(ISBLANK(X59),W59,X59),IF(ISBLANK(W59),X59,W59))=0,"",MIN(IF(ISBLANK(X59),W59,X59),IF(ISBLANK(W59),X59,W59)))</f>
        <v>5.1273148148148146E-3</v>
      </c>
      <c r="AA59" s="57"/>
      <c r="AB59" s="57"/>
      <c r="AC59" s="59">
        <f>IF(MIN(IF(ISBLANK(Z59),AA59,Z59),IF(ISBLANK(AA59),Z59,AA59))=0,"",MIN(IF(ISBLANK(Z59),AA59,Z59),IF(ISBLANK(AA59),Z59,AA59)))</f>
        <v>5.1273148148148146E-3</v>
      </c>
      <c r="AD59" s="57"/>
      <c r="AE59" s="57"/>
      <c r="AF59" s="59">
        <f t="shared" si="23"/>
        <v>5.1273148148148146E-3</v>
      </c>
      <c r="AG59" s="57"/>
      <c r="AH59" s="57"/>
      <c r="AI59" s="59">
        <f t="shared" si="24"/>
        <v>5.1273148148148146E-3</v>
      </c>
      <c r="AJ59" s="57"/>
      <c r="AK59" s="57"/>
      <c r="AL59" s="59">
        <f t="shared" si="21"/>
        <v>5.1273148148148146E-3</v>
      </c>
      <c r="AM59" s="57"/>
      <c r="AN59" s="57"/>
      <c r="AO59" s="59">
        <f t="shared" si="22"/>
        <v>5.1273148148148146E-3</v>
      </c>
      <c r="AP59" s="57"/>
      <c r="AQ59" s="59">
        <f t="shared" si="4"/>
        <v>5.1273148148148146E-3</v>
      </c>
      <c r="AR59" s="57"/>
      <c r="AS59" s="57"/>
      <c r="AT59" s="59">
        <f t="shared" si="5"/>
        <v>5.1273148148148146E-3</v>
      </c>
    </row>
    <row r="60" spans="1:46" ht="18.75" customHeight="1">
      <c r="A60" s="24" t="s">
        <v>792</v>
      </c>
      <c r="B60" s="26" t="s">
        <v>102</v>
      </c>
      <c r="C60" s="26" t="s">
        <v>443</v>
      </c>
      <c r="D60" s="55">
        <v>4.7569444444444447E-3</v>
      </c>
      <c r="E60" s="51"/>
      <c r="F60" s="55">
        <v>4.7569444444444447E-3</v>
      </c>
      <c r="G60" s="52"/>
      <c r="H60" s="55">
        <v>4.7569444444444447E-3</v>
      </c>
      <c r="I60" s="53"/>
      <c r="J60" s="55">
        <v>4.7569444444444447E-3</v>
      </c>
      <c r="K60" s="53"/>
      <c r="L60" s="55">
        <v>4.7569444444444447E-3</v>
      </c>
      <c r="M60" s="57"/>
      <c r="N60" s="55">
        <v>4.7569444444444447E-3</v>
      </c>
      <c r="O60" s="57"/>
      <c r="P60" s="57"/>
      <c r="Q60" s="59">
        <f>IF(MIN(IF(ISBLANK(O60),N60,O60),IF(ISBLANK(N60),O60,N60))=0,"",MIN(IF(ISBLANK(O60),N60,O60),IF(ISBLANK(N60),O60,N60)))</f>
        <v>4.7569444444444447E-3</v>
      </c>
      <c r="R60" s="57"/>
      <c r="S60" s="57"/>
      <c r="T60" s="59">
        <f>IF(MIN(IF(ISBLANK(R60),Q60,R60),IF(ISBLANK(Q60),R60,Q60))=0,"",MIN(IF(ISBLANK(R60),Q60,R60),IF(ISBLANK(Q60),R60,Q60)))</f>
        <v>4.7569444444444447E-3</v>
      </c>
      <c r="U60" s="57"/>
      <c r="V60" s="57"/>
      <c r="W60" s="59">
        <f>IF(MIN(IF(ISBLANK(U60),T60,U60),IF(ISBLANK(T60),U60,T60))=0,"",MIN(IF(ISBLANK(U60),T60,U60),IF(ISBLANK(T60),U60,T60)))</f>
        <v>4.7569444444444447E-3</v>
      </c>
      <c r="X60" s="57"/>
      <c r="Y60" s="57"/>
      <c r="Z60" s="59">
        <f>IF(MIN(IF(ISBLANK(X60),W60,X60),IF(ISBLANK(W60),X60,W60))=0,"",MIN(IF(ISBLANK(X60),W60,X60),IF(ISBLANK(W60),X60,W60)))</f>
        <v>4.7569444444444447E-3</v>
      </c>
      <c r="AA60" s="57"/>
      <c r="AB60" s="57"/>
      <c r="AC60" s="59">
        <f>IF(MIN(IF(ISBLANK(Z60),AA60,Z60),IF(ISBLANK(AA60),Z60,AA60))=0,"",MIN(IF(ISBLANK(Z60),AA60,Z60),IF(ISBLANK(AA60),Z60,AA60)))</f>
        <v>4.7569444444444447E-3</v>
      </c>
      <c r="AD60" s="57"/>
      <c r="AE60" s="57"/>
      <c r="AF60" s="59">
        <f t="shared" si="23"/>
        <v>4.7569444444444447E-3</v>
      </c>
      <c r="AG60" s="57"/>
      <c r="AH60" s="57"/>
      <c r="AI60" s="59">
        <f t="shared" si="24"/>
        <v>4.7569444444444447E-3</v>
      </c>
      <c r="AJ60" s="57"/>
      <c r="AK60" s="57"/>
      <c r="AL60" s="59">
        <f t="shared" si="21"/>
        <v>4.7569444444444447E-3</v>
      </c>
      <c r="AM60" s="57">
        <v>5.4745370370370373E-3</v>
      </c>
      <c r="AN60" s="57"/>
      <c r="AO60" s="59">
        <f t="shared" si="22"/>
        <v>4.7569444444444447E-3</v>
      </c>
      <c r="AP60" s="57"/>
      <c r="AQ60" s="59">
        <f t="shared" si="4"/>
        <v>4.7569444444444447E-3</v>
      </c>
      <c r="AR60" s="57"/>
      <c r="AS60" s="57"/>
      <c r="AT60" s="59">
        <f t="shared" si="5"/>
        <v>4.7569444444444447E-3</v>
      </c>
    </row>
    <row r="61" spans="1:46" ht="18.75" hidden="1" customHeight="1">
      <c r="A61" s="24"/>
      <c r="B61" s="26" t="s">
        <v>109</v>
      </c>
      <c r="C61" s="26" t="s">
        <v>443</v>
      </c>
      <c r="D61" s="55">
        <v>4.9537037037037041E-3</v>
      </c>
      <c r="E61" s="51"/>
      <c r="F61" s="55">
        <v>4.9537037037037041E-3</v>
      </c>
      <c r="G61" s="52"/>
      <c r="H61" s="55">
        <v>4.9537037037037041E-3</v>
      </c>
      <c r="I61" s="53">
        <v>7.25</v>
      </c>
      <c r="J61" s="55">
        <v>4.9537037037037041E-3</v>
      </c>
      <c r="K61" s="53">
        <v>7.26</v>
      </c>
      <c r="L61" s="55">
        <v>4.9537037037037041E-3</v>
      </c>
      <c r="M61" s="57">
        <v>6.030092592592593E-3</v>
      </c>
      <c r="N61" s="55">
        <v>4.9537037037037041E-3</v>
      </c>
      <c r="O61" s="57">
        <v>5.2199074074074066E-3</v>
      </c>
      <c r="P61" s="57"/>
      <c r="Q61" s="59">
        <f>IF(MIN(IF(ISBLANK(O61),N61,O61),IF(ISBLANK(N61),O61,N61))=0,"",MIN(IF(ISBLANK(O61),N61,O61),IF(ISBLANK(N61),O61,N61)))</f>
        <v>4.9537037037037041E-3</v>
      </c>
      <c r="R61" s="57">
        <v>5.2546296296296299E-3</v>
      </c>
      <c r="S61" s="57"/>
      <c r="T61" s="59">
        <f>IF(MIN(IF(ISBLANK(R61),Q61,R61),IF(ISBLANK(Q61),R61,Q61))=0,"",MIN(IF(ISBLANK(R61),Q61,R61),IF(ISBLANK(Q61),R61,Q61)))</f>
        <v>4.9537037037037041E-3</v>
      </c>
      <c r="U61" s="57"/>
      <c r="V61" s="57"/>
      <c r="W61" s="59">
        <f>IF(MIN(IF(ISBLANK(U61),T61,U61),IF(ISBLANK(T61),U61,T61))=0,"",MIN(IF(ISBLANK(U61),T61,U61),IF(ISBLANK(T61),U61,T61)))</f>
        <v>4.9537037037037041E-3</v>
      </c>
      <c r="X61" s="57"/>
      <c r="Y61" s="57"/>
      <c r="Z61" s="59">
        <f>IF(MIN(IF(ISBLANK(X61),W61,X61),IF(ISBLANK(W61),X61,W61))=0,"",MIN(IF(ISBLANK(X61),W61,X61),IF(ISBLANK(W61),X61,W61)))</f>
        <v>4.9537037037037041E-3</v>
      </c>
      <c r="AA61" s="57"/>
      <c r="AB61" s="57"/>
      <c r="AC61" s="59">
        <f>IF(MIN(IF(ISBLANK(Z61),AA61,Z61),IF(ISBLANK(AA61),Z61,AA61))=0,"",MIN(IF(ISBLANK(Z61),AA61,Z61),IF(ISBLANK(AA61),Z61,AA61)))</f>
        <v>4.9537037037037041E-3</v>
      </c>
      <c r="AD61" s="57"/>
      <c r="AE61" s="57"/>
      <c r="AF61" s="59">
        <f t="shared" si="23"/>
        <v>4.9537037037037041E-3</v>
      </c>
      <c r="AG61" s="57"/>
      <c r="AH61" s="57"/>
      <c r="AI61" s="59">
        <f t="shared" si="24"/>
        <v>4.9537037037037041E-3</v>
      </c>
      <c r="AJ61" s="57"/>
      <c r="AK61" s="57"/>
      <c r="AL61" s="59">
        <f t="shared" si="21"/>
        <v>4.9537037037037041E-3</v>
      </c>
      <c r="AM61" s="57"/>
      <c r="AN61" s="57"/>
      <c r="AO61" s="59">
        <f t="shared" si="22"/>
        <v>4.9537037037037041E-3</v>
      </c>
      <c r="AP61" s="57"/>
      <c r="AQ61" s="59">
        <f t="shared" si="4"/>
        <v>4.9537037037037041E-3</v>
      </c>
      <c r="AR61" s="57"/>
      <c r="AS61" s="57"/>
      <c r="AT61" s="59">
        <f t="shared" si="5"/>
        <v>4.9537037037037041E-3</v>
      </c>
    </row>
    <row r="62" spans="1:46" ht="18.75" hidden="1" customHeight="1">
      <c r="A62" s="24"/>
      <c r="B62" s="26" t="s">
        <v>115</v>
      </c>
      <c r="C62" s="26" t="s">
        <v>443</v>
      </c>
      <c r="D62" s="55">
        <v>4.8263888888888887E-3</v>
      </c>
      <c r="E62" s="51"/>
      <c r="F62" s="55">
        <v>4.8263888888888887E-3</v>
      </c>
      <c r="G62" s="52"/>
      <c r="H62" s="55">
        <v>4.8263888888888887E-3</v>
      </c>
      <c r="I62" s="53"/>
      <c r="J62" s="55">
        <v>4.8263888888888887E-3</v>
      </c>
      <c r="K62" s="53"/>
      <c r="L62" s="55">
        <v>4.8263888888888887E-3</v>
      </c>
      <c r="M62" s="57"/>
      <c r="N62" s="55">
        <v>4.8263888888888887E-3</v>
      </c>
      <c r="O62" s="57"/>
      <c r="P62" s="57"/>
      <c r="Q62" s="59">
        <f>IF(MIN(IF(ISBLANK(O62),N62,O62),IF(ISBLANK(N62),O62,N62))=0,"",MIN(IF(ISBLANK(O62),N62,O62),IF(ISBLANK(N62),O62,N62)))</f>
        <v>4.8263888888888887E-3</v>
      </c>
      <c r="R62" s="57"/>
      <c r="S62" s="57"/>
      <c r="T62" s="59">
        <f>IF(MIN(IF(ISBLANK(R62),Q62,R62),IF(ISBLANK(Q62),R62,Q62))=0,"",MIN(IF(ISBLANK(R62),Q62,R62),IF(ISBLANK(Q62),R62,Q62)))</f>
        <v>4.8263888888888887E-3</v>
      </c>
      <c r="U62" s="57"/>
      <c r="V62" s="57"/>
      <c r="W62" s="59">
        <f>IF(MIN(IF(ISBLANK(U62),T62,U62),IF(ISBLANK(T62),U62,T62))=0,"",MIN(IF(ISBLANK(U62),T62,U62),IF(ISBLANK(T62),U62,T62)))</f>
        <v>4.8263888888888887E-3</v>
      </c>
      <c r="X62" s="57"/>
      <c r="Y62" s="57"/>
      <c r="Z62" s="59">
        <f>IF(MIN(IF(ISBLANK(X62),W62,X62),IF(ISBLANK(W62),X62,W62))=0,"",MIN(IF(ISBLANK(X62),W62,X62),IF(ISBLANK(W62),X62,W62)))</f>
        <v>4.8263888888888887E-3</v>
      </c>
      <c r="AA62" s="57"/>
      <c r="AB62" s="57"/>
      <c r="AC62" s="59">
        <f>IF(MIN(IF(ISBLANK(Z62),AA62,Z62),IF(ISBLANK(AA62),Z62,AA62))=0,"",MIN(IF(ISBLANK(Z62),AA62,Z62),IF(ISBLANK(AA62),Z62,AA62)))</f>
        <v>4.8263888888888887E-3</v>
      </c>
      <c r="AD62" s="57"/>
      <c r="AE62" s="57"/>
      <c r="AF62" s="59">
        <f t="shared" si="23"/>
        <v>4.8263888888888887E-3</v>
      </c>
      <c r="AG62" s="57"/>
      <c r="AH62" s="57"/>
      <c r="AI62" s="59">
        <f t="shared" si="24"/>
        <v>4.8263888888888887E-3</v>
      </c>
      <c r="AJ62" s="57"/>
      <c r="AK62" s="57"/>
      <c r="AL62" s="59">
        <f t="shared" si="21"/>
        <v>4.8263888888888887E-3</v>
      </c>
      <c r="AM62" s="57"/>
      <c r="AN62" s="57"/>
      <c r="AO62" s="59">
        <f t="shared" si="22"/>
        <v>4.8263888888888887E-3</v>
      </c>
      <c r="AP62" s="57"/>
      <c r="AQ62" s="59">
        <f t="shared" si="4"/>
        <v>4.8263888888888887E-3</v>
      </c>
      <c r="AR62" s="57"/>
      <c r="AS62" s="57"/>
      <c r="AT62" s="59">
        <f t="shared" si="5"/>
        <v>4.8263888888888887E-3</v>
      </c>
    </row>
    <row r="63" spans="1:46" ht="18.75" customHeight="1">
      <c r="A63" s="24" t="s">
        <v>792</v>
      </c>
      <c r="B63" s="26" t="s">
        <v>728</v>
      </c>
      <c r="C63" s="26"/>
      <c r="D63" s="50"/>
      <c r="E63" s="51"/>
      <c r="F63" s="50"/>
      <c r="G63" s="52"/>
      <c r="H63" s="50"/>
      <c r="I63" s="53"/>
      <c r="J63" s="50"/>
      <c r="K63" s="53"/>
      <c r="L63" s="50"/>
      <c r="M63" s="57"/>
      <c r="N63" s="55"/>
      <c r="O63" s="57"/>
      <c r="P63" s="57"/>
      <c r="Q63" s="59"/>
      <c r="R63" s="57"/>
      <c r="S63" s="57"/>
      <c r="T63" s="59"/>
      <c r="U63" s="57"/>
      <c r="V63" s="57"/>
      <c r="W63" s="59"/>
      <c r="X63" s="57"/>
      <c r="Y63" s="57"/>
      <c r="Z63" s="59"/>
      <c r="AA63" s="57"/>
      <c r="AB63" s="57"/>
      <c r="AC63" s="59"/>
      <c r="AD63" s="57"/>
      <c r="AE63" s="57"/>
      <c r="AF63" s="59" t="str">
        <f t="shared" si="23"/>
        <v/>
      </c>
      <c r="AG63" s="57"/>
      <c r="AH63" s="57"/>
      <c r="AI63" s="59" t="str">
        <f t="shared" si="24"/>
        <v/>
      </c>
      <c r="AJ63" s="57"/>
      <c r="AK63" s="57"/>
      <c r="AL63" s="59" t="str">
        <f t="shared" si="21"/>
        <v/>
      </c>
      <c r="AM63" s="57"/>
      <c r="AN63" s="57"/>
      <c r="AO63" s="59" t="str">
        <f t="shared" si="22"/>
        <v/>
      </c>
      <c r="AP63" s="57"/>
      <c r="AQ63" s="59" t="str">
        <f t="shared" si="4"/>
        <v/>
      </c>
      <c r="AR63" s="57"/>
      <c r="AS63" s="57"/>
      <c r="AT63" s="59" t="str">
        <f t="shared" si="5"/>
        <v/>
      </c>
    </row>
    <row r="64" spans="1:46" ht="18.75" hidden="1" customHeight="1">
      <c r="A64" s="24"/>
      <c r="B64" s="26" t="s">
        <v>325</v>
      </c>
      <c r="C64" s="26" t="s">
        <v>443</v>
      </c>
      <c r="D64" s="50"/>
      <c r="E64" s="51"/>
      <c r="F64" s="50" t="s">
        <v>448</v>
      </c>
      <c r="G64" s="52"/>
      <c r="H64" s="50"/>
      <c r="I64" s="53"/>
      <c r="J64" s="50" t="s">
        <v>448</v>
      </c>
      <c r="K64" s="53"/>
      <c r="L64" s="50"/>
      <c r="M64" s="57"/>
      <c r="N64" s="55" t="s">
        <v>448</v>
      </c>
      <c r="O64" s="57"/>
      <c r="P64" s="57"/>
      <c r="Q64" s="59" t="str">
        <f>IF(MIN(IF(ISBLANK(O64),N64,O64),IF(ISBLANK(N64),O64,N64))=0,"",MIN(IF(ISBLANK(O64),N64,O64),IF(ISBLANK(N64),O64,N64)))</f>
        <v/>
      </c>
      <c r="R64" s="57"/>
      <c r="S64" s="57"/>
      <c r="T64" s="59" t="str">
        <f>IF(MIN(IF(ISBLANK(R64),Q64,R64),IF(ISBLANK(Q64),R64,Q64))=0,"",MIN(IF(ISBLANK(R64),Q64,R64),IF(ISBLANK(Q64),R64,Q64)))</f>
        <v/>
      </c>
      <c r="U64" s="57"/>
      <c r="V64" s="57"/>
      <c r="W64" s="59" t="str">
        <f>IF(MIN(IF(ISBLANK(U64),T64,U64),IF(ISBLANK(T64),U64,T64))=0,"",MIN(IF(ISBLANK(U64),T64,U64),IF(ISBLANK(T64),U64,T64)))</f>
        <v/>
      </c>
      <c r="X64" s="57"/>
      <c r="Y64" s="57"/>
      <c r="Z64" s="59" t="str">
        <f>IF(MIN(IF(ISBLANK(X64),W64,X64),IF(ISBLANK(W64),X64,W64))=0,"",MIN(IF(ISBLANK(X64),W64,X64),IF(ISBLANK(W64),X64,W64)))</f>
        <v/>
      </c>
      <c r="AA64" s="57"/>
      <c r="AB64" s="57"/>
      <c r="AC64" s="59" t="str">
        <f>IF(MIN(IF(ISBLANK(Z64),AA64,Z64),IF(ISBLANK(AA64),Z64,AA64))=0,"",MIN(IF(ISBLANK(Z64),AA64,Z64),IF(ISBLANK(AA64),Z64,AA64)))</f>
        <v/>
      </c>
      <c r="AD64" s="57"/>
      <c r="AE64" s="57"/>
      <c r="AF64" s="59" t="str">
        <f t="shared" si="23"/>
        <v/>
      </c>
      <c r="AG64" s="57"/>
      <c r="AH64" s="57"/>
      <c r="AI64" s="59" t="str">
        <f t="shared" si="24"/>
        <v/>
      </c>
      <c r="AJ64" s="57"/>
      <c r="AK64" s="57"/>
      <c r="AL64" s="59" t="str">
        <f t="shared" si="21"/>
        <v/>
      </c>
      <c r="AM64" s="57"/>
      <c r="AN64" s="57"/>
      <c r="AO64" s="59" t="str">
        <f t="shared" si="22"/>
        <v/>
      </c>
      <c r="AP64" s="57"/>
      <c r="AQ64" s="59" t="str">
        <f t="shared" si="4"/>
        <v/>
      </c>
      <c r="AR64" s="57"/>
      <c r="AS64" s="57"/>
      <c r="AT64" s="59" t="str">
        <f t="shared" si="5"/>
        <v/>
      </c>
    </row>
    <row r="65" spans="1:46" ht="18.75" hidden="1" customHeight="1">
      <c r="A65" s="24"/>
      <c r="B65" s="26" t="s">
        <v>846</v>
      </c>
      <c r="C65" s="26"/>
      <c r="D65" s="50"/>
      <c r="E65" s="51"/>
      <c r="F65" s="50"/>
      <c r="G65" s="52"/>
      <c r="H65" s="50"/>
      <c r="I65" s="53"/>
      <c r="J65" s="50"/>
      <c r="K65" s="53"/>
      <c r="L65" s="50"/>
      <c r="M65" s="57"/>
      <c r="N65" s="55"/>
      <c r="O65" s="57"/>
      <c r="P65" s="57"/>
      <c r="Q65" s="59"/>
      <c r="R65" s="57"/>
      <c r="S65" s="57"/>
      <c r="T65" s="59"/>
      <c r="U65" s="57"/>
      <c r="V65" s="57"/>
      <c r="W65" s="59"/>
      <c r="X65" s="57"/>
      <c r="Y65" s="57"/>
      <c r="Z65" s="59"/>
      <c r="AA65" s="57"/>
      <c r="AB65" s="57"/>
      <c r="AC65" s="59"/>
      <c r="AD65" s="57"/>
      <c r="AE65" s="57"/>
      <c r="AF65" s="59"/>
      <c r="AG65" s="57"/>
      <c r="AH65" s="57"/>
      <c r="AI65" s="59"/>
      <c r="AJ65" s="57"/>
      <c r="AK65" s="57"/>
      <c r="AL65" s="59"/>
      <c r="AM65" s="57"/>
      <c r="AN65" s="57"/>
      <c r="AO65" s="59"/>
      <c r="AP65" s="57"/>
      <c r="AQ65" s="59" t="str">
        <f t="shared" si="4"/>
        <v/>
      </c>
      <c r="AR65" s="57"/>
      <c r="AS65" s="57"/>
      <c r="AT65" s="59" t="str">
        <f t="shared" si="5"/>
        <v/>
      </c>
    </row>
    <row r="66" spans="1:46" ht="18.75" customHeight="1">
      <c r="A66" s="24" t="s">
        <v>792</v>
      </c>
      <c r="B66" s="26" t="s">
        <v>847</v>
      </c>
      <c r="C66" s="26"/>
      <c r="D66" s="50"/>
      <c r="E66" s="51"/>
      <c r="F66" s="50"/>
      <c r="G66" s="52"/>
      <c r="H66" s="50"/>
      <c r="I66" s="53"/>
      <c r="J66" s="50"/>
      <c r="K66" s="53"/>
      <c r="L66" s="50"/>
      <c r="M66" s="57"/>
      <c r="N66" s="55"/>
      <c r="O66" s="57"/>
      <c r="P66" s="57"/>
      <c r="Q66" s="59"/>
      <c r="R66" s="57"/>
      <c r="S66" s="57"/>
      <c r="T66" s="59"/>
      <c r="U66" s="57"/>
      <c r="V66" s="57"/>
      <c r="W66" s="59"/>
      <c r="X66" s="57"/>
      <c r="Y66" s="57"/>
      <c r="Z66" s="59"/>
      <c r="AA66" s="57"/>
      <c r="AB66" s="57"/>
      <c r="AC66" s="59"/>
      <c r="AD66" s="57"/>
      <c r="AE66" s="57"/>
      <c r="AF66" s="59"/>
      <c r="AG66" s="57"/>
      <c r="AH66" s="57"/>
      <c r="AI66" s="59"/>
      <c r="AJ66" s="57"/>
      <c r="AK66" s="57"/>
      <c r="AL66" s="59"/>
      <c r="AM66" s="57"/>
      <c r="AN66" s="57"/>
      <c r="AO66" s="59"/>
      <c r="AP66" s="57">
        <v>8.6805555555555559E-3</v>
      </c>
      <c r="AQ66" s="59">
        <f t="shared" si="4"/>
        <v>8.6805555555555559E-3</v>
      </c>
      <c r="AR66" s="57"/>
      <c r="AS66" s="57"/>
      <c r="AT66" s="59">
        <f t="shared" si="5"/>
        <v>8.6805555555555559E-3</v>
      </c>
    </row>
    <row r="67" spans="1:46" ht="18.75" customHeight="1">
      <c r="A67" s="24" t="s">
        <v>792</v>
      </c>
      <c r="B67" s="26" t="s">
        <v>752</v>
      </c>
      <c r="C67" s="26"/>
      <c r="D67" s="50"/>
      <c r="E67" s="51"/>
      <c r="F67" s="50"/>
      <c r="G67" s="52"/>
      <c r="H67" s="50"/>
      <c r="I67" s="53"/>
      <c r="J67" s="50"/>
      <c r="K67" s="53"/>
      <c r="L67" s="50"/>
      <c r="M67" s="57"/>
      <c r="N67" s="55"/>
      <c r="O67" s="57"/>
      <c r="P67" s="57"/>
      <c r="Q67" s="59"/>
      <c r="R67" s="57"/>
      <c r="S67" s="57"/>
      <c r="T67" s="59"/>
      <c r="U67" s="57"/>
      <c r="V67" s="57"/>
      <c r="W67" s="59"/>
      <c r="X67" s="57"/>
      <c r="Y67" s="57"/>
      <c r="Z67" s="59"/>
      <c r="AA67" s="57"/>
      <c r="AB67" s="57"/>
      <c r="AC67" s="59"/>
      <c r="AD67" s="57"/>
      <c r="AE67" s="57"/>
      <c r="AF67" s="59"/>
      <c r="AG67" s="57">
        <v>6.782407407407408E-3</v>
      </c>
      <c r="AH67" s="57"/>
      <c r="AI67" s="59">
        <f>IF(MIN(IF(ISBLANK(AF67),AG67,AF67),IF(ISBLANK(AG67),AF67,AG67))=0,"",MIN(IF(ISBLANK(AF67),AG67,AF67),IF(ISBLANK(AG67),AF67,AG67)))</f>
        <v>6.782407407407408E-3</v>
      </c>
      <c r="AJ67" s="57"/>
      <c r="AK67" s="57"/>
      <c r="AL67" s="59">
        <f t="shared" ref="AL67:AL82" si="25">IF(MIN(IF(ISBLANK(AI67),AJ67,AI67),IF(ISBLANK(AJ67),AI67,AJ67))=0,"",MIN(IF(ISBLANK(AI67),AJ67,AI67),IF(ISBLANK(AJ67),AI67,AJ67)))</f>
        <v>6.782407407407408E-3</v>
      </c>
      <c r="AM67" s="57">
        <v>6.6666666666666671E-3</v>
      </c>
      <c r="AN67" s="57"/>
      <c r="AO67" s="59">
        <f t="shared" ref="AO67:AO91" si="26">IF(MIN(IF(ISBLANK(AL67),AM67,AL67),IF(ISBLANK(AM67),AL67,AM67))=0,"",MIN(IF(ISBLANK(AL67),AM67,AL67),IF(ISBLANK(AM67),AL67,AM67)))</f>
        <v>6.6666666666666671E-3</v>
      </c>
      <c r="AP67" s="57"/>
      <c r="AQ67" s="59">
        <f t="shared" si="4"/>
        <v>6.6666666666666671E-3</v>
      </c>
      <c r="AR67" s="57"/>
      <c r="AS67" s="57"/>
      <c r="AT67" s="59">
        <f t="shared" si="5"/>
        <v>6.6666666666666671E-3</v>
      </c>
    </row>
    <row r="68" spans="1:46" ht="18.75" hidden="1" customHeight="1">
      <c r="A68" s="24"/>
      <c r="B68" s="26" t="s">
        <v>620</v>
      </c>
      <c r="C68" s="26"/>
      <c r="D68" s="50"/>
      <c r="E68" s="51"/>
      <c r="F68" s="50"/>
      <c r="G68" s="52"/>
      <c r="H68" s="50"/>
      <c r="I68" s="53"/>
      <c r="J68" s="50"/>
      <c r="K68" s="53"/>
      <c r="L68" s="50"/>
      <c r="M68" s="57"/>
      <c r="N68" s="55"/>
      <c r="O68" s="57"/>
      <c r="P68" s="57"/>
      <c r="Q68" s="59"/>
      <c r="R68" s="57"/>
      <c r="S68" s="57"/>
      <c r="T68" s="59"/>
      <c r="U68" s="57"/>
      <c r="V68" s="57"/>
      <c r="W68" s="59"/>
      <c r="X68" s="57">
        <v>6.8402777777777776E-3</v>
      </c>
      <c r="Y68" s="57"/>
      <c r="Z68" s="59">
        <f>IF(MIN(IF(ISBLANK(X68),W68,X68),IF(ISBLANK(W68),X68,W68))=0,"",MIN(IF(ISBLANK(X68),W68,X68),IF(ISBLANK(W68),X68,W68)))</f>
        <v>6.8402777777777776E-3</v>
      </c>
      <c r="AA68" s="57"/>
      <c r="AB68" s="57"/>
      <c r="AC68" s="59">
        <f>IF(MIN(IF(ISBLANK(Z68),AA68,Z68),IF(ISBLANK(AA68),Z68,AA68))=0,"",MIN(IF(ISBLANK(Z68),AA68,Z68),IF(ISBLANK(AA68),Z68,AA68)))</f>
        <v>6.8402777777777776E-3</v>
      </c>
      <c r="AD68" s="57"/>
      <c r="AE68" s="57"/>
      <c r="AF68" s="59">
        <f>IF(MIN(IF(ISBLANK(AC68),AD68,AC68),IF(ISBLANK(AD68),AC68,AD68))=0,"",MIN(IF(ISBLANK(AC68),AD68,AC68),IF(ISBLANK(AD68),AC68,AD68)))</f>
        <v>6.8402777777777776E-3</v>
      </c>
      <c r="AG68" s="57"/>
      <c r="AH68" s="57"/>
      <c r="AI68" s="59">
        <f>IF(MIN(IF(ISBLANK(AF68),AG68,AF68),IF(ISBLANK(AG68),AF68,AG68))=0,"",MIN(IF(ISBLANK(AF68),AG68,AF68),IF(ISBLANK(AG68),AF68,AG68)))</f>
        <v>6.8402777777777776E-3</v>
      </c>
      <c r="AJ68" s="57"/>
      <c r="AK68" s="57"/>
      <c r="AL68" s="59">
        <f t="shared" si="25"/>
        <v>6.8402777777777776E-3</v>
      </c>
      <c r="AM68" s="57"/>
      <c r="AN68" s="57"/>
      <c r="AO68" s="59">
        <f t="shared" si="26"/>
        <v>6.8402777777777776E-3</v>
      </c>
      <c r="AP68" s="57"/>
      <c r="AQ68" s="59">
        <f t="shared" si="4"/>
        <v>6.8402777777777776E-3</v>
      </c>
      <c r="AR68" s="57"/>
      <c r="AS68" s="57"/>
      <c r="AT68" s="59">
        <f t="shared" si="5"/>
        <v>6.8402777777777776E-3</v>
      </c>
    </row>
    <row r="69" spans="1:46" ht="18.75" customHeight="1">
      <c r="A69" s="24" t="s">
        <v>792</v>
      </c>
      <c r="B69" s="26" t="s">
        <v>767</v>
      </c>
      <c r="C69" s="26"/>
      <c r="D69" s="50"/>
      <c r="E69" s="51"/>
      <c r="F69" s="50"/>
      <c r="G69" s="52"/>
      <c r="H69" s="50"/>
      <c r="I69" s="53"/>
      <c r="J69" s="50"/>
      <c r="K69" s="53"/>
      <c r="L69" s="50"/>
      <c r="M69" s="57"/>
      <c r="N69" s="55"/>
      <c r="O69" s="57"/>
      <c r="P69" s="57"/>
      <c r="Q69" s="59"/>
      <c r="R69" s="57"/>
      <c r="S69" s="57"/>
      <c r="T69" s="59"/>
      <c r="U69" s="57"/>
      <c r="V69" s="57"/>
      <c r="W69" s="59"/>
      <c r="X69" s="57"/>
      <c r="Y69" s="57"/>
      <c r="Z69" s="59"/>
      <c r="AA69" s="57"/>
      <c r="AB69" s="57"/>
      <c r="AC69" s="59"/>
      <c r="AD69" s="57"/>
      <c r="AE69" s="57"/>
      <c r="AF69" s="59"/>
      <c r="AG69" s="57"/>
      <c r="AH69" s="57"/>
      <c r="AI69" s="59"/>
      <c r="AJ69" s="57">
        <v>6.4351851851851861E-3</v>
      </c>
      <c r="AK69" s="57"/>
      <c r="AL69" s="59">
        <f t="shared" si="25"/>
        <v>6.4351851851851861E-3</v>
      </c>
      <c r="AM69" s="57"/>
      <c r="AN69" s="57"/>
      <c r="AO69" s="59">
        <f t="shared" si="26"/>
        <v>6.4351851851851861E-3</v>
      </c>
      <c r="AP69" s="57"/>
      <c r="AQ69" s="59">
        <f t="shared" si="4"/>
        <v>6.4351851851851861E-3</v>
      </c>
      <c r="AR69" s="57"/>
      <c r="AS69" s="57"/>
      <c r="AT69" s="59">
        <f t="shared" si="5"/>
        <v>6.4351851851851861E-3</v>
      </c>
    </row>
    <row r="70" spans="1:46" ht="18.75" hidden="1" customHeight="1">
      <c r="A70" s="24"/>
      <c r="B70" s="26" t="s">
        <v>533</v>
      </c>
      <c r="C70" s="26" t="s">
        <v>443</v>
      </c>
      <c r="D70" s="50"/>
      <c r="E70" s="51"/>
      <c r="F70" s="50"/>
      <c r="G70" s="52"/>
      <c r="H70" s="50"/>
      <c r="I70" s="53"/>
      <c r="J70" s="50"/>
      <c r="K70" s="53"/>
      <c r="L70" s="50"/>
      <c r="M70" s="57"/>
      <c r="N70" s="55" t="s">
        <v>448</v>
      </c>
      <c r="O70" s="57"/>
      <c r="P70" s="57"/>
      <c r="Q70" s="59" t="str">
        <f>IF(MIN(IF(ISBLANK(O70),N70,O70),IF(ISBLANK(N70),O70,N70))=0,"",MIN(IF(ISBLANK(O70),N70,O70),IF(ISBLANK(N70),O70,N70)))</f>
        <v/>
      </c>
      <c r="R70" s="57"/>
      <c r="S70" s="57"/>
      <c r="T70" s="59" t="str">
        <f>IF(MIN(IF(ISBLANK(R70),Q70,R70),IF(ISBLANK(Q70),R70,Q70))=0,"",MIN(IF(ISBLANK(R70),Q70,R70),IF(ISBLANK(Q70),R70,Q70)))</f>
        <v/>
      </c>
      <c r="U70" s="57"/>
      <c r="V70" s="57"/>
      <c r="W70" s="59" t="str">
        <f>IF(MIN(IF(ISBLANK(U70),T70,U70),IF(ISBLANK(T70),U70,T70))=0,"",MIN(IF(ISBLANK(U70),T70,U70),IF(ISBLANK(T70),U70,T70)))</f>
        <v/>
      </c>
      <c r="X70" s="57">
        <v>5.4629629629629637E-3</v>
      </c>
      <c r="Y70" s="57"/>
      <c r="Z70" s="59">
        <f>IF(MIN(IF(ISBLANK(X70),W70,X70),IF(ISBLANK(W70),X70,W70))=0,"",MIN(IF(ISBLANK(X70),W70,X70),IF(ISBLANK(W70),X70,W70)))</f>
        <v>5.4629629629629637E-3</v>
      </c>
      <c r="AA70" s="57"/>
      <c r="AB70" s="57"/>
      <c r="AC70" s="59">
        <f>IF(MIN(IF(ISBLANK(Z70),AA70,Z70),IF(ISBLANK(AA70),Z70,AA70))=0,"",MIN(IF(ISBLANK(Z70),AA70,Z70),IF(ISBLANK(AA70),Z70,AA70)))</f>
        <v>5.4629629629629637E-3</v>
      </c>
      <c r="AD70" s="57"/>
      <c r="AE70" s="57"/>
      <c r="AF70" s="59">
        <f t="shared" ref="AF70:AF82" si="27">IF(MIN(IF(ISBLANK(AC70),AD70,AC70),IF(ISBLANK(AD70),AC70,AD70))=0,"",MIN(IF(ISBLANK(AC70),AD70,AC70),IF(ISBLANK(AD70),AC70,AD70)))</f>
        <v>5.4629629629629637E-3</v>
      </c>
      <c r="AG70" s="57">
        <v>5.5324074074074069E-3</v>
      </c>
      <c r="AH70" s="57"/>
      <c r="AI70" s="59">
        <f t="shared" ref="AI70:AI82" si="28">IF(MIN(IF(ISBLANK(AF70),AG70,AF70),IF(ISBLANK(AG70),AF70,AG70))=0,"",MIN(IF(ISBLANK(AF70),AG70,AF70),IF(ISBLANK(AG70),AF70,AG70)))</f>
        <v>5.4629629629629637E-3</v>
      </c>
      <c r="AJ70" s="57"/>
      <c r="AK70" s="57"/>
      <c r="AL70" s="59">
        <f t="shared" si="25"/>
        <v>5.4629629629629637E-3</v>
      </c>
      <c r="AM70" s="57"/>
      <c r="AN70" s="57"/>
      <c r="AO70" s="59">
        <f t="shared" si="26"/>
        <v>5.4629629629629637E-3</v>
      </c>
      <c r="AP70" s="57"/>
      <c r="AQ70" s="59">
        <f t="shared" si="4"/>
        <v>5.4629629629629637E-3</v>
      </c>
      <c r="AR70" s="57"/>
      <c r="AS70" s="57"/>
      <c r="AT70" s="59">
        <f t="shared" si="5"/>
        <v>5.4629629629629637E-3</v>
      </c>
    </row>
    <row r="71" spans="1:46" ht="18.75" customHeight="1">
      <c r="A71" s="24" t="s">
        <v>792</v>
      </c>
      <c r="B71" s="26" t="s">
        <v>269</v>
      </c>
      <c r="C71" s="26"/>
      <c r="D71" s="50"/>
      <c r="E71" s="57">
        <v>6.3541666666666668E-3</v>
      </c>
      <c r="F71" s="55">
        <v>6.3541666666666668E-3</v>
      </c>
      <c r="G71" s="57">
        <v>5.8680555555555543E-3</v>
      </c>
      <c r="H71" s="55">
        <v>5.8680555555555543E-3</v>
      </c>
      <c r="I71" s="57">
        <v>5.7407407407407416E-3</v>
      </c>
      <c r="J71" s="55">
        <v>5.7407407407407416E-3</v>
      </c>
      <c r="K71" s="53"/>
      <c r="L71" s="55">
        <v>5.7407407407407416E-3</v>
      </c>
      <c r="M71" s="57"/>
      <c r="N71" s="55">
        <v>5.7407407407407416E-3</v>
      </c>
      <c r="O71" s="57">
        <v>6.0879629629629643E-3</v>
      </c>
      <c r="P71" s="57"/>
      <c r="Q71" s="59">
        <f>IF(MIN(IF(ISBLANK(O71),N71,O71),IF(ISBLANK(N71),O71,N71))=0,"",MIN(IF(ISBLANK(O71),N71,O71),IF(ISBLANK(N71),O71,N71)))</f>
        <v>5.7407407407407416E-3</v>
      </c>
      <c r="R71" s="57">
        <v>5.8564814814814825E-3</v>
      </c>
      <c r="S71" s="57"/>
      <c r="T71" s="59">
        <f>IF(MIN(IF(ISBLANK(R71),Q71,R71),IF(ISBLANK(Q71),R71,Q71))=0,"",MIN(IF(ISBLANK(R71),Q71,R71),IF(ISBLANK(Q71),R71,Q71)))</f>
        <v>5.7407407407407416E-3</v>
      </c>
      <c r="U71" s="57"/>
      <c r="V71" s="57"/>
      <c r="W71" s="59">
        <f>IF(MIN(IF(ISBLANK(U71),T71,U71),IF(ISBLANK(T71),U71,T71))=0,"",MIN(IF(ISBLANK(U71),T71,U71),IF(ISBLANK(T71),U71,T71)))</f>
        <v>5.7407407407407416E-3</v>
      </c>
      <c r="X71" s="57"/>
      <c r="Y71" s="57"/>
      <c r="Z71" s="59">
        <f>IF(MIN(IF(ISBLANK(X71),W71,X71),IF(ISBLANK(W71),X71,W71))=0,"",MIN(IF(ISBLANK(X71),W71,X71),IF(ISBLANK(W71),X71,W71)))</f>
        <v>5.7407407407407416E-3</v>
      </c>
      <c r="AA71" s="57"/>
      <c r="AB71" s="57"/>
      <c r="AC71" s="59">
        <f>IF(MIN(IF(ISBLANK(Z71),AA71,Z71),IF(ISBLANK(AA71),Z71,AA71))=0,"",MIN(IF(ISBLANK(Z71),AA71,Z71),IF(ISBLANK(AA71),Z71,AA71)))</f>
        <v>5.7407407407407416E-3</v>
      </c>
      <c r="AD71" s="57"/>
      <c r="AE71" s="57"/>
      <c r="AF71" s="59">
        <f t="shared" si="27"/>
        <v>5.7407407407407416E-3</v>
      </c>
      <c r="AG71" s="57"/>
      <c r="AH71" s="57"/>
      <c r="AI71" s="59">
        <f t="shared" si="28"/>
        <v>5.7407407407407416E-3</v>
      </c>
      <c r="AJ71" s="57"/>
      <c r="AK71" s="57"/>
      <c r="AL71" s="59">
        <f t="shared" si="25"/>
        <v>5.7407407407407416E-3</v>
      </c>
      <c r="AM71" s="57">
        <v>5.5324074074074069E-3</v>
      </c>
      <c r="AN71" s="57"/>
      <c r="AO71" s="59">
        <f t="shared" si="26"/>
        <v>5.5324074074074069E-3</v>
      </c>
      <c r="AP71" s="57"/>
      <c r="AQ71" s="59">
        <f t="shared" si="4"/>
        <v>5.5324074074074069E-3</v>
      </c>
      <c r="AR71" s="57"/>
      <c r="AS71" s="57"/>
      <c r="AT71" s="59">
        <f t="shared" si="5"/>
        <v>5.5324074074074069E-3</v>
      </c>
    </row>
    <row r="72" spans="1:46" ht="18.75" customHeight="1">
      <c r="A72" s="24" t="s">
        <v>792</v>
      </c>
      <c r="B72" s="26" t="s">
        <v>723</v>
      </c>
      <c r="C72" s="26"/>
      <c r="D72" s="50"/>
      <c r="E72" s="51"/>
      <c r="F72" s="50"/>
      <c r="G72" s="52"/>
      <c r="H72" s="50"/>
      <c r="I72" s="53"/>
      <c r="J72" s="50"/>
      <c r="K72" s="53"/>
      <c r="L72" s="50"/>
      <c r="M72" s="57"/>
      <c r="N72" s="55"/>
      <c r="O72" s="57"/>
      <c r="P72" s="57"/>
      <c r="Q72" s="59"/>
      <c r="R72" s="57"/>
      <c r="S72" s="57"/>
      <c r="T72" s="59"/>
      <c r="U72" s="57"/>
      <c r="V72" s="57"/>
      <c r="W72" s="59"/>
      <c r="X72" s="57"/>
      <c r="Y72" s="57"/>
      <c r="Z72" s="59"/>
      <c r="AA72" s="57"/>
      <c r="AB72" s="57"/>
      <c r="AC72" s="59"/>
      <c r="AD72" s="57">
        <v>5.5787037037037038E-3</v>
      </c>
      <c r="AE72" s="57"/>
      <c r="AF72" s="59">
        <f t="shared" si="27"/>
        <v>5.5787037037037038E-3</v>
      </c>
      <c r="AG72" s="57">
        <v>5.0115740740740737E-3</v>
      </c>
      <c r="AH72" s="57"/>
      <c r="AI72" s="59">
        <f t="shared" si="28"/>
        <v>5.0115740740740737E-3</v>
      </c>
      <c r="AJ72" s="57">
        <v>5.3935185185185188E-3</v>
      </c>
      <c r="AK72" s="57"/>
      <c r="AL72" s="59">
        <f t="shared" si="25"/>
        <v>5.0115740740740737E-3</v>
      </c>
      <c r="AM72" s="57">
        <v>4.9189814814814816E-3</v>
      </c>
      <c r="AN72" s="57"/>
      <c r="AO72" s="59">
        <f t="shared" si="26"/>
        <v>4.9189814814814816E-3</v>
      </c>
      <c r="AP72" s="57">
        <v>4.8263888888888887E-3</v>
      </c>
      <c r="AQ72" s="59">
        <f t="shared" si="4"/>
        <v>4.8263888888888887E-3</v>
      </c>
      <c r="AR72" s="57">
        <v>4.7569444444444447E-3</v>
      </c>
      <c r="AS72" s="57"/>
      <c r="AT72" s="59">
        <f t="shared" si="5"/>
        <v>4.7569444444444447E-3</v>
      </c>
    </row>
    <row r="73" spans="1:46" ht="18.75" hidden="1" customHeight="1">
      <c r="A73" s="24"/>
      <c r="B73" s="26" t="s">
        <v>467</v>
      </c>
      <c r="C73" s="26" t="s">
        <v>444</v>
      </c>
      <c r="D73" s="50"/>
      <c r="E73" s="51"/>
      <c r="F73" s="50"/>
      <c r="G73" s="52"/>
      <c r="H73" s="50"/>
      <c r="I73" s="53"/>
      <c r="J73" s="50"/>
      <c r="K73" s="53"/>
      <c r="L73" s="50"/>
      <c r="M73" s="57"/>
      <c r="N73" s="55" t="s">
        <v>448</v>
      </c>
      <c r="O73" s="57"/>
      <c r="P73" s="57"/>
      <c r="Q73" s="59" t="str">
        <f>IF(MIN(IF(ISBLANK(O73),N73,O73),IF(ISBLANK(N73),O73,N73))=0,"",MIN(IF(ISBLANK(O73),N73,O73),IF(ISBLANK(N73),O73,N73)))</f>
        <v/>
      </c>
      <c r="R73" s="57"/>
      <c r="S73" s="57"/>
      <c r="T73" s="59" t="str">
        <f>IF(MIN(IF(ISBLANK(R73),Q73,R73),IF(ISBLANK(Q73),R73,Q73))=0,"",MIN(IF(ISBLANK(R73),Q73,R73),IF(ISBLANK(Q73),R73,Q73)))</f>
        <v/>
      </c>
      <c r="U73" s="57"/>
      <c r="V73" s="57"/>
      <c r="W73" s="59" t="str">
        <f>IF(MIN(IF(ISBLANK(U73),T73,U73),IF(ISBLANK(T73),U73,T73))=0,"",MIN(IF(ISBLANK(U73),T73,U73),IF(ISBLANK(T73),U73,T73)))</f>
        <v/>
      </c>
      <c r="X73" s="57"/>
      <c r="Y73" s="57"/>
      <c r="Z73" s="59" t="str">
        <f>IF(MIN(IF(ISBLANK(X73),W73,X73),IF(ISBLANK(W73),X73,W73))=0,"",MIN(IF(ISBLANK(X73),W73,X73),IF(ISBLANK(W73),X73,W73)))</f>
        <v/>
      </c>
      <c r="AA73" s="57"/>
      <c r="AB73" s="57"/>
      <c r="AC73" s="59" t="str">
        <f>IF(MIN(IF(ISBLANK(Z73),AA73,Z73),IF(ISBLANK(AA73),Z73,AA73))=0,"",MIN(IF(ISBLANK(Z73),AA73,Z73),IF(ISBLANK(AA73),Z73,AA73)))</f>
        <v/>
      </c>
      <c r="AD73" s="57"/>
      <c r="AE73" s="57"/>
      <c r="AF73" s="59" t="str">
        <f t="shared" si="27"/>
        <v/>
      </c>
      <c r="AG73" s="57"/>
      <c r="AH73" s="57"/>
      <c r="AI73" s="59" t="str">
        <f t="shared" si="28"/>
        <v/>
      </c>
      <c r="AJ73" s="57"/>
      <c r="AK73" s="57"/>
      <c r="AL73" s="59" t="str">
        <f t="shared" si="25"/>
        <v/>
      </c>
      <c r="AM73" s="57"/>
      <c r="AN73" s="57"/>
      <c r="AO73" s="59" t="str">
        <f t="shared" si="26"/>
        <v/>
      </c>
      <c r="AP73" s="57"/>
      <c r="AQ73" s="59" t="str">
        <f t="shared" si="4"/>
        <v/>
      </c>
      <c r="AR73" s="57"/>
      <c r="AS73" s="57"/>
      <c r="AT73" s="59" t="str">
        <f t="shared" si="5"/>
        <v/>
      </c>
    </row>
    <row r="74" spans="1:46" ht="18.75" hidden="1" customHeight="1">
      <c r="A74" s="24"/>
      <c r="B74" s="26" t="s">
        <v>132</v>
      </c>
      <c r="C74" s="26" t="s">
        <v>444</v>
      </c>
      <c r="D74" s="55">
        <v>6.3310185185185197E-3</v>
      </c>
      <c r="E74" s="51"/>
      <c r="F74" s="55">
        <v>6.3310185185185197E-3</v>
      </c>
      <c r="G74" s="52"/>
      <c r="H74" s="55">
        <v>6.3310185185185197E-3</v>
      </c>
      <c r="I74" s="53"/>
      <c r="J74" s="55">
        <v>6.3310185185185197E-3</v>
      </c>
      <c r="K74" s="53"/>
      <c r="L74" s="55">
        <v>6.3310185185185197E-3</v>
      </c>
      <c r="M74" s="57"/>
      <c r="N74" s="55">
        <v>6.3310185185185197E-3</v>
      </c>
      <c r="O74" s="57"/>
      <c r="P74" s="57"/>
      <c r="Q74" s="59">
        <f>IF(MIN(IF(ISBLANK(O74),N74,O74),IF(ISBLANK(N74),O74,N74))=0,"",MIN(IF(ISBLANK(O74),N74,O74),IF(ISBLANK(N74),O74,N74)))</f>
        <v>6.3310185185185197E-3</v>
      </c>
      <c r="R74" s="57"/>
      <c r="S74" s="57"/>
      <c r="T74" s="59">
        <f>IF(MIN(IF(ISBLANK(R74),Q74,R74),IF(ISBLANK(Q74),R74,Q74))=0,"",MIN(IF(ISBLANK(R74),Q74,R74),IF(ISBLANK(Q74),R74,Q74)))</f>
        <v>6.3310185185185197E-3</v>
      </c>
      <c r="U74" s="57"/>
      <c r="V74" s="57"/>
      <c r="W74" s="59">
        <f>IF(MIN(IF(ISBLANK(U74),T74,U74),IF(ISBLANK(T74),U74,T74))=0,"",MIN(IF(ISBLANK(U74),T74,U74),IF(ISBLANK(T74),U74,T74)))</f>
        <v>6.3310185185185197E-3</v>
      </c>
      <c r="X74" s="57"/>
      <c r="Y74" s="57"/>
      <c r="Z74" s="59">
        <f>IF(MIN(IF(ISBLANK(X74),W74,X74),IF(ISBLANK(W74),X74,W74))=0,"",MIN(IF(ISBLANK(X74),W74,X74),IF(ISBLANK(W74),X74,W74)))</f>
        <v>6.3310185185185197E-3</v>
      </c>
      <c r="AA74" s="57"/>
      <c r="AB74" s="57"/>
      <c r="AC74" s="59">
        <f>IF(MIN(IF(ISBLANK(Z74),AA74,Z74),IF(ISBLANK(AA74),Z74,AA74))=0,"",MIN(IF(ISBLANK(Z74),AA74,Z74),IF(ISBLANK(AA74),Z74,AA74)))</f>
        <v>6.3310185185185197E-3</v>
      </c>
      <c r="AD74" s="57"/>
      <c r="AE74" s="57"/>
      <c r="AF74" s="59">
        <f t="shared" si="27"/>
        <v>6.3310185185185197E-3</v>
      </c>
      <c r="AG74" s="57"/>
      <c r="AH74" s="57"/>
      <c r="AI74" s="59">
        <f t="shared" si="28"/>
        <v>6.3310185185185197E-3</v>
      </c>
      <c r="AJ74" s="57"/>
      <c r="AK74" s="57"/>
      <c r="AL74" s="59">
        <f t="shared" si="25"/>
        <v>6.3310185185185197E-3</v>
      </c>
      <c r="AM74" s="57"/>
      <c r="AN74" s="57"/>
      <c r="AO74" s="59">
        <f t="shared" si="26"/>
        <v>6.3310185185185197E-3</v>
      </c>
      <c r="AP74" s="57"/>
      <c r="AQ74" s="59">
        <f t="shared" si="4"/>
        <v>6.3310185185185197E-3</v>
      </c>
      <c r="AR74" s="57"/>
      <c r="AS74" s="57"/>
      <c r="AT74" s="59">
        <f t="shared" si="5"/>
        <v>6.3310185185185197E-3</v>
      </c>
    </row>
    <row r="75" spans="1:46" ht="18.75" hidden="1" customHeight="1">
      <c r="A75" s="24"/>
      <c r="B75" s="26" t="s">
        <v>609</v>
      </c>
      <c r="C75" s="26"/>
      <c r="D75" s="50"/>
      <c r="E75" s="51"/>
      <c r="F75" s="50"/>
      <c r="G75" s="52"/>
      <c r="H75" s="50"/>
      <c r="I75" s="53"/>
      <c r="J75" s="50"/>
      <c r="K75" s="53"/>
      <c r="L75" s="50"/>
      <c r="M75" s="57"/>
      <c r="N75" s="55"/>
      <c r="O75" s="57"/>
      <c r="P75" s="57"/>
      <c r="Q75" s="59"/>
      <c r="R75" s="57"/>
      <c r="S75" s="57"/>
      <c r="T75" s="59" t="str">
        <f>IF(MIN(IF(ISBLANK(R75),Q75,R75),IF(ISBLANK(Q75),R75,Q75))=0,"",MIN(IF(ISBLANK(R75),Q75,R75),IF(ISBLANK(Q75),R75,Q75)))</f>
        <v/>
      </c>
      <c r="U75" s="57"/>
      <c r="V75" s="57"/>
      <c r="W75" s="59" t="str">
        <f>IF(MIN(IF(ISBLANK(U75),T75,U75),IF(ISBLANK(T75),U75,T75))=0,"",MIN(IF(ISBLANK(U75),T75,U75),IF(ISBLANK(T75),U75,T75)))</f>
        <v/>
      </c>
      <c r="X75" s="57"/>
      <c r="Y75" s="57"/>
      <c r="Z75" s="59" t="str">
        <f>IF(MIN(IF(ISBLANK(X75),W75,X75),IF(ISBLANK(W75),X75,W75))=0,"",MIN(IF(ISBLANK(X75),W75,X75),IF(ISBLANK(W75),X75,W75)))</f>
        <v/>
      </c>
      <c r="AA75" s="57"/>
      <c r="AB75" s="57"/>
      <c r="AC75" s="59" t="str">
        <f>IF(MIN(IF(ISBLANK(Z75),AA75,Z75),IF(ISBLANK(AA75),Z75,AA75))=0,"",MIN(IF(ISBLANK(Z75),AA75,Z75),IF(ISBLANK(AA75),Z75,AA75)))</f>
        <v/>
      </c>
      <c r="AD75" s="57"/>
      <c r="AE75" s="57"/>
      <c r="AF75" s="59" t="str">
        <f t="shared" si="27"/>
        <v/>
      </c>
      <c r="AG75" s="57"/>
      <c r="AH75" s="57"/>
      <c r="AI75" s="59" t="str">
        <f t="shared" si="28"/>
        <v/>
      </c>
      <c r="AJ75" s="57"/>
      <c r="AK75" s="57"/>
      <c r="AL75" s="59" t="str">
        <f t="shared" si="25"/>
        <v/>
      </c>
      <c r="AM75" s="57"/>
      <c r="AN75" s="57"/>
      <c r="AO75" s="59" t="str">
        <f t="shared" si="26"/>
        <v/>
      </c>
      <c r="AP75" s="57"/>
      <c r="AQ75" s="59" t="str">
        <f t="shared" ref="AQ75:AQ139" si="29">IF(MIN(IF(ISBLANK(AO75),AP75,AO75),IF(ISBLANK(AP75),AO75,AP75))=0,"",MIN(IF(ISBLANK(AO75),AP75,AO75),IF(ISBLANK(AP75),AO75,AP75)))</f>
        <v/>
      </c>
      <c r="AR75" s="57"/>
      <c r="AS75" s="57"/>
      <c r="AT75" s="59" t="str">
        <f t="shared" ref="AT75:AT138" si="30">IF(MIN(IF(ISBLANK(AQ75),AR75,AQ75),IF(ISBLANK(AR75),AQ75,AR75))=0,"",MIN(IF(ISBLANK(AQ75),AR75,AQ75),IF(ISBLANK(AR75),AQ75,AR75)))</f>
        <v/>
      </c>
    </row>
    <row r="76" spans="1:46" ht="18.75" hidden="1" customHeight="1">
      <c r="A76" s="24"/>
      <c r="B76" s="26" t="s">
        <v>326</v>
      </c>
      <c r="C76" s="26" t="s">
        <v>444</v>
      </c>
      <c r="D76" s="50"/>
      <c r="E76" s="51"/>
      <c r="F76" s="50" t="s">
        <v>448</v>
      </c>
      <c r="G76" s="52"/>
      <c r="H76" s="50"/>
      <c r="I76" s="53"/>
      <c r="J76" s="50" t="s">
        <v>448</v>
      </c>
      <c r="K76" s="53"/>
      <c r="L76" s="50"/>
      <c r="M76" s="57"/>
      <c r="N76" s="55" t="s">
        <v>448</v>
      </c>
      <c r="O76" s="57"/>
      <c r="P76" s="57"/>
      <c r="Q76" s="59" t="str">
        <f>IF(MIN(IF(ISBLANK(O76),N76,O76),IF(ISBLANK(N76),O76,N76))=0,"",MIN(IF(ISBLANK(O76),N76,O76),IF(ISBLANK(N76),O76,N76)))</f>
        <v/>
      </c>
      <c r="R76" s="57"/>
      <c r="S76" s="57"/>
      <c r="T76" s="59" t="str">
        <f>IF(MIN(IF(ISBLANK(R76),Q76,R76),IF(ISBLANK(Q76),R76,Q76))=0,"",MIN(IF(ISBLANK(R76),Q76,R76),IF(ISBLANK(Q76),R76,Q76)))</f>
        <v/>
      </c>
      <c r="U76" s="57"/>
      <c r="V76" s="57"/>
      <c r="W76" s="59" t="str">
        <f>IF(MIN(IF(ISBLANK(U76),T76,U76),IF(ISBLANK(T76),U76,T76))=0,"",MIN(IF(ISBLANK(U76),T76,U76),IF(ISBLANK(T76),U76,T76)))</f>
        <v/>
      </c>
      <c r="X76" s="57"/>
      <c r="Y76" s="57"/>
      <c r="Z76" s="59" t="str">
        <f>IF(MIN(IF(ISBLANK(X76),W76,X76),IF(ISBLANK(W76),X76,W76))=0,"",MIN(IF(ISBLANK(X76),W76,X76),IF(ISBLANK(W76),X76,W76)))</f>
        <v/>
      </c>
      <c r="AA76" s="57"/>
      <c r="AB76" s="57"/>
      <c r="AC76" s="59" t="str">
        <f>IF(MIN(IF(ISBLANK(Z76),AA76,Z76),IF(ISBLANK(AA76),Z76,AA76))=0,"",MIN(IF(ISBLANK(Z76),AA76,Z76),IF(ISBLANK(AA76),Z76,AA76)))</f>
        <v/>
      </c>
      <c r="AD76" s="57"/>
      <c r="AE76" s="57"/>
      <c r="AF76" s="59" t="str">
        <f t="shared" si="27"/>
        <v/>
      </c>
      <c r="AG76" s="57"/>
      <c r="AH76" s="57"/>
      <c r="AI76" s="59" t="str">
        <f t="shared" si="28"/>
        <v/>
      </c>
      <c r="AJ76" s="57"/>
      <c r="AK76" s="57"/>
      <c r="AL76" s="59" t="str">
        <f t="shared" si="25"/>
        <v/>
      </c>
      <c r="AM76" s="57"/>
      <c r="AN76" s="57"/>
      <c r="AO76" s="59" t="str">
        <f t="shared" si="26"/>
        <v/>
      </c>
      <c r="AP76" s="57"/>
      <c r="AQ76" s="59" t="str">
        <f t="shared" si="29"/>
        <v/>
      </c>
      <c r="AR76" s="57"/>
      <c r="AS76" s="57"/>
      <c r="AT76" s="59" t="str">
        <f t="shared" si="30"/>
        <v/>
      </c>
    </row>
    <row r="77" spans="1:46" ht="18.75" hidden="1" customHeight="1">
      <c r="A77" s="24"/>
      <c r="B77" s="26" t="s">
        <v>138</v>
      </c>
      <c r="C77" s="26" t="s">
        <v>444</v>
      </c>
      <c r="D77" s="50"/>
      <c r="E77" s="51"/>
      <c r="F77" s="50" t="s">
        <v>448</v>
      </c>
      <c r="G77" s="52"/>
      <c r="H77" s="50"/>
      <c r="I77" s="53"/>
      <c r="J77" s="50" t="s">
        <v>448</v>
      </c>
      <c r="K77" s="53"/>
      <c r="L77" s="50"/>
      <c r="M77" s="57"/>
      <c r="N77" s="55" t="s">
        <v>448</v>
      </c>
      <c r="O77" s="57"/>
      <c r="P77" s="57"/>
      <c r="Q77" s="59" t="str">
        <f>IF(MIN(IF(ISBLANK(O77),N77,O77),IF(ISBLANK(N77),O77,N77))=0,"",MIN(IF(ISBLANK(O77),N77,O77),IF(ISBLANK(N77),O77,N77)))</f>
        <v/>
      </c>
      <c r="R77" s="57"/>
      <c r="S77" s="57"/>
      <c r="T77" s="59" t="str">
        <f>IF(MIN(IF(ISBLANK(R77),Q77,R77),IF(ISBLANK(Q77),R77,Q77))=0,"",MIN(IF(ISBLANK(R77),Q77,R77),IF(ISBLANK(Q77),R77,Q77)))</f>
        <v/>
      </c>
      <c r="U77" s="57"/>
      <c r="V77" s="57"/>
      <c r="W77" s="59" t="str">
        <f>IF(MIN(IF(ISBLANK(U77),T77,U77),IF(ISBLANK(T77),U77,T77))=0,"",MIN(IF(ISBLANK(U77),T77,U77),IF(ISBLANK(T77),U77,T77)))</f>
        <v/>
      </c>
      <c r="X77" s="57"/>
      <c r="Y77" s="57"/>
      <c r="Z77" s="59" t="str">
        <f>IF(MIN(IF(ISBLANK(X77),W77,X77),IF(ISBLANK(W77),X77,W77))=0,"",MIN(IF(ISBLANK(X77),W77,X77),IF(ISBLANK(W77),X77,W77)))</f>
        <v/>
      </c>
      <c r="AA77" s="57"/>
      <c r="AB77" s="57"/>
      <c r="AC77" s="59" t="str">
        <f>IF(MIN(IF(ISBLANK(Z77),AA77,Z77),IF(ISBLANK(AA77),Z77,AA77))=0,"",MIN(IF(ISBLANK(Z77),AA77,Z77),IF(ISBLANK(AA77),Z77,AA77)))</f>
        <v/>
      </c>
      <c r="AD77" s="57"/>
      <c r="AE77" s="57"/>
      <c r="AF77" s="59" t="str">
        <f t="shared" si="27"/>
        <v/>
      </c>
      <c r="AG77" s="57"/>
      <c r="AH77" s="57"/>
      <c r="AI77" s="59" t="str">
        <f t="shared" si="28"/>
        <v/>
      </c>
      <c r="AJ77" s="57"/>
      <c r="AK77" s="57"/>
      <c r="AL77" s="59" t="str">
        <f t="shared" si="25"/>
        <v/>
      </c>
      <c r="AM77" s="57"/>
      <c r="AN77" s="57"/>
      <c r="AO77" s="59" t="str">
        <f t="shared" si="26"/>
        <v/>
      </c>
      <c r="AP77" s="57"/>
      <c r="AQ77" s="59" t="str">
        <f t="shared" si="29"/>
        <v/>
      </c>
      <c r="AR77" s="57"/>
      <c r="AS77" s="57"/>
      <c r="AT77" s="59" t="str">
        <f t="shared" si="30"/>
        <v/>
      </c>
    </row>
    <row r="78" spans="1:46" ht="18.75" hidden="1" customHeight="1">
      <c r="A78" s="24"/>
      <c r="B78" s="26" t="s">
        <v>729</v>
      </c>
      <c r="C78" s="26"/>
      <c r="D78" s="50"/>
      <c r="E78" s="51"/>
      <c r="F78" s="50"/>
      <c r="G78" s="52"/>
      <c r="H78" s="50"/>
      <c r="I78" s="53"/>
      <c r="J78" s="50"/>
      <c r="K78" s="53"/>
      <c r="L78" s="50"/>
      <c r="M78" s="57"/>
      <c r="N78" s="55"/>
      <c r="O78" s="57"/>
      <c r="P78" s="57"/>
      <c r="Q78" s="59"/>
      <c r="R78" s="57"/>
      <c r="S78" s="57"/>
      <c r="T78" s="59"/>
      <c r="U78" s="57"/>
      <c r="V78" s="57"/>
      <c r="W78" s="59"/>
      <c r="X78" s="57"/>
      <c r="Y78" s="57"/>
      <c r="Z78" s="59"/>
      <c r="AA78" s="57"/>
      <c r="AB78" s="57"/>
      <c r="AC78" s="59"/>
      <c r="AD78" s="57"/>
      <c r="AE78" s="57"/>
      <c r="AF78" s="59" t="str">
        <f t="shared" si="27"/>
        <v/>
      </c>
      <c r="AG78" s="57"/>
      <c r="AH78" s="57"/>
      <c r="AI78" s="59" t="str">
        <f t="shared" si="28"/>
        <v/>
      </c>
      <c r="AJ78" s="57"/>
      <c r="AK78" s="57"/>
      <c r="AL78" s="59" t="str">
        <f t="shared" si="25"/>
        <v/>
      </c>
      <c r="AM78" s="57"/>
      <c r="AN78" s="57"/>
      <c r="AO78" s="59" t="str">
        <f t="shared" si="26"/>
        <v/>
      </c>
      <c r="AP78" s="57"/>
      <c r="AQ78" s="59" t="str">
        <f t="shared" si="29"/>
        <v/>
      </c>
      <c r="AR78" s="57"/>
      <c r="AS78" s="57"/>
      <c r="AT78" s="59" t="str">
        <f t="shared" si="30"/>
        <v/>
      </c>
    </row>
    <row r="79" spans="1:46" ht="18.75" hidden="1" customHeight="1">
      <c r="A79" s="24"/>
      <c r="B79" s="26" t="s">
        <v>375</v>
      </c>
      <c r="C79" s="26" t="s">
        <v>443</v>
      </c>
      <c r="D79" s="50"/>
      <c r="E79" s="51"/>
      <c r="F79" s="50"/>
      <c r="G79" s="52"/>
      <c r="H79" s="50"/>
      <c r="I79" s="53"/>
      <c r="J79" s="50" t="s">
        <v>448</v>
      </c>
      <c r="K79" s="53"/>
      <c r="L79" s="50"/>
      <c r="M79" s="57"/>
      <c r="N79" s="55" t="s">
        <v>448</v>
      </c>
      <c r="O79" s="57"/>
      <c r="P79" s="57"/>
      <c r="Q79" s="59" t="str">
        <f>IF(MIN(IF(ISBLANK(O79),N79,O79),IF(ISBLANK(N79),O79,N79))=0,"",MIN(IF(ISBLANK(O79),N79,O79),IF(ISBLANK(N79),O79,N79)))</f>
        <v/>
      </c>
      <c r="R79" s="57"/>
      <c r="S79" s="57"/>
      <c r="T79" s="59" t="str">
        <f>IF(MIN(IF(ISBLANK(R79),Q79,R79),IF(ISBLANK(Q79),R79,Q79))=0,"",MIN(IF(ISBLANK(R79),Q79,R79),IF(ISBLANK(Q79),R79,Q79)))</f>
        <v/>
      </c>
      <c r="U79" s="57"/>
      <c r="V79" s="57"/>
      <c r="W79" s="59" t="str">
        <f>IF(MIN(IF(ISBLANK(U79),T79,U79),IF(ISBLANK(T79),U79,T79))=0,"",MIN(IF(ISBLANK(U79),T79,U79),IF(ISBLANK(T79),U79,T79)))</f>
        <v/>
      </c>
      <c r="X79" s="57"/>
      <c r="Y79" s="57"/>
      <c r="Z79" s="59" t="str">
        <f>IF(MIN(IF(ISBLANK(X79),W79,X79),IF(ISBLANK(W79),X79,W79))=0,"",MIN(IF(ISBLANK(X79),W79,X79),IF(ISBLANK(W79),X79,W79)))</f>
        <v/>
      </c>
      <c r="AA79" s="57"/>
      <c r="AB79" s="57"/>
      <c r="AC79" s="59" t="str">
        <f>IF(MIN(IF(ISBLANK(Z79),AA79,Z79),IF(ISBLANK(AA79),Z79,AA79))=0,"",MIN(IF(ISBLANK(Z79),AA79,Z79),IF(ISBLANK(AA79),Z79,AA79)))</f>
        <v/>
      </c>
      <c r="AD79" s="57"/>
      <c r="AE79" s="57"/>
      <c r="AF79" s="59" t="str">
        <f t="shared" si="27"/>
        <v/>
      </c>
      <c r="AG79" s="57"/>
      <c r="AH79" s="57"/>
      <c r="AI79" s="59" t="str">
        <f t="shared" si="28"/>
        <v/>
      </c>
      <c r="AJ79" s="57"/>
      <c r="AK79" s="57"/>
      <c r="AL79" s="59" t="str">
        <f t="shared" si="25"/>
        <v/>
      </c>
      <c r="AM79" s="57"/>
      <c r="AN79" s="57"/>
      <c r="AO79" s="59" t="str">
        <f t="shared" si="26"/>
        <v/>
      </c>
      <c r="AP79" s="57"/>
      <c r="AQ79" s="59" t="str">
        <f t="shared" si="29"/>
        <v/>
      </c>
      <c r="AR79" s="57"/>
      <c r="AS79" s="57"/>
      <c r="AT79" s="59" t="str">
        <f t="shared" si="30"/>
        <v/>
      </c>
    </row>
    <row r="80" spans="1:46" ht="18.75" hidden="1" customHeight="1">
      <c r="A80" s="24"/>
      <c r="B80" s="26" t="s">
        <v>145</v>
      </c>
      <c r="C80" s="26" t="s">
        <v>443</v>
      </c>
      <c r="D80" s="55">
        <v>7.858796296296296E-3</v>
      </c>
      <c r="E80" s="51"/>
      <c r="F80" s="55">
        <v>7.858796296296296E-3</v>
      </c>
      <c r="G80" s="52"/>
      <c r="H80" s="55">
        <v>7.858796296296296E-3</v>
      </c>
      <c r="I80" s="53"/>
      <c r="J80" s="55">
        <v>7.858796296296296E-3</v>
      </c>
      <c r="K80" s="53"/>
      <c r="L80" s="55">
        <v>7.858796296296296E-3</v>
      </c>
      <c r="M80" s="57"/>
      <c r="N80" s="55">
        <v>7.858796296296296E-3</v>
      </c>
      <c r="O80" s="57"/>
      <c r="P80" s="57"/>
      <c r="Q80" s="59">
        <f>IF(MIN(IF(ISBLANK(O80),N80,O80),IF(ISBLANK(N80),O80,N80))=0,"",MIN(IF(ISBLANK(O80),N80,O80),IF(ISBLANK(N80),O80,N80)))</f>
        <v>7.858796296296296E-3</v>
      </c>
      <c r="R80" s="57"/>
      <c r="S80" s="57"/>
      <c r="T80" s="59">
        <f>IF(MIN(IF(ISBLANK(R80),Q80,R80),IF(ISBLANK(Q80),R80,Q80))=0,"",MIN(IF(ISBLANK(R80),Q80,R80),IF(ISBLANK(Q80),R80,Q80)))</f>
        <v>7.858796296296296E-3</v>
      </c>
      <c r="U80" s="57"/>
      <c r="V80" s="57"/>
      <c r="W80" s="59">
        <f>IF(MIN(IF(ISBLANK(U80),T80,U80),IF(ISBLANK(T80),U80,T80))=0,"",MIN(IF(ISBLANK(U80),T80,U80),IF(ISBLANK(T80),U80,T80)))</f>
        <v>7.858796296296296E-3</v>
      </c>
      <c r="X80" s="57"/>
      <c r="Y80" s="57"/>
      <c r="Z80" s="59">
        <f>IF(MIN(IF(ISBLANK(X80),W80,X80),IF(ISBLANK(W80),X80,W80))=0,"",MIN(IF(ISBLANK(X80),W80,X80),IF(ISBLANK(W80),X80,W80)))</f>
        <v>7.858796296296296E-3</v>
      </c>
      <c r="AA80" s="57"/>
      <c r="AB80" s="57"/>
      <c r="AC80" s="59">
        <f>IF(MIN(IF(ISBLANK(Z80),AA80,Z80),IF(ISBLANK(AA80),Z80,AA80))=0,"",MIN(IF(ISBLANK(Z80),AA80,Z80),IF(ISBLANK(AA80),Z80,AA80)))</f>
        <v>7.858796296296296E-3</v>
      </c>
      <c r="AD80" s="57"/>
      <c r="AE80" s="57"/>
      <c r="AF80" s="59">
        <f t="shared" si="27"/>
        <v>7.858796296296296E-3</v>
      </c>
      <c r="AG80" s="57"/>
      <c r="AH80" s="57"/>
      <c r="AI80" s="59">
        <f t="shared" si="28"/>
        <v>7.858796296296296E-3</v>
      </c>
      <c r="AJ80" s="57"/>
      <c r="AK80" s="57"/>
      <c r="AL80" s="59">
        <f t="shared" si="25"/>
        <v>7.858796296296296E-3</v>
      </c>
      <c r="AM80" s="57"/>
      <c r="AN80" s="57"/>
      <c r="AO80" s="59">
        <f t="shared" si="26"/>
        <v>7.858796296296296E-3</v>
      </c>
      <c r="AP80" s="57"/>
      <c r="AQ80" s="59">
        <f t="shared" si="29"/>
        <v>7.858796296296296E-3</v>
      </c>
      <c r="AR80" s="57"/>
      <c r="AS80" s="57"/>
      <c r="AT80" s="59">
        <f t="shared" si="30"/>
        <v>7.858796296296296E-3</v>
      </c>
    </row>
    <row r="81" spans="1:46" ht="18.75" hidden="1" customHeight="1">
      <c r="A81" s="24"/>
      <c r="B81" s="26" t="s">
        <v>289</v>
      </c>
      <c r="C81" s="26" t="s">
        <v>444</v>
      </c>
      <c r="D81" s="50"/>
      <c r="E81" s="51"/>
      <c r="F81" s="50" t="s">
        <v>448</v>
      </c>
      <c r="G81" s="52"/>
      <c r="H81" s="50"/>
      <c r="I81" s="53"/>
      <c r="J81" s="50" t="s">
        <v>448</v>
      </c>
      <c r="K81" s="53"/>
      <c r="L81" s="50"/>
      <c r="M81" s="57"/>
      <c r="N81" s="55" t="s">
        <v>448</v>
      </c>
      <c r="O81" s="57"/>
      <c r="P81" s="57"/>
      <c r="Q81" s="59" t="str">
        <f>IF(MIN(IF(ISBLANK(O81),N81,O81),IF(ISBLANK(N81),O81,N81))=0,"",MIN(IF(ISBLANK(O81),N81,O81),IF(ISBLANK(N81),O81,N81)))</f>
        <v/>
      </c>
      <c r="R81" s="57"/>
      <c r="S81" s="57"/>
      <c r="T81" s="59" t="str">
        <f>IF(MIN(IF(ISBLANK(R81),Q81,R81),IF(ISBLANK(Q81),R81,Q81))=0,"",MIN(IF(ISBLANK(R81),Q81,R81),IF(ISBLANK(Q81),R81,Q81)))</f>
        <v/>
      </c>
      <c r="U81" s="57"/>
      <c r="V81" s="57"/>
      <c r="W81" s="59" t="str">
        <f>IF(MIN(IF(ISBLANK(U81),T81,U81),IF(ISBLANK(T81),U81,T81))=0,"",MIN(IF(ISBLANK(U81),T81,U81),IF(ISBLANK(T81),U81,T81)))</f>
        <v/>
      </c>
      <c r="X81" s="57"/>
      <c r="Y81" s="57"/>
      <c r="Z81" s="59" t="str">
        <f>IF(MIN(IF(ISBLANK(X81),W81,X81),IF(ISBLANK(W81),X81,W81))=0,"",MIN(IF(ISBLANK(X81),W81,X81),IF(ISBLANK(W81),X81,W81)))</f>
        <v/>
      </c>
      <c r="AA81" s="57"/>
      <c r="AB81" s="57"/>
      <c r="AC81" s="59" t="str">
        <f>IF(MIN(IF(ISBLANK(Z81),AA81,Z81),IF(ISBLANK(AA81),Z81,AA81))=0,"",MIN(IF(ISBLANK(Z81),AA81,Z81),IF(ISBLANK(AA81),Z81,AA81)))</f>
        <v/>
      </c>
      <c r="AD81" s="57"/>
      <c r="AE81" s="57"/>
      <c r="AF81" s="59" t="str">
        <f t="shared" si="27"/>
        <v/>
      </c>
      <c r="AG81" s="57"/>
      <c r="AH81" s="57"/>
      <c r="AI81" s="59" t="str">
        <f t="shared" si="28"/>
        <v/>
      </c>
      <c r="AJ81" s="57"/>
      <c r="AK81" s="57"/>
      <c r="AL81" s="59" t="str">
        <f t="shared" si="25"/>
        <v/>
      </c>
      <c r="AM81" s="57"/>
      <c r="AN81" s="57"/>
      <c r="AO81" s="59" t="str">
        <f t="shared" si="26"/>
        <v/>
      </c>
      <c r="AP81" s="57"/>
      <c r="AQ81" s="59" t="str">
        <f t="shared" si="29"/>
        <v/>
      </c>
      <c r="AR81" s="57"/>
      <c r="AS81" s="57"/>
      <c r="AT81" s="59" t="str">
        <f t="shared" si="30"/>
        <v/>
      </c>
    </row>
    <row r="82" spans="1:46" ht="18.75" customHeight="1">
      <c r="A82" s="24" t="s">
        <v>792</v>
      </c>
      <c r="B82" s="26" t="s">
        <v>156</v>
      </c>
      <c r="C82" s="26"/>
      <c r="D82" s="55">
        <v>7.2337962962962963E-3</v>
      </c>
      <c r="E82" s="51"/>
      <c r="F82" s="55">
        <v>7.2337962962962963E-3</v>
      </c>
      <c r="G82" s="52"/>
      <c r="H82" s="55">
        <v>7.2337962962962963E-3</v>
      </c>
      <c r="I82" s="53"/>
      <c r="J82" s="55">
        <v>7.2337962962962963E-3</v>
      </c>
      <c r="K82" s="57">
        <v>6.8402777777777776E-3</v>
      </c>
      <c r="L82" s="55">
        <v>6.8402777777777776E-3</v>
      </c>
      <c r="M82" s="57"/>
      <c r="N82" s="55">
        <v>6.8402777777777776E-3</v>
      </c>
      <c r="O82" s="57">
        <v>7.2106481481481475E-3</v>
      </c>
      <c r="P82" s="57"/>
      <c r="Q82" s="59">
        <f>IF(MIN(IF(ISBLANK(O82),N82,O82),IF(ISBLANK(N82),O82,N82))=0,"",MIN(IF(ISBLANK(O82),N82,O82),IF(ISBLANK(N82),O82,N82)))</f>
        <v>6.8402777777777776E-3</v>
      </c>
      <c r="R82" s="57"/>
      <c r="S82" s="57"/>
      <c r="T82" s="59">
        <f>IF(MIN(IF(ISBLANK(R82),Q82,R82),IF(ISBLANK(Q82),R82,Q82))=0,"",MIN(IF(ISBLANK(R82),Q82,R82),IF(ISBLANK(Q82),R82,Q82)))</f>
        <v>6.8402777777777776E-3</v>
      </c>
      <c r="U82" s="57"/>
      <c r="V82" s="57"/>
      <c r="W82" s="59">
        <f>IF(MIN(IF(ISBLANK(U82),T82,U82),IF(ISBLANK(T82),U82,T82))=0,"",MIN(IF(ISBLANK(U82),T82,U82),IF(ISBLANK(T82),U82,T82)))</f>
        <v>6.8402777777777776E-3</v>
      </c>
      <c r="X82" s="57"/>
      <c r="Y82" s="57"/>
      <c r="Z82" s="59">
        <f>IF(MIN(IF(ISBLANK(X82),W82,X82),IF(ISBLANK(W82),X82,W82))=0,"",MIN(IF(ISBLANK(X82),W82,X82),IF(ISBLANK(W82),X82,W82)))</f>
        <v>6.8402777777777776E-3</v>
      </c>
      <c r="AA82" s="57"/>
      <c r="AB82" s="57"/>
      <c r="AC82" s="59">
        <f>IF(MIN(IF(ISBLANK(Z82),AA82,Z82),IF(ISBLANK(AA82),Z82,AA82))=0,"",MIN(IF(ISBLANK(Z82),AA82,Z82),IF(ISBLANK(AA82),Z82,AA82)))</f>
        <v>6.8402777777777776E-3</v>
      </c>
      <c r="AD82" s="57"/>
      <c r="AE82" s="57"/>
      <c r="AF82" s="59">
        <f t="shared" si="27"/>
        <v>6.8402777777777776E-3</v>
      </c>
      <c r="AG82" s="57">
        <v>7.3148148148148148E-3</v>
      </c>
      <c r="AH82" s="57"/>
      <c r="AI82" s="59">
        <f t="shared" si="28"/>
        <v>6.8402777777777776E-3</v>
      </c>
      <c r="AJ82" s="57"/>
      <c r="AK82" s="57"/>
      <c r="AL82" s="59">
        <f t="shared" si="25"/>
        <v>6.8402777777777776E-3</v>
      </c>
      <c r="AM82" s="57"/>
      <c r="AN82" s="57"/>
      <c r="AO82" s="59">
        <f t="shared" si="26"/>
        <v>6.8402777777777776E-3</v>
      </c>
      <c r="AP82" s="57">
        <v>7.0717592592592594E-3</v>
      </c>
      <c r="AQ82" s="59">
        <f t="shared" si="29"/>
        <v>6.8402777777777776E-3</v>
      </c>
      <c r="AR82" s="57"/>
      <c r="AS82" s="57"/>
      <c r="AT82" s="59">
        <f t="shared" si="30"/>
        <v>6.8402777777777776E-3</v>
      </c>
    </row>
    <row r="83" spans="1:46" ht="18.75" customHeight="1">
      <c r="A83" s="24" t="s">
        <v>792</v>
      </c>
      <c r="B83" s="26" t="s">
        <v>818</v>
      </c>
      <c r="C83" s="26"/>
      <c r="D83" s="55"/>
      <c r="E83" s="51"/>
      <c r="F83" s="55"/>
      <c r="G83" s="52"/>
      <c r="H83" s="55"/>
      <c r="I83" s="53"/>
      <c r="J83" s="55"/>
      <c r="K83" s="53"/>
      <c r="L83" s="55"/>
      <c r="M83" s="57"/>
      <c r="N83" s="55"/>
      <c r="O83" s="57"/>
      <c r="P83" s="57"/>
      <c r="Q83" s="59"/>
      <c r="R83" s="57"/>
      <c r="S83" s="57"/>
      <c r="T83" s="59"/>
      <c r="U83" s="57"/>
      <c r="V83" s="57"/>
      <c r="W83" s="59"/>
      <c r="X83" s="57"/>
      <c r="Y83" s="57"/>
      <c r="Z83" s="59"/>
      <c r="AA83" s="57"/>
      <c r="AB83" s="57"/>
      <c r="AC83" s="59"/>
      <c r="AD83" s="57"/>
      <c r="AE83" s="57"/>
      <c r="AF83" s="59"/>
      <c r="AG83" s="57"/>
      <c r="AH83" s="57"/>
      <c r="AI83" s="59"/>
      <c r="AJ83" s="57"/>
      <c r="AK83" s="57"/>
      <c r="AL83" s="59"/>
      <c r="AM83" s="57">
        <v>5.3819444444444453E-3</v>
      </c>
      <c r="AN83" s="57"/>
      <c r="AO83" s="59">
        <f t="shared" si="26"/>
        <v>5.3819444444444453E-3</v>
      </c>
      <c r="AP83" s="57"/>
      <c r="AQ83" s="59">
        <f t="shared" si="29"/>
        <v>5.3819444444444453E-3</v>
      </c>
      <c r="AR83" s="57"/>
      <c r="AS83" s="57"/>
      <c r="AT83" s="59">
        <f t="shared" si="30"/>
        <v>5.3819444444444453E-3</v>
      </c>
    </row>
    <row r="84" spans="1:46" ht="18.75" hidden="1" customHeight="1">
      <c r="A84" s="24"/>
      <c r="B84" s="26" t="s">
        <v>621</v>
      </c>
      <c r="C84" s="26"/>
      <c r="D84" s="50"/>
      <c r="E84" s="51"/>
      <c r="F84" s="50"/>
      <c r="G84" s="52"/>
      <c r="H84" s="50"/>
      <c r="I84" s="53"/>
      <c r="J84" s="50"/>
      <c r="K84" s="53"/>
      <c r="L84" s="50"/>
      <c r="M84" s="57"/>
      <c r="N84" s="55"/>
      <c r="O84" s="57"/>
      <c r="P84" s="57"/>
      <c r="Q84" s="59"/>
      <c r="R84" s="57"/>
      <c r="S84" s="57"/>
      <c r="T84" s="59"/>
      <c r="U84" s="57"/>
      <c r="V84" s="57"/>
      <c r="W84" s="59"/>
      <c r="X84" s="57"/>
      <c r="Y84" s="57"/>
      <c r="Z84" s="59" t="str">
        <f t="shared" ref="Z84:Z91" si="31">IF(MIN(IF(ISBLANK(X84),W84,X84),IF(ISBLANK(W84),X84,W84))=0,"",MIN(IF(ISBLANK(X84),W84,X84),IF(ISBLANK(W84),X84,W84)))</f>
        <v/>
      </c>
      <c r="AA84" s="57">
        <v>6.828703703703704E-3</v>
      </c>
      <c r="AB84" s="57"/>
      <c r="AC84" s="59">
        <f t="shared" ref="AC84:AC91" si="32">IF(MIN(IF(ISBLANK(Z84),AA84,Z84),IF(ISBLANK(AA84),Z84,AA84))=0,"",MIN(IF(ISBLANK(Z84),AA84,Z84),IF(ISBLANK(AA84),Z84,AA84)))</f>
        <v>6.828703703703704E-3</v>
      </c>
      <c r="AD84" s="57">
        <v>6.5972222222222222E-3</v>
      </c>
      <c r="AE84" s="57"/>
      <c r="AF84" s="59">
        <f t="shared" ref="AF84:AF91" si="33">IF(MIN(IF(ISBLANK(AC84),AD84,AC84),IF(ISBLANK(AD84),AC84,AD84))=0,"",MIN(IF(ISBLANK(AC84),AD84,AC84),IF(ISBLANK(AD84),AC84,AD84)))</f>
        <v>6.5972222222222222E-3</v>
      </c>
      <c r="AG84" s="57">
        <v>6.5046296296296302E-3</v>
      </c>
      <c r="AH84" s="57"/>
      <c r="AI84" s="59">
        <f t="shared" ref="AI84:AI91" si="34">IF(MIN(IF(ISBLANK(AF84),AG84,AF84),IF(ISBLANK(AG84),AF84,AG84))=0,"",MIN(IF(ISBLANK(AF84),AG84,AF84),IF(ISBLANK(AG84),AF84,AG84)))</f>
        <v>6.5046296296296302E-3</v>
      </c>
      <c r="AJ84" s="57"/>
      <c r="AK84" s="57"/>
      <c r="AL84" s="59">
        <f t="shared" ref="AL84:AL91" si="35">IF(MIN(IF(ISBLANK(AI84),AJ84,AI84),IF(ISBLANK(AJ84),AI84,AJ84))=0,"",MIN(IF(ISBLANK(AI84),AJ84,AI84),IF(ISBLANK(AJ84),AI84,AJ84)))</f>
        <v>6.5046296296296302E-3</v>
      </c>
      <c r="AM84" s="57"/>
      <c r="AN84" s="57"/>
      <c r="AO84" s="59">
        <f t="shared" si="26"/>
        <v>6.5046296296296302E-3</v>
      </c>
      <c r="AP84" s="57"/>
      <c r="AQ84" s="59">
        <f t="shared" si="29"/>
        <v>6.5046296296296302E-3</v>
      </c>
      <c r="AR84" s="57"/>
      <c r="AS84" s="57"/>
      <c r="AT84" s="59">
        <f t="shared" si="30"/>
        <v>6.5046296296296302E-3</v>
      </c>
    </row>
    <row r="85" spans="1:46" ht="18.75" hidden="1" customHeight="1">
      <c r="A85" s="24"/>
      <c r="B85" s="26" t="s">
        <v>272</v>
      </c>
      <c r="C85" s="26"/>
      <c r="D85" s="50"/>
      <c r="E85" s="57">
        <v>7.3148148148148148E-3</v>
      </c>
      <c r="F85" s="55">
        <v>7.3148148148148148E-3</v>
      </c>
      <c r="G85" s="52"/>
      <c r="H85" s="55">
        <v>7.3148148148148148E-3</v>
      </c>
      <c r="I85" s="53"/>
      <c r="J85" s="55">
        <v>7.3148148148148148E-3</v>
      </c>
      <c r="K85" s="53"/>
      <c r="L85" s="55">
        <v>7.3148148148148148E-3</v>
      </c>
      <c r="M85" s="57"/>
      <c r="N85" s="55">
        <v>7.3148148148148148E-3</v>
      </c>
      <c r="O85" s="57"/>
      <c r="P85" s="57"/>
      <c r="Q85" s="59">
        <f t="shared" ref="Q85:Q90" si="36">IF(MIN(IF(ISBLANK(O85),N85,O85),IF(ISBLANK(N85),O85,N85))=0,"",MIN(IF(ISBLANK(O85),N85,O85),IF(ISBLANK(N85),O85,N85)))</f>
        <v>7.3148148148148148E-3</v>
      </c>
      <c r="R85" s="57"/>
      <c r="S85" s="57"/>
      <c r="T85" s="59">
        <f t="shared" ref="T85:T90" si="37">IF(MIN(IF(ISBLANK(R85),Q85,R85),IF(ISBLANK(Q85),R85,Q85))=0,"",MIN(IF(ISBLANK(R85),Q85,R85),IF(ISBLANK(Q85),R85,Q85)))</f>
        <v>7.3148148148148148E-3</v>
      </c>
      <c r="U85" s="57"/>
      <c r="V85" s="57"/>
      <c r="W85" s="59">
        <f t="shared" ref="W85:W90" si="38">IF(MIN(IF(ISBLANK(U85),T85,U85),IF(ISBLANK(T85),U85,T85))=0,"",MIN(IF(ISBLANK(U85),T85,U85),IF(ISBLANK(T85),U85,T85)))</f>
        <v>7.3148148148148148E-3</v>
      </c>
      <c r="X85" s="57"/>
      <c r="Y85" s="57"/>
      <c r="Z85" s="59">
        <f t="shared" si="31"/>
        <v>7.3148148148148148E-3</v>
      </c>
      <c r="AA85" s="57"/>
      <c r="AB85" s="57"/>
      <c r="AC85" s="59">
        <f t="shared" si="32"/>
        <v>7.3148148148148148E-3</v>
      </c>
      <c r="AD85" s="57"/>
      <c r="AE85" s="57"/>
      <c r="AF85" s="59">
        <f t="shared" si="33"/>
        <v>7.3148148148148148E-3</v>
      </c>
      <c r="AG85" s="57"/>
      <c r="AH85" s="57"/>
      <c r="AI85" s="59">
        <f t="shared" si="34"/>
        <v>7.3148148148148148E-3</v>
      </c>
      <c r="AJ85" s="57"/>
      <c r="AK85" s="57"/>
      <c r="AL85" s="59">
        <f t="shared" si="35"/>
        <v>7.3148148148148148E-3</v>
      </c>
      <c r="AM85" s="57"/>
      <c r="AN85" s="57"/>
      <c r="AO85" s="59">
        <f t="shared" si="26"/>
        <v>7.3148148148148148E-3</v>
      </c>
      <c r="AP85" s="57"/>
      <c r="AQ85" s="59">
        <f t="shared" si="29"/>
        <v>7.3148148148148148E-3</v>
      </c>
      <c r="AR85" s="57"/>
      <c r="AS85" s="57"/>
      <c r="AT85" s="59">
        <f t="shared" si="30"/>
        <v>7.3148148148148148E-3</v>
      </c>
    </row>
    <row r="86" spans="1:46" ht="18.75" hidden="1" customHeight="1">
      <c r="A86" s="24"/>
      <c r="B86" s="26" t="s">
        <v>163</v>
      </c>
      <c r="C86" s="26" t="s">
        <v>444</v>
      </c>
      <c r="D86" s="55">
        <v>6.9560185185185185E-3</v>
      </c>
      <c r="E86" s="51"/>
      <c r="F86" s="55">
        <v>6.9560185185185185E-3</v>
      </c>
      <c r="G86" s="52"/>
      <c r="H86" s="55">
        <v>6.9560185185185185E-3</v>
      </c>
      <c r="I86" s="53"/>
      <c r="J86" s="55">
        <v>6.9560185185185185E-3</v>
      </c>
      <c r="K86" s="53"/>
      <c r="L86" s="55">
        <v>6.9560185185185185E-3</v>
      </c>
      <c r="M86" s="57"/>
      <c r="N86" s="55">
        <v>6.9560185185185185E-3</v>
      </c>
      <c r="O86" s="57"/>
      <c r="P86" s="57"/>
      <c r="Q86" s="59">
        <f t="shared" si="36"/>
        <v>6.9560185185185185E-3</v>
      </c>
      <c r="R86" s="57"/>
      <c r="S86" s="57"/>
      <c r="T86" s="59">
        <f t="shared" si="37"/>
        <v>6.9560185185185185E-3</v>
      </c>
      <c r="U86" s="57"/>
      <c r="V86" s="57"/>
      <c r="W86" s="59">
        <f t="shared" si="38"/>
        <v>6.9560185185185185E-3</v>
      </c>
      <c r="X86" s="57"/>
      <c r="Y86" s="57"/>
      <c r="Z86" s="59">
        <f t="shared" si="31"/>
        <v>6.9560185185185185E-3</v>
      </c>
      <c r="AA86" s="57"/>
      <c r="AB86" s="57"/>
      <c r="AC86" s="59">
        <f t="shared" si="32"/>
        <v>6.9560185185185185E-3</v>
      </c>
      <c r="AD86" s="57"/>
      <c r="AE86" s="57"/>
      <c r="AF86" s="59">
        <f t="shared" si="33"/>
        <v>6.9560185185185185E-3</v>
      </c>
      <c r="AG86" s="57"/>
      <c r="AH86" s="57"/>
      <c r="AI86" s="59">
        <f t="shared" si="34"/>
        <v>6.9560185185185185E-3</v>
      </c>
      <c r="AJ86" s="57"/>
      <c r="AK86" s="57"/>
      <c r="AL86" s="59">
        <f t="shared" si="35"/>
        <v>6.9560185185185185E-3</v>
      </c>
      <c r="AM86" s="57"/>
      <c r="AN86" s="57"/>
      <c r="AO86" s="59">
        <f t="shared" si="26"/>
        <v>6.9560185185185185E-3</v>
      </c>
      <c r="AP86" s="57"/>
      <c r="AQ86" s="59">
        <f t="shared" si="29"/>
        <v>6.9560185185185185E-3</v>
      </c>
      <c r="AR86" s="57"/>
      <c r="AS86" s="57"/>
      <c r="AT86" s="59">
        <f t="shared" si="30"/>
        <v>6.9560185185185185E-3</v>
      </c>
    </row>
    <row r="87" spans="1:46" ht="18.75" hidden="1" customHeight="1">
      <c r="A87" s="24"/>
      <c r="B87" s="26" t="s">
        <v>170</v>
      </c>
      <c r="C87" s="26"/>
      <c r="D87" s="50"/>
      <c r="E87" s="51"/>
      <c r="F87" s="50" t="s">
        <v>448</v>
      </c>
      <c r="G87" s="52"/>
      <c r="H87" s="50"/>
      <c r="I87" s="53"/>
      <c r="J87" s="50" t="s">
        <v>448</v>
      </c>
      <c r="K87" s="53"/>
      <c r="L87" s="50"/>
      <c r="M87" s="57"/>
      <c r="N87" s="55" t="s">
        <v>448</v>
      </c>
      <c r="O87" s="57"/>
      <c r="P87" s="57"/>
      <c r="Q87" s="59" t="str">
        <f t="shared" si="36"/>
        <v/>
      </c>
      <c r="R87" s="57"/>
      <c r="S87" s="57"/>
      <c r="T87" s="59" t="str">
        <f t="shared" si="37"/>
        <v/>
      </c>
      <c r="U87" s="57"/>
      <c r="V87" s="57"/>
      <c r="W87" s="59" t="str">
        <f t="shared" si="38"/>
        <v/>
      </c>
      <c r="X87" s="57"/>
      <c r="Y87" s="57"/>
      <c r="Z87" s="59" t="str">
        <f t="shared" si="31"/>
        <v/>
      </c>
      <c r="AA87" s="57"/>
      <c r="AB87" s="57"/>
      <c r="AC87" s="59" t="str">
        <f t="shared" si="32"/>
        <v/>
      </c>
      <c r="AD87" s="57"/>
      <c r="AE87" s="57"/>
      <c r="AF87" s="59" t="str">
        <f t="shared" si="33"/>
        <v/>
      </c>
      <c r="AG87" s="57"/>
      <c r="AH87" s="57"/>
      <c r="AI87" s="59" t="str">
        <f t="shared" si="34"/>
        <v/>
      </c>
      <c r="AJ87" s="57"/>
      <c r="AK87" s="57"/>
      <c r="AL87" s="59" t="str">
        <f t="shared" si="35"/>
        <v/>
      </c>
      <c r="AM87" s="57"/>
      <c r="AN87" s="57"/>
      <c r="AO87" s="59" t="str">
        <f t="shared" si="26"/>
        <v/>
      </c>
      <c r="AP87" s="57"/>
      <c r="AQ87" s="59" t="str">
        <f t="shared" si="29"/>
        <v/>
      </c>
      <c r="AR87" s="57"/>
      <c r="AS87" s="57"/>
      <c r="AT87" s="59" t="str">
        <f t="shared" si="30"/>
        <v/>
      </c>
    </row>
    <row r="88" spans="1:46" ht="18.75" hidden="1" customHeight="1">
      <c r="A88" s="24"/>
      <c r="B88" s="26" t="s">
        <v>376</v>
      </c>
      <c r="C88" s="26" t="s">
        <v>444</v>
      </c>
      <c r="D88" s="50"/>
      <c r="E88" s="51"/>
      <c r="F88" s="50"/>
      <c r="G88" s="52"/>
      <c r="H88" s="50"/>
      <c r="I88" s="53"/>
      <c r="J88" s="50" t="s">
        <v>448</v>
      </c>
      <c r="K88" s="53"/>
      <c r="L88" s="50"/>
      <c r="M88" s="57"/>
      <c r="N88" s="55" t="s">
        <v>448</v>
      </c>
      <c r="O88" s="57"/>
      <c r="P88" s="57"/>
      <c r="Q88" s="59" t="str">
        <f t="shared" si="36"/>
        <v/>
      </c>
      <c r="R88" s="57"/>
      <c r="S88" s="57"/>
      <c r="T88" s="59" t="str">
        <f t="shared" si="37"/>
        <v/>
      </c>
      <c r="U88" s="57"/>
      <c r="V88" s="57"/>
      <c r="W88" s="59" t="str">
        <f t="shared" si="38"/>
        <v/>
      </c>
      <c r="X88" s="57"/>
      <c r="Y88" s="57"/>
      <c r="Z88" s="59" t="str">
        <f t="shared" si="31"/>
        <v/>
      </c>
      <c r="AA88" s="57"/>
      <c r="AB88" s="57"/>
      <c r="AC88" s="59" t="str">
        <f t="shared" si="32"/>
        <v/>
      </c>
      <c r="AD88" s="57"/>
      <c r="AE88" s="57"/>
      <c r="AF88" s="59" t="str">
        <f t="shared" si="33"/>
        <v/>
      </c>
      <c r="AG88" s="57"/>
      <c r="AH88" s="57"/>
      <c r="AI88" s="59" t="str">
        <f t="shared" si="34"/>
        <v/>
      </c>
      <c r="AJ88" s="57"/>
      <c r="AK88" s="57"/>
      <c r="AL88" s="59" t="str">
        <f t="shared" si="35"/>
        <v/>
      </c>
      <c r="AM88" s="57"/>
      <c r="AN88" s="57"/>
      <c r="AO88" s="59" t="str">
        <f t="shared" si="26"/>
        <v/>
      </c>
      <c r="AP88" s="57"/>
      <c r="AQ88" s="59" t="str">
        <f t="shared" si="29"/>
        <v/>
      </c>
      <c r="AR88" s="57"/>
      <c r="AS88" s="57"/>
      <c r="AT88" s="59" t="str">
        <f t="shared" si="30"/>
        <v/>
      </c>
    </row>
    <row r="89" spans="1:46" ht="18.75" hidden="1" customHeight="1">
      <c r="A89" s="24"/>
      <c r="B89" s="26" t="s">
        <v>177</v>
      </c>
      <c r="C89" s="26"/>
      <c r="D89" s="55">
        <v>5.0925925925925921E-3</v>
      </c>
      <c r="E89" s="57">
        <v>6.030092592592593E-3</v>
      </c>
      <c r="F89" s="55">
        <v>5.0925925925925921E-3</v>
      </c>
      <c r="G89" s="52"/>
      <c r="H89" s="55">
        <v>5.0925925925925921E-3</v>
      </c>
      <c r="I89" s="53"/>
      <c r="J89" s="55">
        <v>5.0925925925925921E-3</v>
      </c>
      <c r="K89" s="53"/>
      <c r="L89" s="55">
        <v>5.0925925925925921E-3</v>
      </c>
      <c r="M89" s="57"/>
      <c r="N89" s="55">
        <v>5.0925925925925921E-3</v>
      </c>
      <c r="O89" s="57"/>
      <c r="P89" s="57"/>
      <c r="Q89" s="59">
        <f t="shared" si="36"/>
        <v>5.0925925925925921E-3</v>
      </c>
      <c r="R89" s="57"/>
      <c r="S89" s="57"/>
      <c r="T89" s="59">
        <f t="shared" si="37"/>
        <v>5.0925925925925921E-3</v>
      </c>
      <c r="U89" s="57"/>
      <c r="V89" s="57"/>
      <c r="W89" s="59">
        <f t="shared" si="38"/>
        <v>5.0925925925925921E-3</v>
      </c>
      <c r="X89" s="57"/>
      <c r="Y89" s="57"/>
      <c r="Z89" s="59">
        <f t="shared" si="31"/>
        <v>5.0925925925925921E-3</v>
      </c>
      <c r="AA89" s="57"/>
      <c r="AB89" s="57"/>
      <c r="AC89" s="59">
        <f t="shared" si="32"/>
        <v>5.0925925925925921E-3</v>
      </c>
      <c r="AD89" s="57"/>
      <c r="AE89" s="57"/>
      <c r="AF89" s="59">
        <f t="shared" si="33"/>
        <v>5.0925925925925921E-3</v>
      </c>
      <c r="AG89" s="57"/>
      <c r="AH89" s="57"/>
      <c r="AI89" s="59">
        <f t="shared" si="34"/>
        <v>5.0925925925925921E-3</v>
      </c>
      <c r="AJ89" s="57"/>
      <c r="AK89" s="57"/>
      <c r="AL89" s="59">
        <f t="shared" si="35"/>
        <v>5.0925925925925921E-3</v>
      </c>
      <c r="AM89" s="57"/>
      <c r="AN89" s="57"/>
      <c r="AO89" s="59">
        <f t="shared" si="26"/>
        <v>5.0925925925925921E-3</v>
      </c>
      <c r="AP89" s="57"/>
      <c r="AQ89" s="59">
        <f t="shared" si="29"/>
        <v>5.0925925925925921E-3</v>
      </c>
      <c r="AR89" s="57"/>
      <c r="AS89" s="57"/>
      <c r="AT89" s="59">
        <f t="shared" si="30"/>
        <v>5.0925925925925921E-3</v>
      </c>
    </row>
    <row r="90" spans="1:46" ht="18.75" hidden="1" customHeight="1">
      <c r="A90" s="24"/>
      <c r="B90" s="26" t="s">
        <v>182</v>
      </c>
      <c r="C90" s="26"/>
      <c r="D90" s="55">
        <v>6.0995370370370361E-3</v>
      </c>
      <c r="E90" s="51"/>
      <c r="F90" s="55">
        <v>6.0995370370370361E-3</v>
      </c>
      <c r="G90" s="52"/>
      <c r="H90" s="55">
        <v>6.0995370370370361E-3</v>
      </c>
      <c r="I90" s="53"/>
      <c r="J90" s="55">
        <v>6.0995370370370361E-3</v>
      </c>
      <c r="K90" s="53"/>
      <c r="L90" s="55">
        <v>6.0995370370370361E-3</v>
      </c>
      <c r="M90" s="57"/>
      <c r="N90" s="55">
        <v>6.0995370370370361E-3</v>
      </c>
      <c r="O90" s="57"/>
      <c r="P90" s="57"/>
      <c r="Q90" s="59">
        <f t="shared" si="36"/>
        <v>6.0995370370370361E-3</v>
      </c>
      <c r="R90" s="57"/>
      <c r="S90" s="57"/>
      <c r="T90" s="59">
        <f t="shared" si="37"/>
        <v>6.0995370370370361E-3</v>
      </c>
      <c r="U90" s="57"/>
      <c r="V90" s="57"/>
      <c r="W90" s="59">
        <f t="shared" si="38"/>
        <v>6.0995370370370361E-3</v>
      </c>
      <c r="X90" s="57"/>
      <c r="Y90" s="57"/>
      <c r="Z90" s="59">
        <f t="shared" si="31"/>
        <v>6.0995370370370361E-3</v>
      </c>
      <c r="AA90" s="57"/>
      <c r="AB90" s="57"/>
      <c r="AC90" s="59">
        <f t="shared" si="32"/>
        <v>6.0995370370370361E-3</v>
      </c>
      <c r="AD90" s="57"/>
      <c r="AE90" s="57"/>
      <c r="AF90" s="59">
        <f t="shared" si="33"/>
        <v>6.0995370370370361E-3</v>
      </c>
      <c r="AG90" s="57"/>
      <c r="AH90" s="57"/>
      <c r="AI90" s="59">
        <f t="shared" si="34"/>
        <v>6.0995370370370361E-3</v>
      </c>
      <c r="AJ90" s="57"/>
      <c r="AK90" s="57"/>
      <c r="AL90" s="59">
        <f t="shared" si="35"/>
        <v>6.0995370370370361E-3</v>
      </c>
      <c r="AM90" s="57"/>
      <c r="AN90" s="57"/>
      <c r="AO90" s="59">
        <f t="shared" si="26"/>
        <v>6.0995370370370361E-3</v>
      </c>
      <c r="AP90" s="57"/>
      <c r="AQ90" s="59">
        <f t="shared" si="29"/>
        <v>6.0995370370370361E-3</v>
      </c>
      <c r="AR90" s="57"/>
      <c r="AS90" s="57"/>
      <c r="AT90" s="59">
        <f t="shared" si="30"/>
        <v>6.0995370370370361E-3</v>
      </c>
    </row>
    <row r="91" spans="1:46" ht="18.75" hidden="1" customHeight="1">
      <c r="A91" s="24"/>
      <c r="B91" s="26" t="s">
        <v>622</v>
      </c>
      <c r="C91" s="26"/>
      <c r="D91" s="50"/>
      <c r="E91" s="51"/>
      <c r="F91" s="50"/>
      <c r="G91" s="52"/>
      <c r="H91" s="50"/>
      <c r="I91" s="53"/>
      <c r="J91" s="50"/>
      <c r="K91" s="53"/>
      <c r="L91" s="50"/>
      <c r="M91" s="57"/>
      <c r="N91" s="55"/>
      <c r="O91" s="57"/>
      <c r="P91" s="57"/>
      <c r="Q91" s="59"/>
      <c r="R91" s="57"/>
      <c r="S91" s="57"/>
      <c r="T91" s="59"/>
      <c r="U91" s="57"/>
      <c r="V91" s="57"/>
      <c r="W91" s="59"/>
      <c r="X91" s="57"/>
      <c r="Y91" s="57"/>
      <c r="Z91" s="59" t="str">
        <f t="shared" si="31"/>
        <v/>
      </c>
      <c r="AA91" s="57"/>
      <c r="AB91" s="57"/>
      <c r="AC91" s="59" t="str">
        <f t="shared" si="32"/>
        <v/>
      </c>
      <c r="AD91" s="57"/>
      <c r="AE91" s="57"/>
      <c r="AF91" s="59" t="str">
        <f t="shared" si="33"/>
        <v/>
      </c>
      <c r="AG91" s="57"/>
      <c r="AH91" s="57"/>
      <c r="AI91" s="59" t="str">
        <f t="shared" si="34"/>
        <v/>
      </c>
      <c r="AJ91" s="57"/>
      <c r="AK91" s="57"/>
      <c r="AL91" s="59" t="str">
        <f t="shared" si="35"/>
        <v/>
      </c>
      <c r="AM91" s="57"/>
      <c r="AN91" s="57"/>
      <c r="AO91" s="59" t="str">
        <f t="shared" si="26"/>
        <v/>
      </c>
      <c r="AP91" s="57"/>
      <c r="AQ91" s="59" t="str">
        <f t="shared" si="29"/>
        <v/>
      </c>
      <c r="AR91" s="57"/>
      <c r="AS91" s="57"/>
      <c r="AT91" s="59" t="str">
        <f t="shared" si="30"/>
        <v/>
      </c>
    </row>
    <row r="92" spans="1:46" ht="18.75" hidden="1" customHeight="1">
      <c r="A92" s="24"/>
      <c r="B92" s="26" t="s">
        <v>858</v>
      </c>
      <c r="C92" s="26"/>
      <c r="D92" s="50"/>
      <c r="E92" s="51"/>
      <c r="F92" s="50"/>
      <c r="G92" s="52"/>
      <c r="H92" s="50"/>
      <c r="I92" s="53"/>
      <c r="J92" s="50"/>
      <c r="K92" s="53"/>
      <c r="L92" s="50"/>
      <c r="M92" s="57"/>
      <c r="N92" s="55"/>
      <c r="O92" s="57"/>
      <c r="P92" s="57"/>
      <c r="Q92" s="59"/>
      <c r="R92" s="57"/>
      <c r="S92" s="57"/>
      <c r="T92" s="59"/>
      <c r="U92" s="57"/>
      <c r="V92" s="57"/>
      <c r="W92" s="59"/>
      <c r="X92" s="57"/>
      <c r="Y92" s="57"/>
      <c r="Z92" s="59"/>
      <c r="AA92" s="57"/>
      <c r="AB92" s="57"/>
      <c r="AC92" s="59"/>
      <c r="AD92" s="57"/>
      <c r="AE92" s="57"/>
      <c r="AF92" s="59"/>
      <c r="AG92" s="57"/>
      <c r="AH92" s="57"/>
      <c r="AI92" s="59"/>
      <c r="AJ92" s="57"/>
      <c r="AK92" s="57"/>
      <c r="AL92" s="59"/>
      <c r="AM92" s="57"/>
      <c r="AN92" s="57"/>
      <c r="AO92" s="59"/>
      <c r="AP92" s="57"/>
      <c r="AQ92" s="59" t="str">
        <f t="shared" si="29"/>
        <v/>
      </c>
      <c r="AR92" s="57"/>
      <c r="AS92" s="57"/>
      <c r="AT92" s="59" t="str">
        <f t="shared" si="30"/>
        <v/>
      </c>
    </row>
    <row r="93" spans="1:46" ht="18.75" customHeight="1">
      <c r="A93" s="24" t="s">
        <v>792</v>
      </c>
      <c r="B93" s="26" t="s">
        <v>188</v>
      </c>
      <c r="C93" s="26" t="s">
        <v>443</v>
      </c>
      <c r="D93" s="55">
        <v>5.0000000000000001E-3</v>
      </c>
      <c r="E93" s="57">
        <v>5.0347222222222225E-3</v>
      </c>
      <c r="F93" s="55">
        <v>5.0000000000000001E-3</v>
      </c>
      <c r="G93" s="52"/>
      <c r="H93" s="55">
        <v>5.0000000000000001E-3</v>
      </c>
      <c r="I93" s="57">
        <v>4.8379629629629632E-3</v>
      </c>
      <c r="J93" s="55">
        <v>4.8379629629629632E-3</v>
      </c>
      <c r="K93" s="53"/>
      <c r="L93" s="55">
        <v>4.8379629629629632E-3</v>
      </c>
      <c r="M93" s="57"/>
      <c r="N93" s="55">
        <v>4.8379629629629632E-3</v>
      </c>
      <c r="O93" s="57">
        <v>5.5555555555555558E-3</v>
      </c>
      <c r="P93" s="57"/>
      <c r="Q93" s="59">
        <f>IF(MIN(IF(ISBLANK(O93),N93,O93),IF(ISBLANK(N93),O93,N93))=0,"",MIN(IF(ISBLANK(O93),N93,O93),IF(ISBLANK(N93),O93,N93)))</f>
        <v>4.8379629629629632E-3</v>
      </c>
      <c r="R93" s="57">
        <v>5.347222222222222E-3</v>
      </c>
      <c r="S93" s="57"/>
      <c r="T93" s="59">
        <f>IF(MIN(IF(ISBLANK(R93),Q93,R93),IF(ISBLANK(Q93),R93,Q93))=0,"",MIN(IF(ISBLANK(R93),Q93,R93),IF(ISBLANK(Q93),R93,Q93)))</f>
        <v>4.8379629629629632E-3</v>
      </c>
      <c r="U93" s="57">
        <v>5.4745370370370373E-3</v>
      </c>
      <c r="V93" s="57"/>
      <c r="W93" s="59">
        <f>IF(MIN(IF(ISBLANK(U93),T93,U93),IF(ISBLANK(T93),U93,T93))=0,"",MIN(IF(ISBLANK(U93),T93,U93),IF(ISBLANK(T93),U93,T93)))</f>
        <v>4.8379629629629632E-3</v>
      </c>
      <c r="X93" s="57">
        <v>5.2430555555555555E-3</v>
      </c>
      <c r="Y93" s="57"/>
      <c r="Z93" s="59">
        <f>IF(MIN(IF(ISBLANK(X93),W93,X93),IF(ISBLANK(W93),X93,W93))=0,"",MIN(IF(ISBLANK(X93),W93,X93),IF(ISBLANK(W93),X93,W93)))</f>
        <v>4.8379629629629632E-3</v>
      </c>
      <c r="AA93" s="57"/>
      <c r="AB93" s="57"/>
      <c r="AC93" s="59">
        <f>IF(MIN(IF(ISBLANK(Z93),AA93,Z93),IF(ISBLANK(AA93),Z93,AA93))=0,"",MIN(IF(ISBLANK(Z93),AA93,Z93),IF(ISBLANK(AA93),Z93,AA93)))</f>
        <v>4.8379629629629632E-3</v>
      </c>
      <c r="AD93" s="57"/>
      <c r="AE93" s="57"/>
      <c r="AF93" s="59">
        <f>IF(MIN(IF(ISBLANK(AC93),AD93,AC93),IF(ISBLANK(AD93),AC93,AD93))=0,"",MIN(IF(ISBLANK(AC93),AD93,AC93),IF(ISBLANK(AD93),AC93,AD93)))</f>
        <v>4.8379629629629632E-3</v>
      </c>
      <c r="AG93" s="57">
        <v>5.3819444444444453E-3</v>
      </c>
      <c r="AH93" s="57"/>
      <c r="AI93" s="59">
        <f>IF(MIN(IF(ISBLANK(AF93),AG93,AF93),IF(ISBLANK(AG93),AF93,AG93))=0,"",MIN(IF(ISBLANK(AF93),AG93,AF93),IF(ISBLANK(AG93),AF93,AG93)))</f>
        <v>4.8379629629629632E-3</v>
      </c>
      <c r="AJ93" s="57"/>
      <c r="AK93" s="57"/>
      <c r="AL93" s="59">
        <f>IF(MIN(IF(ISBLANK(AI93),AJ93,AI93),IF(ISBLANK(AJ93),AI93,AJ93))=0,"",MIN(IF(ISBLANK(AI93),AJ93,AI93),IF(ISBLANK(AJ93),AI93,AJ93)))</f>
        <v>4.8379629629629632E-3</v>
      </c>
      <c r="AM93" s="57"/>
      <c r="AN93" s="57"/>
      <c r="AO93" s="59">
        <f>IF(MIN(IF(ISBLANK(AL93),AM93,AL93),IF(ISBLANK(AM93),AL93,AM93))=0,"",MIN(IF(ISBLANK(AL93),AM93,AL93),IF(ISBLANK(AM93),AL93,AM93)))</f>
        <v>4.8379629629629632E-3</v>
      </c>
      <c r="AP93" s="57"/>
      <c r="AQ93" s="59">
        <f t="shared" si="29"/>
        <v>4.8379629629629632E-3</v>
      </c>
      <c r="AR93" s="57">
        <v>5.0115740740740737E-3</v>
      </c>
      <c r="AS93" s="57"/>
      <c r="AT93" s="59">
        <f t="shared" si="30"/>
        <v>4.8379629629629632E-3</v>
      </c>
    </row>
    <row r="94" spans="1:46" ht="18.75" hidden="1" customHeight="1">
      <c r="A94" s="24"/>
      <c r="B94" s="26" t="s">
        <v>816</v>
      </c>
      <c r="C94" s="26"/>
      <c r="D94" s="55"/>
      <c r="E94" s="57"/>
      <c r="F94" s="55"/>
      <c r="G94" s="52"/>
      <c r="H94" s="55"/>
      <c r="I94" s="57"/>
      <c r="J94" s="55"/>
      <c r="K94" s="53"/>
      <c r="L94" s="55"/>
      <c r="M94" s="57"/>
      <c r="N94" s="55"/>
      <c r="O94" s="57"/>
      <c r="P94" s="57"/>
      <c r="Q94" s="59"/>
      <c r="R94" s="57"/>
      <c r="S94" s="57"/>
      <c r="T94" s="59"/>
      <c r="U94" s="57"/>
      <c r="V94" s="57"/>
      <c r="W94" s="59"/>
      <c r="X94" s="57"/>
      <c r="Y94" s="57"/>
      <c r="Z94" s="59"/>
      <c r="AA94" s="57"/>
      <c r="AB94" s="57"/>
      <c r="AC94" s="59"/>
      <c r="AD94" s="57"/>
      <c r="AE94" s="57"/>
      <c r="AF94" s="59"/>
      <c r="AG94" s="57"/>
      <c r="AH94" s="57"/>
      <c r="AI94" s="59"/>
      <c r="AJ94" s="57"/>
      <c r="AK94" s="57"/>
      <c r="AL94" s="59"/>
      <c r="AM94" s="57">
        <v>8.2754629629629619E-3</v>
      </c>
      <c r="AN94" s="57"/>
      <c r="AO94" s="59">
        <f>IF(MIN(IF(ISBLANK(AL94),AM94,AL94),IF(ISBLANK(AM94),AL94,AM94))=0,"",MIN(IF(ISBLANK(AL94),AM94,AL94),IF(ISBLANK(AM94),AL94,AM94)))</f>
        <v>8.2754629629629619E-3</v>
      </c>
      <c r="AP94" s="57"/>
      <c r="AQ94" s="59">
        <f t="shared" si="29"/>
        <v>8.2754629629629619E-3</v>
      </c>
      <c r="AR94" s="57"/>
      <c r="AS94" s="57"/>
      <c r="AT94" s="59">
        <f t="shared" si="30"/>
        <v>8.2754629629629619E-3</v>
      </c>
    </row>
    <row r="95" spans="1:46" ht="18.75" customHeight="1">
      <c r="A95" s="24" t="s">
        <v>792</v>
      </c>
      <c r="B95" s="26" t="s">
        <v>195</v>
      </c>
      <c r="C95" s="26" t="s">
        <v>443</v>
      </c>
      <c r="D95" s="55">
        <v>5.0231481481481481E-3</v>
      </c>
      <c r="E95" s="51"/>
      <c r="F95" s="55">
        <v>5.0231481481481481E-3</v>
      </c>
      <c r="G95" s="52"/>
      <c r="H95" s="55">
        <v>5.0231481481481481E-3</v>
      </c>
      <c r="I95" s="53"/>
      <c r="J95" s="55">
        <v>5.0231481481481481E-3</v>
      </c>
      <c r="K95" s="53"/>
      <c r="L95" s="55">
        <v>5.0231481481481481E-3</v>
      </c>
      <c r="M95" s="57"/>
      <c r="N95" s="55">
        <v>5.0231481481481481E-3</v>
      </c>
      <c r="O95" s="57"/>
      <c r="P95" s="57"/>
      <c r="Q95" s="59">
        <f>IF(MIN(IF(ISBLANK(O95),N95,O95),IF(ISBLANK(N95),O95,N95))=0,"",MIN(IF(ISBLANK(O95),N95,O95),IF(ISBLANK(N95),O95,N95)))</f>
        <v>5.0231481481481481E-3</v>
      </c>
      <c r="R95" s="57"/>
      <c r="S95" s="57"/>
      <c r="T95" s="59">
        <f>IF(MIN(IF(ISBLANK(R95),Q95,R95),IF(ISBLANK(Q95),R95,Q95))=0,"",MIN(IF(ISBLANK(R95),Q95,R95),IF(ISBLANK(Q95),R95,Q95)))</f>
        <v>5.0231481481481481E-3</v>
      </c>
      <c r="U95" s="57"/>
      <c r="V95" s="57"/>
      <c r="W95" s="59">
        <f>IF(MIN(IF(ISBLANK(U95),T95,U95),IF(ISBLANK(T95),U95,T95))=0,"",MIN(IF(ISBLANK(U95),T95,U95),IF(ISBLANK(T95),U95,T95)))</f>
        <v>5.0231481481481481E-3</v>
      </c>
      <c r="X95" s="57"/>
      <c r="Y95" s="57"/>
      <c r="Z95" s="59">
        <f>IF(MIN(IF(ISBLANK(X95),W95,X95),IF(ISBLANK(W95),X95,W95))=0,"",MIN(IF(ISBLANK(X95),W95,X95),IF(ISBLANK(W95),X95,W95)))</f>
        <v>5.0231481481481481E-3</v>
      </c>
      <c r="AA95" s="57"/>
      <c r="AB95" s="57"/>
      <c r="AC95" s="59">
        <f>IF(MIN(IF(ISBLANK(Z95),AA95,Z95),IF(ISBLANK(AA95),Z95,AA95))=0,"",MIN(IF(ISBLANK(Z95),AA95,Z95),IF(ISBLANK(AA95),Z95,AA95)))</f>
        <v>5.0231481481481481E-3</v>
      </c>
      <c r="AD95" s="57"/>
      <c r="AE95" s="57"/>
      <c r="AF95" s="59">
        <f>IF(MIN(IF(ISBLANK(AC95),AD95,AC95),IF(ISBLANK(AD95),AC95,AD95))=0,"",MIN(IF(ISBLANK(AC95),AD95,AC95),IF(ISBLANK(AD95),AC95,AD95)))</f>
        <v>5.0231481481481481E-3</v>
      </c>
      <c r="AG95" s="57"/>
      <c r="AH95" s="57"/>
      <c r="AI95" s="59">
        <f>IF(MIN(IF(ISBLANK(AF95),AG95,AF95),IF(ISBLANK(AG95),AF95,AG95))=0,"",MIN(IF(ISBLANK(AF95),AG95,AF95),IF(ISBLANK(AG95),AF95,AG95)))</f>
        <v>5.0231481481481481E-3</v>
      </c>
      <c r="AJ95" s="57"/>
      <c r="AK95" s="57"/>
      <c r="AL95" s="59">
        <f>IF(MIN(IF(ISBLANK(AI95),AJ95,AI95),IF(ISBLANK(AJ95),AI95,AJ95))=0,"",MIN(IF(ISBLANK(AI95),AJ95,AI95),IF(ISBLANK(AJ95),AI95,AJ95)))</f>
        <v>5.0231481481481481E-3</v>
      </c>
      <c r="AM95" s="57"/>
      <c r="AN95" s="57"/>
      <c r="AO95" s="59">
        <f>IF(MIN(IF(ISBLANK(AL95),AM95,AL95),IF(ISBLANK(AM95),AL95,AM95))=0,"",MIN(IF(ISBLANK(AL95),AM95,AL95),IF(ISBLANK(AM95),AL95,AM95)))</f>
        <v>5.0231481481481481E-3</v>
      </c>
      <c r="AP95" s="57"/>
      <c r="AQ95" s="59">
        <f t="shared" si="29"/>
        <v>5.0231481481481481E-3</v>
      </c>
      <c r="AR95" s="57"/>
      <c r="AS95" s="57"/>
      <c r="AT95" s="59">
        <f t="shared" si="30"/>
        <v>5.0231481481481481E-3</v>
      </c>
    </row>
    <row r="96" spans="1:46" ht="18.75" hidden="1" customHeight="1">
      <c r="A96" s="24"/>
      <c r="B96" s="26" t="s">
        <v>529</v>
      </c>
      <c r="C96" s="26" t="s">
        <v>443</v>
      </c>
      <c r="D96" s="50"/>
      <c r="E96" s="51"/>
      <c r="F96" s="50"/>
      <c r="G96" s="52"/>
      <c r="H96" s="50"/>
      <c r="I96" s="53"/>
      <c r="J96" s="50"/>
      <c r="K96" s="53"/>
      <c r="L96" s="50"/>
      <c r="M96" s="57"/>
      <c r="N96" s="55" t="s">
        <v>448</v>
      </c>
      <c r="O96" s="57"/>
      <c r="P96" s="57"/>
      <c r="Q96" s="59" t="str">
        <f>IF(MIN(IF(ISBLANK(O96),N96,O96),IF(ISBLANK(N96),O96,N96))=0,"",MIN(IF(ISBLANK(O96),N96,O96),IF(ISBLANK(N96),O96,N96)))</f>
        <v/>
      </c>
      <c r="R96" s="57"/>
      <c r="S96" s="57"/>
      <c r="T96" s="59" t="str">
        <f>IF(MIN(IF(ISBLANK(R96),Q96,R96),IF(ISBLANK(Q96),R96,Q96))=0,"",MIN(IF(ISBLANK(R96),Q96,R96),IF(ISBLANK(Q96),R96,Q96)))</f>
        <v/>
      </c>
      <c r="U96" s="57"/>
      <c r="V96" s="57"/>
      <c r="W96" s="59" t="str">
        <f>IF(MIN(IF(ISBLANK(U96),T96,U96),IF(ISBLANK(T96),U96,T96))=0,"",MIN(IF(ISBLANK(U96),T96,U96),IF(ISBLANK(T96),U96,T96)))</f>
        <v/>
      </c>
      <c r="X96" s="57"/>
      <c r="Y96" s="57"/>
      <c r="Z96" s="59" t="str">
        <f>IF(MIN(IF(ISBLANK(X96),W96,X96),IF(ISBLANK(W96),X96,W96))=0,"",MIN(IF(ISBLANK(X96),W96,X96),IF(ISBLANK(W96),X96,W96)))</f>
        <v/>
      </c>
      <c r="AA96" s="57"/>
      <c r="AB96" s="57"/>
      <c r="AC96" s="59" t="str">
        <f>IF(MIN(IF(ISBLANK(Z96),AA96,Z96),IF(ISBLANK(AA96),Z96,AA96))=0,"",MIN(IF(ISBLANK(Z96),AA96,Z96),IF(ISBLANK(AA96),Z96,AA96)))</f>
        <v/>
      </c>
      <c r="AD96" s="57"/>
      <c r="AE96" s="57"/>
      <c r="AF96" s="59" t="str">
        <f>IF(MIN(IF(ISBLANK(AC96),AD96,AC96),IF(ISBLANK(AD96),AC96,AD96))=0,"",MIN(IF(ISBLANK(AC96),AD96,AC96),IF(ISBLANK(AD96),AC96,AD96)))</f>
        <v/>
      </c>
      <c r="AG96" s="57"/>
      <c r="AH96" s="57"/>
      <c r="AI96" s="59" t="str">
        <f>IF(MIN(IF(ISBLANK(AF96),AG96,AF96),IF(ISBLANK(AG96),AF96,AG96))=0,"",MIN(IF(ISBLANK(AF96),AG96,AF96),IF(ISBLANK(AG96),AF96,AG96)))</f>
        <v/>
      </c>
      <c r="AJ96" s="57"/>
      <c r="AK96" s="57"/>
      <c r="AL96" s="59" t="str">
        <f>IF(MIN(IF(ISBLANK(AI96),AJ96,AI96),IF(ISBLANK(AJ96),AI96,AJ96))=0,"",MIN(IF(ISBLANK(AI96),AJ96,AI96),IF(ISBLANK(AJ96),AI96,AJ96)))</f>
        <v/>
      </c>
      <c r="AM96" s="57"/>
      <c r="AN96" s="57"/>
      <c r="AO96" s="59" t="str">
        <f>IF(MIN(IF(ISBLANK(AL96),AM96,AL96),IF(ISBLANK(AM96),AL96,AM96))=0,"",MIN(IF(ISBLANK(AL96),AM96,AL96),IF(ISBLANK(AM96),AL96,AM96)))</f>
        <v/>
      </c>
      <c r="AP96" s="57"/>
      <c r="AQ96" s="59" t="str">
        <f t="shared" si="29"/>
        <v/>
      </c>
      <c r="AR96" s="57"/>
      <c r="AS96" s="57"/>
      <c r="AT96" s="59" t="str">
        <f t="shared" si="30"/>
        <v/>
      </c>
    </row>
    <row r="97" spans="1:46" ht="18.75" hidden="1" customHeight="1">
      <c r="A97" s="24"/>
      <c r="B97" s="26" t="s">
        <v>200</v>
      </c>
      <c r="C97" s="26" t="s">
        <v>443</v>
      </c>
      <c r="D97" s="55">
        <v>6.5509259259259262E-3</v>
      </c>
      <c r="E97" s="51"/>
      <c r="F97" s="55">
        <v>6.5509259259259262E-3</v>
      </c>
      <c r="G97" s="52"/>
      <c r="H97" s="55">
        <v>6.5509259259259262E-3</v>
      </c>
      <c r="I97" s="53"/>
      <c r="J97" s="55">
        <v>6.5509259259259262E-3</v>
      </c>
      <c r="K97" s="53"/>
      <c r="L97" s="55">
        <v>6.5509259259259262E-3</v>
      </c>
      <c r="M97" s="57"/>
      <c r="N97" s="55">
        <v>6.5509259259259262E-3</v>
      </c>
      <c r="O97" s="57"/>
      <c r="P97" s="57"/>
      <c r="Q97" s="59">
        <f>IF(MIN(IF(ISBLANK(O97),N97,O97),IF(ISBLANK(N97),O97,N97))=0,"",MIN(IF(ISBLANK(O97),N97,O97),IF(ISBLANK(N97),O97,N97)))</f>
        <v>6.5509259259259262E-3</v>
      </c>
      <c r="R97" s="57"/>
      <c r="S97" s="57"/>
      <c r="T97" s="59">
        <f>IF(MIN(IF(ISBLANK(R97),Q97,R97),IF(ISBLANK(Q97),R97,Q97))=0,"",MIN(IF(ISBLANK(R97),Q97,R97),IF(ISBLANK(Q97),R97,Q97)))</f>
        <v>6.5509259259259262E-3</v>
      </c>
      <c r="U97" s="57"/>
      <c r="V97" s="57"/>
      <c r="W97" s="59">
        <f>IF(MIN(IF(ISBLANK(U97),T97,U97),IF(ISBLANK(T97),U97,T97))=0,"",MIN(IF(ISBLANK(U97),T97,U97),IF(ISBLANK(T97),U97,T97)))</f>
        <v>6.5509259259259262E-3</v>
      </c>
      <c r="X97" s="57"/>
      <c r="Y97" s="57"/>
      <c r="Z97" s="59">
        <f>IF(MIN(IF(ISBLANK(X97),W97,X97),IF(ISBLANK(W97),X97,W97))=0,"",MIN(IF(ISBLANK(X97),W97,X97),IF(ISBLANK(W97),X97,W97)))</f>
        <v>6.5509259259259262E-3</v>
      </c>
      <c r="AA97" s="57"/>
      <c r="AB97" s="57"/>
      <c r="AC97" s="59">
        <f>IF(MIN(IF(ISBLANK(Z97),AA97,Z97),IF(ISBLANK(AA97),Z97,AA97))=0,"",MIN(IF(ISBLANK(Z97),AA97,Z97),IF(ISBLANK(AA97),Z97,AA97)))</f>
        <v>6.5509259259259262E-3</v>
      </c>
      <c r="AD97" s="57"/>
      <c r="AE97" s="57"/>
      <c r="AF97" s="59">
        <f>IF(MIN(IF(ISBLANK(AC97),AD97,AC97),IF(ISBLANK(AD97),AC97,AD97))=0,"",MIN(IF(ISBLANK(AC97),AD97,AC97),IF(ISBLANK(AD97),AC97,AD97)))</f>
        <v>6.5509259259259262E-3</v>
      </c>
      <c r="AG97" s="57"/>
      <c r="AH97" s="57"/>
      <c r="AI97" s="59">
        <f>IF(MIN(IF(ISBLANK(AF97),AG97,AF97),IF(ISBLANK(AG97),AF97,AG97))=0,"",MIN(IF(ISBLANK(AF97),AG97,AF97),IF(ISBLANK(AG97),AF97,AG97)))</f>
        <v>6.5509259259259262E-3</v>
      </c>
      <c r="AJ97" s="57"/>
      <c r="AK97" s="57"/>
      <c r="AL97" s="59">
        <f>IF(MIN(IF(ISBLANK(AI97),AJ97,AI97),IF(ISBLANK(AJ97),AI97,AJ97))=0,"",MIN(IF(ISBLANK(AI97),AJ97,AI97),IF(ISBLANK(AJ97),AI97,AJ97)))</f>
        <v>6.5509259259259262E-3</v>
      </c>
      <c r="AM97" s="57"/>
      <c r="AN97" s="57"/>
      <c r="AO97" s="59">
        <f>IF(MIN(IF(ISBLANK(AL97),AM97,AL97),IF(ISBLANK(AM97),AL97,AM97))=0,"",MIN(IF(ISBLANK(AL97),AM97,AL97),IF(ISBLANK(AM97),AL97,AM97)))</f>
        <v>6.5509259259259262E-3</v>
      </c>
      <c r="AP97" s="57"/>
      <c r="AQ97" s="59">
        <f t="shared" si="29"/>
        <v>6.5509259259259262E-3</v>
      </c>
      <c r="AR97" s="57"/>
      <c r="AS97" s="57"/>
      <c r="AT97" s="59">
        <f t="shared" si="30"/>
        <v>6.5509259259259262E-3</v>
      </c>
    </row>
    <row r="98" spans="1:46" ht="18.75" customHeight="1">
      <c r="A98" s="24" t="s">
        <v>792</v>
      </c>
      <c r="B98" s="26" t="s">
        <v>897</v>
      </c>
      <c r="C98" s="26"/>
      <c r="D98" s="55"/>
      <c r="E98" s="51"/>
      <c r="F98" s="55"/>
      <c r="G98" s="52"/>
      <c r="H98" s="55"/>
      <c r="I98" s="53"/>
      <c r="J98" s="55"/>
      <c r="K98" s="53"/>
      <c r="L98" s="55"/>
      <c r="M98" s="57"/>
      <c r="N98" s="55"/>
      <c r="O98" s="57"/>
      <c r="P98" s="57"/>
      <c r="Q98" s="59"/>
      <c r="R98" s="57"/>
      <c r="S98" s="57"/>
      <c r="T98" s="59"/>
      <c r="U98" s="57"/>
      <c r="V98" s="57"/>
      <c r="W98" s="59"/>
      <c r="X98" s="57"/>
      <c r="Y98" s="57"/>
      <c r="Z98" s="59"/>
      <c r="AA98" s="57"/>
      <c r="AB98" s="57"/>
      <c r="AC98" s="59"/>
      <c r="AD98" s="57"/>
      <c r="AE98" s="57"/>
      <c r="AF98" s="59"/>
      <c r="AG98" s="57"/>
      <c r="AH98" s="57"/>
      <c r="AI98" s="59"/>
      <c r="AJ98" s="57"/>
      <c r="AK98" s="57"/>
      <c r="AL98" s="59"/>
      <c r="AM98" s="57"/>
      <c r="AN98" s="57"/>
      <c r="AO98" s="59"/>
      <c r="AP98" s="57"/>
      <c r="AQ98" s="59"/>
      <c r="AR98" s="57">
        <v>7.1412037037037043E-3</v>
      </c>
      <c r="AS98" s="57"/>
      <c r="AT98" s="59">
        <f t="shared" si="30"/>
        <v>7.1412037037037043E-3</v>
      </c>
    </row>
    <row r="99" spans="1:46" ht="18.75" hidden="1" customHeight="1">
      <c r="A99" s="24"/>
      <c r="B99" s="26" t="s">
        <v>861</v>
      </c>
      <c r="C99" s="26"/>
      <c r="D99" s="50"/>
      <c r="E99" s="51"/>
      <c r="F99" s="50"/>
      <c r="G99" s="52"/>
      <c r="H99" s="50"/>
      <c r="I99" s="53"/>
      <c r="J99" s="50"/>
      <c r="K99" s="53"/>
      <c r="L99" s="50"/>
      <c r="M99" s="57"/>
      <c r="N99" s="55"/>
      <c r="O99" s="57"/>
      <c r="P99" s="57"/>
      <c r="Q99" s="59"/>
      <c r="R99" s="57"/>
      <c r="S99" s="57"/>
      <c r="T99" s="59"/>
      <c r="U99" s="57"/>
      <c r="V99" s="57"/>
      <c r="W99" s="59"/>
      <c r="X99" s="57"/>
      <c r="Y99" s="57"/>
      <c r="Z99" s="59"/>
      <c r="AA99" s="57"/>
      <c r="AB99" s="57"/>
      <c r="AC99" s="59"/>
      <c r="AD99" s="57"/>
      <c r="AE99" s="57"/>
      <c r="AF99" s="59"/>
      <c r="AG99" s="57"/>
      <c r="AH99" s="57"/>
      <c r="AI99" s="59"/>
      <c r="AJ99" s="57"/>
      <c r="AK99" s="57"/>
      <c r="AL99" s="59"/>
      <c r="AM99" s="57"/>
      <c r="AN99" s="57"/>
      <c r="AO99" s="59"/>
      <c r="AP99" s="57"/>
      <c r="AQ99" s="59" t="str">
        <f t="shared" si="29"/>
        <v/>
      </c>
      <c r="AR99" s="57"/>
      <c r="AS99" s="57"/>
      <c r="AT99" s="59" t="str">
        <f t="shared" si="30"/>
        <v/>
      </c>
    </row>
    <row r="100" spans="1:46" ht="18.75" hidden="1" customHeight="1">
      <c r="A100" s="24"/>
      <c r="B100" s="26" t="s">
        <v>211</v>
      </c>
      <c r="C100" s="26" t="s">
        <v>444</v>
      </c>
      <c r="D100" s="55">
        <v>7.743055555555556E-3</v>
      </c>
      <c r="E100" s="51"/>
      <c r="F100" s="55">
        <v>7.743055555555556E-3</v>
      </c>
      <c r="G100" s="52"/>
      <c r="H100" s="55">
        <v>7.743055555555556E-3</v>
      </c>
      <c r="I100" s="53"/>
      <c r="J100" s="55">
        <v>7.743055555555556E-3</v>
      </c>
      <c r="K100" s="53"/>
      <c r="L100" s="55">
        <v>7.743055555555556E-3</v>
      </c>
      <c r="M100" s="57"/>
      <c r="N100" s="55">
        <v>7.743055555555556E-3</v>
      </c>
      <c r="O100" s="57"/>
      <c r="P100" s="57"/>
      <c r="Q100" s="59">
        <f>IF(MIN(IF(ISBLANK(O100),N100,O100),IF(ISBLANK(N100),O100,N100))=0,"",MIN(IF(ISBLANK(O100),N100,O100),IF(ISBLANK(N100),O100,N100)))</f>
        <v>7.743055555555556E-3</v>
      </c>
      <c r="R100" s="57"/>
      <c r="S100" s="57"/>
      <c r="T100" s="59">
        <f>IF(MIN(IF(ISBLANK(R100),Q100,R100),IF(ISBLANK(Q100),R100,Q100))=0,"",MIN(IF(ISBLANK(R100),Q100,R100),IF(ISBLANK(Q100),R100,Q100)))</f>
        <v>7.743055555555556E-3</v>
      </c>
      <c r="U100" s="57"/>
      <c r="V100" s="57"/>
      <c r="W100" s="59">
        <f>IF(MIN(IF(ISBLANK(U100),T100,U100),IF(ISBLANK(T100),U100,T100))=0,"",MIN(IF(ISBLANK(U100),T100,U100),IF(ISBLANK(T100),U100,T100)))</f>
        <v>7.743055555555556E-3</v>
      </c>
      <c r="X100" s="57"/>
      <c r="Y100" s="57"/>
      <c r="Z100" s="59">
        <f>IF(MIN(IF(ISBLANK(X100),W100,X100),IF(ISBLANK(W100),X100,W100))=0,"",MIN(IF(ISBLANK(X100),W100,X100),IF(ISBLANK(W100),X100,W100)))</f>
        <v>7.743055555555556E-3</v>
      </c>
      <c r="AA100" s="57"/>
      <c r="AB100" s="57"/>
      <c r="AC100" s="59">
        <f>IF(MIN(IF(ISBLANK(Z100),AA100,Z100),IF(ISBLANK(AA100),Z100,AA100))=0,"",MIN(IF(ISBLANK(Z100),AA100,Z100),IF(ISBLANK(AA100),Z100,AA100)))</f>
        <v>7.743055555555556E-3</v>
      </c>
      <c r="AD100" s="57"/>
      <c r="AE100" s="57"/>
      <c r="AF100" s="59">
        <f>IF(MIN(IF(ISBLANK(AC100),AD100,AC100),IF(ISBLANK(AD100),AC100,AD100))=0,"",MIN(IF(ISBLANK(AC100),AD100,AC100),IF(ISBLANK(AD100),AC100,AD100)))</f>
        <v>7.743055555555556E-3</v>
      </c>
      <c r="AG100" s="57"/>
      <c r="AH100" s="57"/>
      <c r="AI100" s="59">
        <f>IF(MIN(IF(ISBLANK(AF100),AG100,AF100),IF(ISBLANK(AG100),AF100,AG100))=0,"",MIN(IF(ISBLANK(AF100),AG100,AF100),IF(ISBLANK(AG100),AF100,AG100)))</f>
        <v>7.743055555555556E-3</v>
      </c>
      <c r="AJ100" s="57"/>
      <c r="AK100" s="57"/>
      <c r="AL100" s="59">
        <f>IF(MIN(IF(ISBLANK(AI100),AJ100,AI100),IF(ISBLANK(AJ100),AI100,AJ100))=0,"",MIN(IF(ISBLANK(AI100),AJ100,AI100),IF(ISBLANK(AJ100),AI100,AJ100)))</f>
        <v>7.743055555555556E-3</v>
      </c>
      <c r="AM100" s="57"/>
      <c r="AN100" s="57"/>
      <c r="AO100" s="59">
        <f t="shared" ref="AO100:AO126" si="39">IF(MIN(IF(ISBLANK(AL100),AM100,AL100),IF(ISBLANK(AM100),AL100,AM100))=0,"",MIN(IF(ISBLANK(AL100),AM100,AL100),IF(ISBLANK(AM100),AL100,AM100)))</f>
        <v>7.743055555555556E-3</v>
      </c>
      <c r="AP100" s="57"/>
      <c r="AQ100" s="59">
        <f t="shared" si="29"/>
        <v>7.743055555555556E-3</v>
      </c>
      <c r="AR100" s="57"/>
      <c r="AS100" s="57"/>
      <c r="AT100" s="59">
        <f t="shared" si="30"/>
        <v>7.743055555555556E-3</v>
      </c>
    </row>
    <row r="101" spans="1:46" ht="18.75" customHeight="1">
      <c r="A101" s="24" t="s">
        <v>792</v>
      </c>
      <c r="B101" s="26" t="s">
        <v>717</v>
      </c>
      <c r="C101" s="26"/>
      <c r="D101" s="50"/>
      <c r="E101" s="51"/>
      <c r="F101" s="50"/>
      <c r="G101" s="52"/>
      <c r="H101" s="50"/>
      <c r="I101" s="53"/>
      <c r="J101" s="50"/>
      <c r="K101" s="54"/>
      <c r="L101" s="50"/>
      <c r="M101" s="56"/>
      <c r="N101" s="55"/>
      <c r="O101" s="56"/>
      <c r="P101" s="56"/>
      <c r="Q101" s="59"/>
      <c r="R101" s="56"/>
      <c r="S101" s="56"/>
      <c r="T101" s="59"/>
      <c r="U101" s="56"/>
      <c r="V101" s="56"/>
      <c r="W101" s="59"/>
      <c r="X101" s="56"/>
      <c r="Y101" s="56"/>
      <c r="Z101" s="59"/>
      <c r="AA101" s="56"/>
      <c r="AB101" s="56"/>
      <c r="AC101" s="59"/>
      <c r="AD101" s="56"/>
      <c r="AE101" s="56"/>
      <c r="AF101" s="59" t="str">
        <f>IF(MIN(IF(ISBLANK(AC101),AD101,AC101),IF(ISBLANK(AD101),AC101,AD101))=0,"",MIN(IF(ISBLANK(AC101),AD101,AC101),IF(ISBLANK(AD101),AC101,AD101)))</f>
        <v/>
      </c>
      <c r="AG101" s="57"/>
      <c r="AH101" s="56"/>
      <c r="AI101" s="59" t="str">
        <f>IF(MIN(IF(ISBLANK(AF101),AG101,AF101),IF(ISBLANK(AG101),AF101,AG101))=0,"",MIN(IF(ISBLANK(AF101),AG101,AF101),IF(ISBLANK(AG101),AF101,AG101)))</f>
        <v/>
      </c>
      <c r="AJ101" s="57"/>
      <c r="AK101" s="56"/>
      <c r="AL101" s="59" t="str">
        <f>IF(MIN(IF(ISBLANK(AI101),AJ101,AI101),IF(ISBLANK(AJ101),AI101,AJ101))=0,"",MIN(IF(ISBLANK(AI101),AJ101,AI101),IF(ISBLANK(AJ101),AI101,AJ101)))</f>
        <v/>
      </c>
      <c r="AM101" s="57"/>
      <c r="AN101" s="56"/>
      <c r="AO101" s="59" t="str">
        <f t="shared" si="39"/>
        <v/>
      </c>
      <c r="AP101" s="57">
        <v>4.9537037037037041E-3</v>
      </c>
      <c r="AQ101" s="59">
        <f t="shared" si="29"/>
        <v>4.9537037037037041E-3</v>
      </c>
      <c r="AR101" s="57"/>
      <c r="AS101" s="57"/>
      <c r="AT101" s="59">
        <f t="shared" si="30"/>
        <v>4.9537037037037041E-3</v>
      </c>
    </row>
    <row r="102" spans="1:46" ht="18.75" hidden="1" customHeight="1">
      <c r="A102" s="24"/>
      <c r="B102" s="26" t="s">
        <v>255</v>
      </c>
      <c r="C102" s="26" t="s">
        <v>444</v>
      </c>
      <c r="D102" s="55">
        <v>6.6666666666666671E-3</v>
      </c>
      <c r="E102" s="51"/>
      <c r="F102" s="55">
        <v>6.6666666666666671E-3</v>
      </c>
      <c r="G102" s="52"/>
      <c r="H102" s="55">
        <v>6.6666666666666671E-3</v>
      </c>
      <c r="I102" s="53"/>
      <c r="J102" s="55">
        <v>6.6666666666666671E-3</v>
      </c>
      <c r="K102" s="53"/>
      <c r="L102" s="55">
        <v>6.6666666666666671E-3</v>
      </c>
      <c r="M102" s="57"/>
      <c r="N102" s="55">
        <v>6.6666666666666671E-3</v>
      </c>
      <c r="O102" s="57"/>
      <c r="P102" s="57"/>
      <c r="Q102" s="59">
        <f>IF(MIN(IF(ISBLANK(O102),N102,O102),IF(ISBLANK(N102),O102,N102))=0,"",MIN(IF(ISBLANK(O102),N102,O102),IF(ISBLANK(N102),O102,N102)))</f>
        <v>6.6666666666666671E-3</v>
      </c>
      <c r="R102" s="57"/>
      <c r="S102" s="57"/>
      <c r="T102" s="59">
        <f>IF(MIN(IF(ISBLANK(R102),Q102,R102),IF(ISBLANK(Q102),R102,Q102))=0,"",MIN(IF(ISBLANK(R102),Q102,R102),IF(ISBLANK(Q102),R102,Q102)))</f>
        <v>6.6666666666666671E-3</v>
      </c>
      <c r="U102" s="57"/>
      <c r="V102" s="57"/>
      <c r="W102" s="59">
        <f>IF(MIN(IF(ISBLANK(U102),T102,U102),IF(ISBLANK(T102),U102,T102))=0,"",MIN(IF(ISBLANK(U102),T102,U102),IF(ISBLANK(T102),U102,T102)))</f>
        <v>6.6666666666666671E-3</v>
      </c>
      <c r="X102" s="57"/>
      <c r="Y102" s="57"/>
      <c r="Z102" s="59">
        <f>IF(MIN(IF(ISBLANK(X102),W102,X102),IF(ISBLANK(W102),X102,W102))=0,"",MIN(IF(ISBLANK(X102),W102,X102),IF(ISBLANK(W102),X102,W102)))</f>
        <v>6.6666666666666671E-3</v>
      </c>
      <c r="AA102" s="57">
        <v>7.2916666666666659E-3</v>
      </c>
      <c r="AB102" s="57"/>
      <c r="AC102" s="59">
        <f>IF(MIN(IF(ISBLANK(Z102),AA102,Z102),IF(ISBLANK(AA102),Z102,AA102))=0,"",MIN(IF(ISBLANK(Z102),AA102,Z102),IF(ISBLANK(AA102),Z102,AA102)))</f>
        <v>6.6666666666666671E-3</v>
      </c>
      <c r="AD102" s="57"/>
      <c r="AE102" s="57"/>
      <c r="AF102" s="59">
        <f>IF(MIN(IF(ISBLANK(AC102),AD102,AC102),IF(ISBLANK(AD102),AC102,AD102))=0,"",MIN(IF(ISBLANK(AC102),AD102,AC102),IF(ISBLANK(AD102),AC102,AD102)))</f>
        <v>6.6666666666666671E-3</v>
      </c>
      <c r="AG102" s="57"/>
      <c r="AH102" s="57"/>
      <c r="AI102" s="59">
        <f>IF(MIN(IF(ISBLANK(AF102),AG102,AF102),IF(ISBLANK(AG102),AF102,AG102))=0,"",MIN(IF(ISBLANK(AF102),AG102,AF102),IF(ISBLANK(AG102),AF102,AG102)))</f>
        <v>6.6666666666666671E-3</v>
      </c>
      <c r="AJ102" s="57"/>
      <c r="AK102" s="57"/>
      <c r="AL102" s="59">
        <f>IF(MIN(IF(ISBLANK(AI102),AJ102,AI102),IF(ISBLANK(AJ102),AI102,AJ102))=0,"",MIN(IF(ISBLANK(AI102),AJ102,AI102),IF(ISBLANK(AJ102),AI102,AJ102)))</f>
        <v>6.6666666666666671E-3</v>
      </c>
      <c r="AM102" s="57"/>
      <c r="AN102" s="57"/>
      <c r="AO102" s="59">
        <f t="shared" si="39"/>
        <v>6.6666666666666671E-3</v>
      </c>
      <c r="AP102" s="57"/>
      <c r="AQ102" s="59">
        <f t="shared" si="29"/>
        <v>6.6666666666666671E-3</v>
      </c>
      <c r="AR102" s="57"/>
      <c r="AS102" s="57"/>
      <c r="AT102" s="59">
        <f t="shared" si="30"/>
        <v>6.6666666666666671E-3</v>
      </c>
    </row>
    <row r="103" spans="1:46" ht="18.75" hidden="1" customHeight="1">
      <c r="A103" s="24"/>
      <c r="B103" s="26" t="s">
        <v>327</v>
      </c>
      <c r="C103" s="26" t="s">
        <v>444</v>
      </c>
      <c r="D103" s="50"/>
      <c r="E103" s="51"/>
      <c r="F103" s="50" t="s">
        <v>448</v>
      </c>
      <c r="G103" s="52"/>
      <c r="H103" s="50"/>
      <c r="I103" s="53"/>
      <c r="J103" s="50" t="s">
        <v>448</v>
      </c>
      <c r="K103" s="53"/>
      <c r="L103" s="50"/>
      <c r="M103" s="57"/>
      <c r="N103" s="55" t="s">
        <v>448</v>
      </c>
      <c r="O103" s="57"/>
      <c r="P103" s="57"/>
      <c r="Q103" s="59" t="str">
        <f>IF(MIN(IF(ISBLANK(O103),N103,O103),IF(ISBLANK(N103),O103,N103))=0,"",MIN(IF(ISBLANK(O103),N103,O103),IF(ISBLANK(N103),O103,N103)))</f>
        <v/>
      </c>
      <c r="R103" s="57"/>
      <c r="S103" s="57"/>
      <c r="T103" s="59" t="str">
        <f>IF(MIN(IF(ISBLANK(R103),Q103,R103),IF(ISBLANK(Q103),R103,Q103))=0,"",MIN(IF(ISBLANK(R103),Q103,R103),IF(ISBLANK(Q103),R103,Q103)))</f>
        <v/>
      </c>
      <c r="U103" s="57"/>
      <c r="V103" s="57"/>
      <c r="W103" s="59" t="str">
        <f>IF(MIN(IF(ISBLANK(U103),T103,U103),IF(ISBLANK(T103),U103,T103))=0,"",MIN(IF(ISBLANK(U103),T103,U103),IF(ISBLANK(T103),U103,T103)))</f>
        <v/>
      </c>
      <c r="X103" s="57"/>
      <c r="Y103" s="57"/>
      <c r="Z103" s="59" t="str">
        <f>IF(MIN(IF(ISBLANK(X103),W103,X103),IF(ISBLANK(W103),X103,W103))=0,"",MIN(IF(ISBLANK(X103),W103,X103),IF(ISBLANK(W103),X103,W103)))</f>
        <v/>
      </c>
      <c r="AA103" s="57"/>
      <c r="AB103" s="57"/>
      <c r="AC103" s="59" t="str">
        <f>IF(MIN(IF(ISBLANK(Z103),AA103,Z103),IF(ISBLANK(AA103),Z103,AA103))=0,"",MIN(IF(ISBLANK(Z103),AA103,Z103),IF(ISBLANK(AA103),Z103,AA103)))</f>
        <v/>
      </c>
      <c r="AD103" s="57"/>
      <c r="AE103" s="57"/>
      <c r="AF103" s="59" t="str">
        <f>IF(MIN(IF(ISBLANK(AC103),AD103,AC103),IF(ISBLANK(AD103),AC103,AD103))=0,"",MIN(IF(ISBLANK(AC103),AD103,AC103),IF(ISBLANK(AD103),AC103,AD103)))</f>
        <v/>
      </c>
      <c r="AG103" s="57"/>
      <c r="AH103" s="57"/>
      <c r="AI103" s="59" t="str">
        <f>IF(MIN(IF(ISBLANK(AF103),AG103,AF103),IF(ISBLANK(AG103),AF103,AG103))=0,"",MIN(IF(ISBLANK(AF103),AG103,AF103),IF(ISBLANK(AG103),AF103,AG103)))</f>
        <v/>
      </c>
      <c r="AJ103" s="57"/>
      <c r="AK103" s="57"/>
      <c r="AL103" s="59" t="str">
        <f>IF(MIN(IF(ISBLANK(AI103),AJ103,AI103),IF(ISBLANK(AJ103),AI103,AJ103))=0,"",MIN(IF(ISBLANK(AI103),AJ103,AI103),IF(ISBLANK(AJ103),AI103,AJ103)))</f>
        <v/>
      </c>
      <c r="AM103" s="57"/>
      <c r="AN103" s="57"/>
      <c r="AO103" s="59" t="str">
        <f t="shared" si="39"/>
        <v/>
      </c>
      <c r="AP103" s="57"/>
      <c r="AQ103" s="59" t="str">
        <f t="shared" si="29"/>
        <v/>
      </c>
      <c r="AR103" s="57"/>
      <c r="AS103" s="57"/>
      <c r="AT103" s="59" t="str">
        <f t="shared" si="30"/>
        <v/>
      </c>
    </row>
    <row r="104" spans="1:46" ht="18.75" hidden="1" customHeight="1">
      <c r="A104" s="24"/>
      <c r="B104" s="26" t="s">
        <v>623</v>
      </c>
      <c r="C104" s="26"/>
      <c r="D104" s="50"/>
      <c r="E104" s="51"/>
      <c r="F104" s="50"/>
      <c r="G104" s="52"/>
      <c r="H104" s="50"/>
      <c r="I104" s="53"/>
      <c r="J104" s="50"/>
      <c r="K104" s="53"/>
      <c r="L104" s="50"/>
      <c r="M104" s="57"/>
      <c r="N104" s="55"/>
      <c r="O104" s="57"/>
      <c r="P104" s="57"/>
      <c r="Q104" s="59"/>
      <c r="R104" s="57"/>
      <c r="S104" s="57"/>
      <c r="T104" s="59"/>
      <c r="U104" s="57"/>
      <c r="V104" s="57"/>
      <c r="W104" s="59"/>
      <c r="X104" s="57"/>
      <c r="Y104" s="57"/>
      <c r="Z104" s="59" t="str">
        <f>IF(MIN(IF(ISBLANK(X104),W104,X104),IF(ISBLANK(W104),X104,W104))=0,"",MIN(IF(ISBLANK(X104),W104,X104),IF(ISBLANK(W104),X104,W104)))</f>
        <v/>
      </c>
      <c r="AA104" s="57"/>
      <c r="AB104" s="57"/>
      <c r="AC104" s="59" t="str">
        <f>IF(MIN(IF(ISBLANK(Z104),AA104,Z104),IF(ISBLANK(AA104),Z104,AA104))=0,"",MIN(IF(ISBLANK(Z104),AA104,Z104),IF(ISBLANK(AA104),Z104,AA104)))</f>
        <v/>
      </c>
      <c r="AD104" s="57"/>
      <c r="AE104" s="57"/>
      <c r="AF104" s="59" t="str">
        <f>IF(MIN(IF(ISBLANK(AC104),AD104,AC104),IF(ISBLANK(AD104),AC104,AD104))=0,"",MIN(IF(ISBLANK(AC104),AD104,AC104),IF(ISBLANK(AD104),AC104,AD104)))</f>
        <v/>
      </c>
      <c r="AG104" s="57"/>
      <c r="AH104" s="57"/>
      <c r="AI104" s="59" t="str">
        <f>IF(MIN(IF(ISBLANK(AF104),AG104,AF104),IF(ISBLANK(AG104),AF104,AG104))=0,"",MIN(IF(ISBLANK(AF104),AG104,AF104),IF(ISBLANK(AG104),AF104,AG104)))</f>
        <v/>
      </c>
      <c r="AJ104" s="57"/>
      <c r="AK104" s="57"/>
      <c r="AL104" s="59" t="str">
        <f>IF(MIN(IF(ISBLANK(AI104),AJ104,AI104),IF(ISBLANK(AJ104),AI104,AJ104))=0,"",MIN(IF(ISBLANK(AI104),AJ104,AI104),IF(ISBLANK(AJ104),AI104,AJ104)))</f>
        <v/>
      </c>
      <c r="AM104" s="57"/>
      <c r="AN104" s="57"/>
      <c r="AO104" s="59" t="str">
        <f t="shared" si="39"/>
        <v/>
      </c>
      <c r="AP104" s="57"/>
      <c r="AQ104" s="59" t="str">
        <f t="shared" si="29"/>
        <v/>
      </c>
      <c r="AR104" s="57"/>
      <c r="AS104" s="57"/>
      <c r="AT104" s="59" t="str">
        <f t="shared" si="30"/>
        <v/>
      </c>
    </row>
    <row r="105" spans="1:46" ht="18.75" hidden="1" customHeight="1">
      <c r="A105" s="24"/>
      <c r="B105" s="26" t="s">
        <v>815</v>
      </c>
      <c r="C105" s="26"/>
      <c r="D105" s="50"/>
      <c r="E105" s="51"/>
      <c r="F105" s="50"/>
      <c r="G105" s="52"/>
      <c r="H105" s="50"/>
      <c r="I105" s="53"/>
      <c r="J105" s="50"/>
      <c r="K105" s="53"/>
      <c r="L105" s="50"/>
      <c r="M105" s="57"/>
      <c r="N105" s="55"/>
      <c r="O105" s="57"/>
      <c r="P105" s="57"/>
      <c r="Q105" s="59"/>
      <c r="R105" s="57"/>
      <c r="S105" s="57"/>
      <c r="T105" s="59"/>
      <c r="U105" s="57"/>
      <c r="V105" s="57"/>
      <c r="W105" s="59"/>
      <c r="X105" s="57"/>
      <c r="Y105" s="57"/>
      <c r="Z105" s="59"/>
      <c r="AA105" s="57"/>
      <c r="AB105" s="57"/>
      <c r="AC105" s="59"/>
      <c r="AD105" s="57"/>
      <c r="AE105" s="57"/>
      <c r="AF105" s="59"/>
      <c r="AG105" s="57"/>
      <c r="AH105" s="57"/>
      <c r="AI105" s="59"/>
      <c r="AJ105" s="57"/>
      <c r="AK105" s="57"/>
      <c r="AL105" s="59"/>
      <c r="AM105" s="57">
        <v>7.1180555555555554E-3</v>
      </c>
      <c r="AN105" s="57"/>
      <c r="AO105" s="59">
        <f t="shared" si="39"/>
        <v>7.1180555555555554E-3</v>
      </c>
      <c r="AP105" s="57"/>
      <c r="AQ105" s="59">
        <f t="shared" si="29"/>
        <v>7.1180555555555554E-3</v>
      </c>
      <c r="AR105" s="57"/>
      <c r="AS105" s="57"/>
      <c r="AT105" s="59">
        <f t="shared" si="30"/>
        <v>7.1180555555555554E-3</v>
      </c>
    </row>
    <row r="106" spans="1:46" ht="18.75" hidden="1" customHeight="1">
      <c r="A106" s="24"/>
      <c r="B106" s="26" t="s">
        <v>575</v>
      </c>
      <c r="C106" s="26"/>
      <c r="D106" s="50"/>
      <c r="E106" s="51"/>
      <c r="F106" s="50"/>
      <c r="G106" s="52"/>
      <c r="H106" s="50"/>
      <c r="I106" s="53"/>
      <c r="J106" s="50"/>
      <c r="K106" s="53"/>
      <c r="L106" s="50"/>
      <c r="M106" s="57"/>
      <c r="N106" s="55"/>
      <c r="O106" s="57"/>
      <c r="P106" s="57"/>
      <c r="Q106" s="59"/>
      <c r="R106" s="57"/>
      <c r="S106" s="57"/>
      <c r="T106" s="59" t="str">
        <f>IF(MIN(IF(ISBLANK(R106),Q106,R106),IF(ISBLANK(Q106),R106,Q106))=0,"",MIN(IF(ISBLANK(R106),Q106,R106),IF(ISBLANK(Q106),R106,Q106)))</f>
        <v/>
      </c>
      <c r="U106" s="57"/>
      <c r="V106" s="57"/>
      <c r="W106" s="59" t="str">
        <f>IF(MIN(IF(ISBLANK(U106),T106,U106),IF(ISBLANK(T106),U106,T106))=0,"",MIN(IF(ISBLANK(U106),T106,U106),IF(ISBLANK(T106),U106,T106)))</f>
        <v/>
      </c>
      <c r="X106" s="57">
        <v>5.7523148148148143E-3</v>
      </c>
      <c r="Y106" s="57"/>
      <c r="Z106" s="59">
        <f>IF(MIN(IF(ISBLANK(X106),W106,X106),IF(ISBLANK(W106),X106,W106))=0,"",MIN(IF(ISBLANK(X106),W106,X106),IF(ISBLANK(W106),X106,W106)))</f>
        <v>5.7523148148148143E-3</v>
      </c>
      <c r="AA106" s="57"/>
      <c r="AB106" s="57"/>
      <c r="AC106" s="59">
        <f>IF(MIN(IF(ISBLANK(Z106),AA106,Z106),IF(ISBLANK(AA106),Z106,AA106))=0,"",MIN(IF(ISBLANK(Z106),AA106,Z106),IF(ISBLANK(AA106),Z106,AA106)))</f>
        <v>5.7523148148148143E-3</v>
      </c>
      <c r="AD106" s="57"/>
      <c r="AE106" s="57"/>
      <c r="AF106" s="59">
        <f>IF(MIN(IF(ISBLANK(AC106),AD106,AC106),IF(ISBLANK(AD106),AC106,AD106))=0,"",MIN(IF(ISBLANK(AC106),AD106,AC106),IF(ISBLANK(AD106),AC106,AD106)))</f>
        <v>5.7523148148148143E-3</v>
      </c>
      <c r="AG106" s="57"/>
      <c r="AH106" s="57"/>
      <c r="AI106" s="59">
        <f>IF(MIN(IF(ISBLANK(AF106),AG106,AF106),IF(ISBLANK(AG106),AF106,AG106))=0,"",MIN(IF(ISBLANK(AF106),AG106,AF106),IF(ISBLANK(AG106),AF106,AG106)))</f>
        <v>5.7523148148148143E-3</v>
      </c>
      <c r="AJ106" s="57"/>
      <c r="AK106" s="57"/>
      <c r="AL106" s="59">
        <f>IF(MIN(IF(ISBLANK(AI106),AJ106,AI106),IF(ISBLANK(AJ106),AI106,AJ106))=0,"",MIN(IF(ISBLANK(AI106),AJ106,AI106),IF(ISBLANK(AJ106),AI106,AJ106)))</f>
        <v>5.7523148148148143E-3</v>
      </c>
      <c r="AM106" s="57"/>
      <c r="AN106" s="57"/>
      <c r="AO106" s="59">
        <f t="shared" si="39"/>
        <v>5.7523148148148143E-3</v>
      </c>
      <c r="AP106" s="57"/>
      <c r="AQ106" s="59">
        <f t="shared" si="29"/>
        <v>5.7523148148148143E-3</v>
      </c>
      <c r="AR106" s="57"/>
      <c r="AS106" s="57"/>
      <c r="AT106" s="59">
        <f t="shared" si="30"/>
        <v>5.7523148148148143E-3</v>
      </c>
    </row>
    <row r="107" spans="1:46" ht="18.75" hidden="1" customHeight="1">
      <c r="A107" s="24"/>
      <c r="B107" s="26" t="s">
        <v>377</v>
      </c>
      <c r="C107" s="26" t="s">
        <v>443</v>
      </c>
      <c r="D107" s="50"/>
      <c r="E107" s="51"/>
      <c r="F107" s="50"/>
      <c r="G107" s="52"/>
      <c r="H107" s="50"/>
      <c r="I107" s="57">
        <v>5.3819444444444453E-3</v>
      </c>
      <c r="J107" s="55">
        <v>5.3819444444444453E-3</v>
      </c>
      <c r="K107" s="53"/>
      <c r="L107" s="55">
        <v>5.3819444444444453E-3</v>
      </c>
      <c r="M107" s="57"/>
      <c r="N107" s="55">
        <v>5.3819444444444453E-3</v>
      </c>
      <c r="O107" s="57"/>
      <c r="P107" s="57"/>
      <c r="Q107" s="59">
        <f>IF(MIN(IF(ISBLANK(O107),N107,O107),IF(ISBLANK(N107),O107,N107))=0,"",MIN(IF(ISBLANK(O107),N107,O107),IF(ISBLANK(N107),O107,N107)))</f>
        <v>5.3819444444444453E-3</v>
      </c>
      <c r="R107" s="57"/>
      <c r="S107" s="57"/>
      <c r="T107" s="59">
        <f>IF(MIN(IF(ISBLANK(R107),Q107,R107),IF(ISBLANK(Q107),R107,Q107))=0,"",MIN(IF(ISBLANK(R107),Q107,R107),IF(ISBLANK(Q107),R107,Q107)))</f>
        <v>5.3819444444444453E-3</v>
      </c>
      <c r="U107" s="57"/>
      <c r="V107" s="57"/>
      <c r="W107" s="59">
        <f>IF(MIN(IF(ISBLANK(U107),T107,U107),IF(ISBLANK(T107),U107,T107))=0,"",MIN(IF(ISBLANK(U107),T107,U107),IF(ISBLANK(T107),U107,T107)))</f>
        <v>5.3819444444444453E-3</v>
      </c>
      <c r="X107" s="57"/>
      <c r="Y107" s="57"/>
      <c r="Z107" s="59">
        <f>IF(MIN(IF(ISBLANK(X107),W107,X107),IF(ISBLANK(W107),X107,W107))=0,"",MIN(IF(ISBLANK(X107),W107,X107),IF(ISBLANK(W107),X107,W107)))</f>
        <v>5.3819444444444453E-3</v>
      </c>
      <c r="AA107" s="57"/>
      <c r="AB107" s="57"/>
      <c r="AC107" s="59">
        <f>IF(MIN(IF(ISBLANK(Z107),AA107,Z107),IF(ISBLANK(AA107),Z107,AA107))=0,"",MIN(IF(ISBLANK(Z107),AA107,Z107),IF(ISBLANK(AA107),Z107,AA107)))</f>
        <v>5.3819444444444453E-3</v>
      </c>
      <c r="AD107" s="57">
        <v>6.4699074074074069E-3</v>
      </c>
      <c r="AE107" s="57"/>
      <c r="AF107" s="59">
        <f>IF(MIN(IF(ISBLANK(AC107),AD107,AC107),IF(ISBLANK(AD107),AC107,AD107))=0,"",MIN(IF(ISBLANK(AC107),AD107,AC107),IF(ISBLANK(AD107),AC107,AD107)))</f>
        <v>5.3819444444444453E-3</v>
      </c>
      <c r="AG107" s="57"/>
      <c r="AH107" s="57"/>
      <c r="AI107" s="59">
        <f>IF(MIN(IF(ISBLANK(AF107),AG107,AF107),IF(ISBLANK(AG107),AF107,AG107))=0,"",MIN(IF(ISBLANK(AF107),AG107,AF107),IF(ISBLANK(AG107),AF107,AG107)))</f>
        <v>5.3819444444444453E-3</v>
      </c>
      <c r="AJ107" s="57"/>
      <c r="AK107" s="57"/>
      <c r="AL107" s="59">
        <f>IF(MIN(IF(ISBLANK(AI107),AJ107,AI107),IF(ISBLANK(AJ107),AI107,AJ107))=0,"",MIN(IF(ISBLANK(AI107),AJ107,AI107),IF(ISBLANK(AJ107),AI107,AJ107)))</f>
        <v>5.3819444444444453E-3</v>
      </c>
      <c r="AM107" s="57"/>
      <c r="AN107" s="57"/>
      <c r="AO107" s="59">
        <f t="shared" si="39"/>
        <v>5.3819444444444453E-3</v>
      </c>
      <c r="AP107" s="57"/>
      <c r="AQ107" s="59">
        <f t="shared" si="29"/>
        <v>5.3819444444444453E-3</v>
      </c>
      <c r="AR107" s="57"/>
      <c r="AS107" s="57"/>
      <c r="AT107" s="59">
        <f t="shared" si="30"/>
        <v>5.3819444444444453E-3</v>
      </c>
    </row>
    <row r="108" spans="1:46" ht="18.75" hidden="1" customHeight="1">
      <c r="A108" s="24"/>
      <c r="B108" s="26" t="s">
        <v>378</v>
      </c>
      <c r="C108" s="26" t="s">
        <v>443</v>
      </c>
      <c r="D108" s="50"/>
      <c r="E108" s="51"/>
      <c r="F108" s="50"/>
      <c r="G108" s="52"/>
      <c r="H108" s="50"/>
      <c r="I108" s="57">
        <v>4.6180555555555558E-3</v>
      </c>
      <c r="J108" s="55">
        <v>4.6180555555555558E-3</v>
      </c>
      <c r="K108" s="53"/>
      <c r="L108" s="55">
        <v>4.6180555555555558E-3</v>
      </c>
      <c r="M108" s="57"/>
      <c r="N108" s="55">
        <v>4.6180555555555558E-3</v>
      </c>
      <c r="O108" s="57"/>
      <c r="P108" s="57"/>
      <c r="Q108" s="59">
        <f>IF(MIN(IF(ISBLANK(O108),N108,O108),IF(ISBLANK(N108),O108,N108))=0,"",MIN(IF(ISBLANK(O108),N108,O108),IF(ISBLANK(N108),O108,N108)))</f>
        <v>4.6180555555555558E-3</v>
      </c>
      <c r="R108" s="57"/>
      <c r="S108" s="57"/>
      <c r="T108" s="59">
        <f>IF(MIN(IF(ISBLANK(R108),Q108,R108),IF(ISBLANK(Q108),R108,Q108))=0,"",MIN(IF(ISBLANK(R108),Q108,R108),IF(ISBLANK(Q108),R108,Q108)))</f>
        <v>4.6180555555555558E-3</v>
      </c>
      <c r="U108" s="57"/>
      <c r="V108" s="57"/>
      <c r="W108" s="59">
        <f>IF(MIN(IF(ISBLANK(U108),T108,U108),IF(ISBLANK(T108),U108,T108))=0,"",MIN(IF(ISBLANK(U108),T108,U108),IF(ISBLANK(T108),U108,T108)))</f>
        <v>4.6180555555555558E-3</v>
      </c>
      <c r="X108" s="57"/>
      <c r="Y108" s="57"/>
      <c r="Z108" s="59">
        <f>IF(MIN(IF(ISBLANK(X108),W108,X108),IF(ISBLANK(W108),X108,W108))=0,"",MIN(IF(ISBLANK(X108),W108,X108),IF(ISBLANK(W108),X108,W108)))</f>
        <v>4.6180555555555558E-3</v>
      </c>
      <c r="AA108" s="57"/>
      <c r="AB108" s="57"/>
      <c r="AC108" s="59">
        <f>IF(MIN(IF(ISBLANK(Z108),AA108,Z108),IF(ISBLANK(AA108),Z108,AA108))=0,"",MIN(IF(ISBLANK(Z108),AA108,Z108),IF(ISBLANK(AA108),Z108,AA108)))</f>
        <v>4.6180555555555558E-3</v>
      </c>
      <c r="AD108" s="57"/>
      <c r="AE108" s="57"/>
      <c r="AF108" s="59">
        <f>IF(MIN(IF(ISBLANK(AC108),AD108,AC108),IF(ISBLANK(AD108),AC108,AD108))=0,"",MIN(IF(ISBLANK(AC108),AD108,AC108),IF(ISBLANK(AD108),AC108,AD108)))</f>
        <v>4.6180555555555558E-3</v>
      </c>
      <c r="AG108" s="57"/>
      <c r="AH108" s="57"/>
      <c r="AI108" s="59">
        <f>IF(MIN(IF(ISBLANK(AF108),AG108,AF108),IF(ISBLANK(AG108),AF108,AG108))=0,"",MIN(IF(ISBLANK(AF108),AG108,AF108),IF(ISBLANK(AG108),AF108,AG108)))</f>
        <v>4.6180555555555558E-3</v>
      </c>
      <c r="AJ108" s="57"/>
      <c r="AK108" s="57"/>
      <c r="AL108" s="59">
        <f>IF(MIN(IF(ISBLANK(AI108),AJ108,AI108),IF(ISBLANK(AJ108),AI108,AJ108))=0,"",MIN(IF(ISBLANK(AI108),AJ108,AI108),IF(ISBLANK(AJ108),AI108,AJ108)))</f>
        <v>4.6180555555555558E-3</v>
      </c>
      <c r="AM108" s="57"/>
      <c r="AN108" s="57"/>
      <c r="AO108" s="59">
        <f t="shared" si="39"/>
        <v>4.6180555555555558E-3</v>
      </c>
      <c r="AP108" s="57"/>
      <c r="AQ108" s="59">
        <f t="shared" si="29"/>
        <v>4.6180555555555558E-3</v>
      </c>
      <c r="AR108" s="57"/>
      <c r="AS108" s="57"/>
      <c r="AT108" s="59">
        <f t="shared" si="30"/>
        <v>4.6180555555555558E-3</v>
      </c>
    </row>
    <row r="109" spans="1:46" ht="18.75" hidden="1" customHeight="1">
      <c r="A109" s="24"/>
      <c r="B109" s="26" t="s">
        <v>7</v>
      </c>
      <c r="C109" s="26"/>
      <c r="D109" s="55">
        <v>4.5370370370370365E-3</v>
      </c>
      <c r="E109" s="51"/>
      <c r="F109" s="55">
        <v>4.5370370370370365E-3</v>
      </c>
      <c r="G109" s="52"/>
      <c r="H109" s="55">
        <v>4.5370370370370365E-3</v>
      </c>
      <c r="I109" s="53"/>
      <c r="J109" s="55">
        <v>4.5370370370370365E-3</v>
      </c>
      <c r="K109" s="53"/>
      <c r="L109" s="55">
        <v>4.5370370370370365E-3</v>
      </c>
      <c r="M109" s="57"/>
      <c r="N109" s="55">
        <v>4.5370370370370365E-3</v>
      </c>
      <c r="O109" s="57"/>
      <c r="P109" s="57"/>
      <c r="Q109" s="59">
        <f>IF(MIN(IF(ISBLANK(O109),N109,O109),IF(ISBLANK(N109),O109,N109))=0,"",MIN(IF(ISBLANK(O109),N109,O109),IF(ISBLANK(N109),O109,N109)))</f>
        <v>4.5370370370370365E-3</v>
      </c>
      <c r="R109" s="57"/>
      <c r="S109" s="57"/>
      <c r="T109" s="59">
        <f>IF(MIN(IF(ISBLANK(R109),Q109,R109),IF(ISBLANK(Q109),R109,Q109))=0,"",MIN(IF(ISBLANK(R109),Q109,R109),IF(ISBLANK(Q109),R109,Q109)))</f>
        <v>4.5370370370370365E-3</v>
      </c>
      <c r="U109" s="57"/>
      <c r="V109" s="57"/>
      <c r="W109" s="59">
        <f>IF(MIN(IF(ISBLANK(U109),T109,U109),IF(ISBLANK(T109),U109,T109))=0,"",MIN(IF(ISBLANK(U109),T109,U109),IF(ISBLANK(T109),U109,T109)))</f>
        <v>4.5370370370370365E-3</v>
      </c>
      <c r="X109" s="57"/>
      <c r="Y109" s="57"/>
      <c r="Z109" s="59">
        <f>IF(MIN(IF(ISBLANK(X109),W109,X109),IF(ISBLANK(W109),X109,W109))=0,"",MIN(IF(ISBLANK(X109),W109,X109),IF(ISBLANK(W109),X109,W109)))</f>
        <v>4.5370370370370365E-3</v>
      </c>
      <c r="AA109" s="57"/>
      <c r="AB109" s="57"/>
      <c r="AC109" s="59">
        <f>IF(MIN(IF(ISBLANK(Z109),AA109,Z109),IF(ISBLANK(AA109),Z109,AA109))=0,"",MIN(IF(ISBLANK(Z109),AA109,Z109),IF(ISBLANK(AA109),Z109,AA109)))</f>
        <v>4.5370370370370365E-3</v>
      </c>
      <c r="AD109" s="57"/>
      <c r="AE109" s="57"/>
      <c r="AF109" s="59">
        <f>IF(MIN(IF(ISBLANK(AC109),AD109,AC109),IF(ISBLANK(AD109),AC109,AD109))=0,"",MIN(IF(ISBLANK(AC109),AD109,AC109),IF(ISBLANK(AD109),AC109,AD109)))</f>
        <v>4.5370370370370365E-3</v>
      </c>
      <c r="AG109" s="57"/>
      <c r="AH109" s="57"/>
      <c r="AI109" s="59">
        <f>IF(MIN(IF(ISBLANK(AF109),AG109,AF109),IF(ISBLANK(AG109),AF109,AG109))=0,"",MIN(IF(ISBLANK(AF109),AG109,AF109),IF(ISBLANK(AG109),AF109,AG109)))</f>
        <v>4.5370370370370365E-3</v>
      </c>
      <c r="AJ109" s="57"/>
      <c r="AK109" s="57"/>
      <c r="AL109" s="59">
        <f>IF(MIN(IF(ISBLANK(AI109),AJ109,AI109),IF(ISBLANK(AJ109),AI109,AJ109))=0,"",MIN(IF(ISBLANK(AI109),AJ109,AI109),IF(ISBLANK(AJ109),AI109,AJ109)))</f>
        <v>4.5370370370370365E-3</v>
      </c>
      <c r="AM109" s="57"/>
      <c r="AN109" s="57"/>
      <c r="AO109" s="59">
        <f t="shared" si="39"/>
        <v>4.5370370370370365E-3</v>
      </c>
      <c r="AP109" s="57"/>
      <c r="AQ109" s="59">
        <f t="shared" si="29"/>
        <v>4.5370370370370365E-3</v>
      </c>
      <c r="AR109" s="57"/>
      <c r="AS109" s="57"/>
      <c r="AT109" s="59">
        <f t="shared" si="30"/>
        <v>4.5370370370370365E-3</v>
      </c>
    </row>
    <row r="110" spans="1:46" ht="18.75" hidden="1" customHeight="1">
      <c r="A110" s="24"/>
      <c r="B110" s="26" t="s">
        <v>809</v>
      </c>
      <c r="C110" s="26"/>
      <c r="D110" s="55"/>
      <c r="E110" s="51"/>
      <c r="F110" s="55"/>
      <c r="G110" s="52"/>
      <c r="H110" s="55"/>
      <c r="I110" s="53"/>
      <c r="J110" s="55"/>
      <c r="K110" s="53"/>
      <c r="L110" s="55"/>
      <c r="M110" s="57"/>
      <c r="N110" s="55"/>
      <c r="O110" s="57"/>
      <c r="P110" s="57"/>
      <c r="Q110" s="59"/>
      <c r="R110" s="57"/>
      <c r="S110" s="57"/>
      <c r="T110" s="59"/>
      <c r="U110" s="57"/>
      <c r="V110" s="57"/>
      <c r="W110" s="59"/>
      <c r="X110" s="57"/>
      <c r="Y110" s="57"/>
      <c r="Z110" s="59"/>
      <c r="AA110" s="57"/>
      <c r="AB110" s="57"/>
      <c r="AC110" s="59"/>
      <c r="AD110" s="57"/>
      <c r="AE110" s="57"/>
      <c r="AF110" s="59"/>
      <c r="AG110" s="57"/>
      <c r="AH110" s="57"/>
      <c r="AI110" s="59"/>
      <c r="AJ110" s="57"/>
      <c r="AK110" s="57"/>
      <c r="AL110" s="59"/>
      <c r="AM110" s="57"/>
      <c r="AN110" s="57"/>
      <c r="AO110" s="59" t="str">
        <f t="shared" si="39"/>
        <v/>
      </c>
      <c r="AP110" s="57"/>
      <c r="AQ110" s="59" t="str">
        <f t="shared" si="29"/>
        <v/>
      </c>
      <c r="AR110" s="57"/>
      <c r="AS110" s="57"/>
      <c r="AT110" s="59" t="str">
        <f t="shared" si="30"/>
        <v/>
      </c>
    </row>
    <row r="111" spans="1:46" ht="18.75" hidden="1" customHeight="1">
      <c r="A111" s="24"/>
      <c r="B111" s="26" t="s">
        <v>555</v>
      </c>
      <c r="C111" s="26"/>
      <c r="D111" s="50"/>
      <c r="E111" s="51"/>
      <c r="F111" s="50"/>
      <c r="G111" s="52"/>
      <c r="H111" s="50"/>
      <c r="I111" s="53"/>
      <c r="J111" s="50"/>
      <c r="K111" s="53"/>
      <c r="L111" s="50"/>
      <c r="M111" s="57"/>
      <c r="N111" s="55" t="s">
        <v>448</v>
      </c>
      <c r="O111" s="57">
        <v>5.8101851851851856E-3</v>
      </c>
      <c r="P111" s="57"/>
      <c r="Q111" s="59">
        <f t="shared" ref="Q111:Q117" si="40">IF(MIN(IF(ISBLANK(O111),N111,O111),IF(ISBLANK(N111),O111,N111))=0,"",MIN(IF(ISBLANK(O111),N111,O111),IF(ISBLANK(N111),O111,N111)))</f>
        <v>5.8101851851851856E-3</v>
      </c>
      <c r="R111" s="57"/>
      <c r="S111" s="57"/>
      <c r="T111" s="59">
        <f t="shared" ref="T111:T117" si="41">IF(MIN(IF(ISBLANK(R111),Q111,R111),IF(ISBLANK(Q111),R111,Q111))=0,"",MIN(IF(ISBLANK(R111),Q111,R111),IF(ISBLANK(Q111),R111,Q111)))</f>
        <v>5.8101851851851856E-3</v>
      </c>
      <c r="U111" s="57"/>
      <c r="V111" s="57"/>
      <c r="W111" s="59">
        <f t="shared" ref="W111:W117" si="42">IF(MIN(IF(ISBLANK(U111),T111,U111),IF(ISBLANK(T111),U111,T111))=0,"",MIN(IF(ISBLANK(U111),T111,U111),IF(ISBLANK(T111),U111,T111)))</f>
        <v>5.8101851851851856E-3</v>
      </c>
      <c r="X111" s="57"/>
      <c r="Y111" s="57"/>
      <c r="Z111" s="59">
        <f t="shared" ref="Z111:Z125" si="43">IF(MIN(IF(ISBLANK(X111),W111,X111),IF(ISBLANK(W111),X111,W111))=0,"",MIN(IF(ISBLANK(X111),W111,X111),IF(ISBLANK(W111),X111,W111)))</f>
        <v>5.8101851851851856E-3</v>
      </c>
      <c r="AA111" s="57"/>
      <c r="AB111" s="57"/>
      <c r="AC111" s="59">
        <f t="shared" ref="AC111:AC125" si="44">IF(MIN(IF(ISBLANK(Z111),AA111,Z111),IF(ISBLANK(AA111),Z111,AA111))=0,"",MIN(IF(ISBLANK(Z111),AA111,Z111),IF(ISBLANK(AA111),Z111,AA111)))</f>
        <v>5.8101851851851856E-3</v>
      </c>
      <c r="AD111" s="57"/>
      <c r="AE111" s="57"/>
      <c r="AF111" s="59">
        <f t="shared" ref="AF111:AF125" si="45">IF(MIN(IF(ISBLANK(AC111),AD111,AC111),IF(ISBLANK(AD111),AC111,AD111))=0,"",MIN(IF(ISBLANK(AC111),AD111,AC111),IF(ISBLANK(AD111),AC111,AD111)))</f>
        <v>5.8101851851851856E-3</v>
      </c>
      <c r="AG111" s="57"/>
      <c r="AH111" s="57"/>
      <c r="AI111" s="59">
        <f t="shared" ref="AI111:AI125" si="46">IF(MIN(IF(ISBLANK(AF111),AG111,AF111),IF(ISBLANK(AG111),AF111,AG111))=0,"",MIN(IF(ISBLANK(AF111),AG111,AF111),IF(ISBLANK(AG111),AF111,AG111)))</f>
        <v>5.8101851851851856E-3</v>
      </c>
      <c r="AJ111" s="57"/>
      <c r="AK111" s="57"/>
      <c r="AL111" s="59">
        <f t="shared" ref="AL111:AL125" si="47">IF(MIN(IF(ISBLANK(AI111),AJ111,AI111),IF(ISBLANK(AJ111),AI111,AJ111))=0,"",MIN(IF(ISBLANK(AI111),AJ111,AI111),IF(ISBLANK(AJ111),AI111,AJ111)))</f>
        <v>5.8101851851851856E-3</v>
      </c>
      <c r="AM111" s="57"/>
      <c r="AN111" s="57"/>
      <c r="AO111" s="59">
        <f t="shared" si="39"/>
        <v>5.8101851851851856E-3</v>
      </c>
      <c r="AP111" s="57"/>
      <c r="AQ111" s="59">
        <f t="shared" si="29"/>
        <v>5.8101851851851856E-3</v>
      </c>
      <c r="AR111" s="57"/>
      <c r="AS111" s="57"/>
      <c r="AT111" s="59">
        <f t="shared" si="30"/>
        <v>5.8101851851851856E-3</v>
      </c>
    </row>
    <row r="112" spans="1:46" ht="18.75" hidden="1" customHeight="1">
      <c r="A112" s="24"/>
      <c r="B112" s="26" t="s">
        <v>456</v>
      </c>
      <c r="C112" s="26" t="s">
        <v>444</v>
      </c>
      <c r="D112" s="50"/>
      <c r="E112" s="51"/>
      <c r="F112" s="50"/>
      <c r="G112" s="52"/>
      <c r="H112" s="50"/>
      <c r="I112" s="53"/>
      <c r="J112" s="50"/>
      <c r="K112" s="53"/>
      <c r="L112" s="50"/>
      <c r="M112" s="57"/>
      <c r="N112" s="55" t="s">
        <v>448</v>
      </c>
      <c r="O112" s="57"/>
      <c r="P112" s="57"/>
      <c r="Q112" s="59" t="str">
        <f t="shared" si="40"/>
        <v/>
      </c>
      <c r="R112" s="57"/>
      <c r="S112" s="57"/>
      <c r="T112" s="59" t="str">
        <f t="shared" si="41"/>
        <v/>
      </c>
      <c r="U112" s="57"/>
      <c r="V112" s="57"/>
      <c r="W112" s="59" t="str">
        <f t="shared" si="42"/>
        <v/>
      </c>
      <c r="X112" s="57"/>
      <c r="Y112" s="57"/>
      <c r="Z112" s="59" t="str">
        <f t="shared" si="43"/>
        <v/>
      </c>
      <c r="AA112" s="57"/>
      <c r="AB112" s="57"/>
      <c r="AC112" s="59" t="str">
        <f t="shared" si="44"/>
        <v/>
      </c>
      <c r="AD112" s="57"/>
      <c r="AE112" s="57"/>
      <c r="AF112" s="59" t="str">
        <f t="shared" si="45"/>
        <v/>
      </c>
      <c r="AG112" s="57"/>
      <c r="AH112" s="57"/>
      <c r="AI112" s="59" t="str">
        <f t="shared" si="46"/>
        <v/>
      </c>
      <c r="AJ112" s="57"/>
      <c r="AK112" s="57"/>
      <c r="AL112" s="59" t="str">
        <f t="shared" si="47"/>
        <v/>
      </c>
      <c r="AM112" s="57"/>
      <c r="AN112" s="57"/>
      <c r="AO112" s="59" t="str">
        <f t="shared" si="39"/>
        <v/>
      </c>
      <c r="AP112" s="57"/>
      <c r="AQ112" s="59" t="str">
        <f t="shared" si="29"/>
        <v/>
      </c>
      <c r="AR112" s="57"/>
      <c r="AS112" s="57"/>
      <c r="AT112" s="59" t="str">
        <f t="shared" si="30"/>
        <v/>
      </c>
    </row>
    <row r="113" spans="1:46" ht="18.75" hidden="1" customHeight="1">
      <c r="A113" s="24"/>
      <c r="B113" s="26" t="s">
        <v>379</v>
      </c>
      <c r="C113" s="26" t="s">
        <v>443</v>
      </c>
      <c r="D113" s="50"/>
      <c r="E113" s="51"/>
      <c r="F113" s="50"/>
      <c r="G113" s="52"/>
      <c r="H113" s="50"/>
      <c r="I113" s="53"/>
      <c r="J113" s="50" t="s">
        <v>448</v>
      </c>
      <c r="K113" s="53"/>
      <c r="L113" s="50"/>
      <c r="M113" s="57"/>
      <c r="N113" s="55" t="s">
        <v>448</v>
      </c>
      <c r="O113" s="57"/>
      <c r="P113" s="57"/>
      <c r="Q113" s="59" t="str">
        <f t="shared" si="40"/>
        <v/>
      </c>
      <c r="R113" s="57"/>
      <c r="S113" s="57"/>
      <c r="T113" s="59" t="str">
        <f t="shared" si="41"/>
        <v/>
      </c>
      <c r="U113" s="57"/>
      <c r="V113" s="57"/>
      <c r="W113" s="59" t="str">
        <f t="shared" si="42"/>
        <v/>
      </c>
      <c r="X113" s="57"/>
      <c r="Y113" s="57"/>
      <c r="Z113" s="59" t="str">
        <f t="shared" si="43"/>
        <v/>
      </c>
      <c r="AA113" s="57"/>
      <c r="AB113" s="57"/>
      <c r="AC113" s="59" t="str">
        <f t="shared" si="44"/>
        <v/>
      </c>
      <c r="AD113" s="57"/>
      <c r="AE113" s="57"/>
      <c r="AF113" s="59" t="str">
        <f t="shared" si="45"/>
        <v/>
      </c>
      <c r="AG113" s="57"/>
      <c r="AH113" s="57"/>
      <c r="AI113" s="59" t="str">
        <f t="shared" si="46"/>
        <v/>
      </c>
      <c r="AJ113" s="57"/>
      <c r="AK113" s="57"/>
      <c r="AL113" s="59" t="str">
        <f t="shared" si="47"/>
        <v/>
      </c>
      <c r="AM113" s="57"/>
      <c r="AN113" s="57"/>
      <c r="AO113" s="59" t="str">
        <f t="shared" si="39"/>
        <v/>
      </c>
      <c r="AP113" s="57"/>
      <c r="AQ113" s="59" t="str">
        <f t="shared" si="29"/>
        <v/>
      </c>
      <c r="AR113" s="57"/>
      <c r="AS113" s="57"/>
      <c r="AT113" s="59" t="str">
        <f t="shared" si="30"/>
        <v/>
      </c>
    </row>
    <row r="114" spans="1:46" ht="18.75" hidden="1" customHeight="1">
      <c r="A114" s="24"/>
      <c r="B114" s="26" t="s">
        <v>13</v>
      </c>
      <c r="C114" s="26" t="s">
        <v>443</v>
      </c>
      <c r="D114" s="55">
        <v>4.8495370370370368E-3</v>
      </c>
      <c r="E114" s="51"/>
      <c r="F114" s="55">
        <v>4.8495370370370368E-3</v>
      </c>
      <c r="G114" s="52"/>
      <c r="H114" s="55">
        <v>4.8495370370370368E-3</v>
      </c>
      <c r="I114" s="53"/>
      <c r="J114" s="55">
        <v>4.8495370370370368E-3</v>
      </c>
      <c r="K114" s="53"/>
      <c r="L114" s="55">
        <v>4.8495370370370368E-3</v>
      </c>
      <c r="M114" s="57"/>
      <c r="N114" s="55">
        <v>4.8495370370370368E-3</v>
      </c>
      <c r="O114" s="57"/>
      <c r="P114" s="57"/>
      <c r="Q114" s="59">
        <f t="shared" si="40"/>
        <v>4.8495370370370368E-3</v>
      </c>
      <c r="R114" s="57"/>
      <c r="S114" s="57"/>
      <c r="T114" s="59">
        <f t="shared" si="41"/>
        <v>4.8495370370370368E-3</v>
      </c>
      <c r="U114" s="57"/>
      <c r="V114" s="57"/>
      <c r="W114" s="59">
        <f t="shared" si="42"/>
        <v>4.8495370370370368E-3</v>
      </c>
      <c r="X114" s="57"/>
      <c r="Y114" s="57"/>
      <c r="Z114" s="59">
        <f t="shared" si="43"/>
        <v>4.8495370370370368E-3</v>
      </c>
      <c r="AA114" s="57"/>
      <c r="AB114" s="57"/>
      <c r="AC114" s="59">
        <f t="shared" si="44"/>
        <v>4.8495370370370368E-3</v>
      </c>
      <c r="AD114" s="57"/>
      <c r="AE114" s="57"/>
      <c r="AF114" s="59">
        <f t="shared" si="45"/>
        <v>4.8495370370370368E-3</v>
      </c>
      <c r="AG114" s="57"/>
      <c r="AH114" s="57"/>
      <c r="AI114" s="59">
        <f t="shared" si="46"/>
        <v>4.8495370370370368E-3</v>
      </c>
      <c r="AJ114" s="57"/>
      <c r="AK114" s="57"/>
      <c r="AL114" s="59">
        <f t="shared" si="47"/>
        <v>4.8495370370370368E-3</v>
      </c>
      <c r="AM114" s="57"/>
      <c r="AN114" s="57"/>
      <c r="AO114" s="59">
        <f t="shared" si="39"/>
        <v>4.8495370370370368E-3</v>
      </c>
      <c r="AP114" s="57"/>
      <c r="AQ114" s="59">
        <f t="shared" si="29"/>
        <v>4.8495370370370368E-3</v>
      </c>
      <c r="AR114" s="57"/>
      <c r="AS114" s="57"/>
      <c r="AT114" s="59">
        <f t="shared" si="30"/>
        <v>4.8495370370370368E-3</v>
      </c>
    </row>
    <row r="115" spans="1:46" ht="18.75" hidden="1" customHeight="1">
      <c r="A115" s="24"/>
      <c r="B115" s="26" t="s">
        <v>380</v>
      </c>
      <c r="C115" s="26" t="s">
        <v>443</v>
      </c>
      <c r="D115" s="50"/>
      <c r="E115" s="51"/>
      <c r="F115" s="50"/>
      <c r="G115" s="52"/>
      <c r="H115" s="50"/>
      <c r="I115" s="53"/>
      <c r="J115" s="50" t="s">
        <v>448</v>
      </c>
      <c r="K115" s="57">
        <v>7.5347222222222213E-3</v>
      </c>
      <c r="L115" s="55">
        <v>7.5347222222222213E-3</v>
      </c>
      <c r="M115" s="57"/>
      <c r="N115" s="55">
        <v>7.5347222222222213E-3</v>
      </c>
      <c r="O115" s="57"/>
      <c r="P115" s="57"/>
      <c r="Q115" s="59">
        <f t="shared" si="40"/>
        <v>7.5347222222222213E-3</v>
      </c>
      <c r="R115" s="57"/>
      <c r="S115" s="57"/>
      <c r="T115" s="59">
        <f t="shared" si="41"/>
        <v>7.5347222222222213E-3</v>
      </c>
      <c r="U115" s="57"/>
      <c r="V115" s="57"/>
      <c r="W115" s="59">
        <f t="shared" si="42"/>
        <v>7.5347222222222213E-3</v>
      </c>
      <c r="X115" s="57"/>
      <c r="Y115" s="57"/>
      <c r="Z115" s="59">
        <f t="shared" si="43"/>
        <v>7.5347222222222213E-3</v>
      </c>
      <c r="AA115" s="57"/>
      <c r="AB115" s="57"/>
      <c r="AC115" s="59">
        <f t="shared" si="44"/>
        <v>7.5347222222222213E-3</v>
      </c>
      <c r="AD115" s="57"/>
      <c r="AE115" s="57"/>
      <c r="AF115" s="59">
        <f t="shared" si="45"/>
        <v>7.5347222222222213E-3</v>
      </c>
      <c r="AG115" s="57"/>
      <c r="AH115" s="57"/>
      <c r="AI115" s="59">
        <f t="shared" si="46"/>
        <v>7.5347222222222213E-3</v>
      </c>
      <c r="AJ115" s="57"/>
      <c r="AK115" s="57"/>
      <c r="AL115" s="59">
        <f t="shared" si="47"/>
        <v>7.5347222222222213E-3</v>
      </c>
      <c r="AM115" s="57"/>
      <c r="AN115" s="57"/>
      <c r="AO115" s="59">
        <f t="shared" si="39"/>
        <v>7.5347222222222213E-3</v>
      </c>
      <c r="AP115" s="57"/>
      <c r="AQ115" s="59">
        <f t="shared" si="29"/>
        <v>7.5347222222222213E-3</v>
      </c>
      <c r="AR115" s="57"/>
      <c r="AS115" s="57"/>
      <c r="AT115" s="59">
        <f t="shared" si="30"/>
        <v>7.5347222222222213E-3</v>
      </c>
    </row>
    <row r="116" spans="1:46" ht="18.75" hidden="1" customHeight="1">
      <c r="A116" s="24"/>
      <c r="B116" s="26" t="s">
        <v>20</v>
      </c>
      <c r="C116" s="26"/>
      <c r="D116" s="55">
        <v>6.9791666666666674E-3</v>
      </c>
      <c r="E116" s="51"/>
      <c r="F116" s="55">
        <v>6.9791666666666674E-3</v>
      </c>
      <c r="G116" s="52"/>
      <c r="H116" s="55">
        <v>6.9791666666666674E-3</v>
      </c>
      <c r="I116" s="53"/>
      <c r="J116" s="55">
        <v>6.9791666666666674E-3</v>
      </c>
      <c r="K116" s="53"/>
      <c r="L116" s="55">
        <v>6.9791666666666674E-3</v>
      </c>
      <c r="M116" s="57"/>
      <c r="N116" s="55">
        <v>6.9791666666666674E-3</v>
      </c>
      <c r="O116" s="57"/>
      <c r="P116" s="57"/>
      <c r="Q116" s="59">
        <f t="shared" si="40"/>
        <v>6.9791666666666674E-3</v>
      </c>
      <c r="R116" s="57"/>
      <c r="S116" s="57"/>
      <c r="T116" s="59">
        <f t="shared" si="41"/>
        <v>6.9791666666666674E-3</v>
      </c>
      <c r="U116" s="57"/>
      <c r="V116" s="57"/>
      <c r="W116" s="59">
        <f t="shared" si="42"/>
        <v>6.9791666666666674E-3</v>
      </c>
      <c r="X116" s="57"/>
      <c r="Y116" s="57"/>
      <c r="Z116" s="59">
        <f t="shared" si="43"/>
        <v>6.9791666666666674E-3</v>
      </c>
      <c r="AA116" s="57"/>
      <c r="AB116" s="57"/>
      <c r="AC116" s="59">
        <f t="shared" si="44"/>
        <v>6.9791666666666674E-3</v>
      </c>
      <c r="AD116" s="57"/>
      <c r="AE116" s="57"/>
      <c r="AF116" s="59">
        <f t="shared" si="45"/>
        <v>6.9791666666666674E-3</v>
      </c>
      <c r="AG116" s="57"/>
      <c r="AH116" s="57"/>
      <c r="AI116" s="59">
        <f t="shared" si="46"/>
        <v>6.9791666666666674E-3</v>
      </c>
      <c r="AJ116" s="57"/>
      <c r="AK116" s="57"/>
      <c r="AL116" s="59">
        <f t="shared" si="47"/>
        <v>6.9791666666666674E-3</v>
      </c>
      <c r="AM116" s="57"/>
      <c r="AN116" s="57"/>
      <c r="AO116" s="59">
        <f t="shared" si="39"/>
        <v>6.9791666666666674E-3</v>
      </c>
      <c r="AP116" s="57"/>
      <c r="AQ116" s="59">
        <f t="shared" si="29"/>
        <v>6.9791666666666674E-3</v>
      </c>
      <c r="AR116" s="57"/>
      <c r="AS116" s="57"/>
      <c r="AT116" s="59">
        <f t="shared" si="30"/>
        <v>6.9791666666666674E-3</v>
      </c>
    </row>
    <row r="117" spans="1:46" ht="18.75" hidden="1" customHeight="1">
      <c r="A117" s="24"/>
      <c r="B117" s="26" t="s">
        <v>234</v>
      </c>
      <c r="C117" s="26" t="s">
        <v>444</v>
      </c>
      <c r="D117" s="50"/>
      <c r="E117" s="51"/>
      <c r="F117" s="50" t="s">
        <v>448</v>
      </c>
      <c r="G117" s="52"/>
      <c r="H117" s="50"/>
      <c r="I117" s="53"/>
      <c r="J117" s="50" t="s">
        <v>448</v>
      </c>
      <c r="K117" s="53"/>
      <c r="L117" s="50"/>
      <c r="M117" s="57"/>
      <c r="N117" s="55" t="s">
        <v>448</v>
      </c>
      <c r="O117" s="57"/>
      <c r="P117" s="57"/>
      <c r="Q117" s="59" t="str">
        <f t="shared" si="40"/>
        <v/>
      </c>
      <c r="R117" s="57"/>
      <c r="S117" s="57"/>
      <c r="T117" s="59" t="str">
        <f t="shared" si="41"/>
        <v/>
      </c>
      <c r="U117" s="57"/>
      <c r="V117" s="57"/>
      <c r="W117" s="59" t="str">
        <f t="shared" si="42"/>
        <v/>
      </c>
      <c r="X117" s="57"/>
      <c r="Y117" s="57"/>
      <c r="Z117" s="59" t="str">
        <f t="shared" si="43"/>
        <v/>
      </c>
      <c r="AA117" s="57"/>
      <c r="AB117" s="57"/>
      <c r="AC117" s="59" t="str">
        <f t="shared" si="44"/>
        <v/>
      </c>
      <c r="AD117" s="57"/>
      <c r="AE117" s="57"/>
      <c r="AF117" s="59" t="str">
        <f t="shared" si="45"/>
        <v/>
      </c>
      <c r="AG117" s="57"/>
      <c r="AH117" s="57"/>
      <c r="AI117" s="59" t="str">
        <f t="shared" si="46"/>
        <v/>
      </c>
      <c r="AJ117" s="57"/>
      <c r="AK117" s="57"/>
      <c r="AL117" s="59" t="str">
        <f t="shared" si="47"/>
        <v/>
      </c>
      <c r="AM117" s="57"/>
      <c r="AN117" s="57"/>
      <c r="AO117" s="59" t="str">
        <f t="shared" si="39"/>
        <v/>
      </c>
      <c r="AP117" s="57"/>
      <c r="AQ117" s="59" t="str">
        <f t="shared" si="29"/>
        <v/>
      </c>
      <c r="AR117" s="57"/>
      <c r="AS117" s="57"/>
      <c r="AT117" s="59" t="str">
        <f t="shared" si="30"/>
        <v/>
      </c>
    </row>
    <row r="118" spans="1:46" ht="18.75" hidden="1" customHeight="1">
      <c r="A118" s="24"/>
      <c r="B118" s="26" t="s">
        <v>689</v>
      </c>
      <c r="C118" s="26"/>
      <c r="D118" s="50"/>
      <c r="E118" s="51"/>
      <c r="F118" s="50"/>
      <c r="G118" s="52"/>
      <c r="H118" s="50"/>
      <c r="I118" s="53"/>
      <c r="J118" s="50"/>
      <c r="K118" s="54"/>
      <c r="L118" s="50"/>
      <c r="M118" s="56"/>
      <c r="N118" s="55"/>
      <c r="O118" s="56"/>
      <c r="P118" s="56"/>
      <c r="Q118" s="59"/>
      <c r="R118" s="56"/>
      <c r="S118" s="56"/>
      <c r="T118" s="59"/>
      <c r="U118" s="56"/>
      <c r="V118" s="56"/>
      <c r="W118" s="59"/>
      <c r="X118" s="56"/>
      <c r="Y118" s="56"/>
      <c r="Z118" s="59" t="str">
        <f t="shared" si="43"/>
        <v/>
      </c>
      <c r="AA118" s="56"/>
      <c r="AB118" s="56"/>
      <c r="AC118" s="59" t="str">
        <f t="shared" si="44"/>
        <v/>
      </c>
      <c r="AD118" s="56"/>
      <c r="AE118" s="56"/>
      <c r="AF118" s="59" t="str">
        <f t="shared" si="45"/>
        <v/>
      </c>
      <c r="AG118" s="56"/>
      <c r="AH118" s="56"/>
      <c r="AI118" s="59" t="str">
        <f t="shared" si="46"/>
        <v/>
      </c>
      <c r="AJ118" s="56"/>
      <c r="AK118" s="56"/>
      <c r="AL118" s="59" t="str">
        <f t="shared" si="47"/>
        <v/>
      </c>
      <c r="AM118" s="56"/>
      <c r="AN118" s="56"/>
      <c r="AO118" s="59" t="str">
        <f t="shared" si="39"/>
        <v/>
      </c>
      <c r="AP118" s="56"/>
      <c r="AQ118" s="59" t="str">
        <f t="shared" si="29"/>
        <v/>
      </c>
      <c r="AR118" s="56"/>
      <c r="AS118" s="56"/>
      <c r="AT118" s="59" t="str">
        <f t="shared" si="30"/>
        <v/>
      </c>
    </row>
    <row r="119" spans="1:46" ht="18.75" hidden="1" customHeight="1">
      <c r="A119" s="24"/>
      <c r="B119" s="26" t="s">
        <v>25</v>
      </c>
      <c r="C119" s="26" t="s">
        <v>444</v>
      </c>
      <c r="D119" s="50"/>
      <c r="E119" s="51"/>
      <c r="F119" s="50" t="s">
        <v>448</v>
      </c>
      <c r="G119" s="52"/>
      <c r="H119" s="50"/>
      <c r="I119" s="53"/>
      <c r="J119" s="50" t="s">
        <v>448</v>
      </c>
      <c r="K119" s="53"/>
      <c r="L119" s="50"/>
      <c r="M119" s="57"/>
      <c r="N119" s="55" t="s">
        <v>448</v>
      </c>
      <c r="O119" s="57"/>
      <c r="P119" s="57"/>
      <c r="Q119" s="59" t="str">
        <f>IF(MIN(IF(ISBLANK(O119),N119,O119),IF(ISBLANK(N119),O119,N119))=0,"",MIN(IF(ISBLANK(O119),N119,O119),IF(ISBLANK(N119),O119,N119)))</f>
        <v/>
      </c>
      <c r="R119" s="57"/>
      <c r="S119" s="57"/>
      <c r="T119" s="59" t="str">
        <f>IF(MIN(IF(ISBLANK(R119),Q119,R119),IF(ISBLANK(Q119),R119,Q119))=0,"",MIN(IF(ISBLANK(R119),Q119,R119),IF(ISBLANK(Q119),R119,Q119)))</f>
        <v/>
      </c>
      <c r="U119" s="57"/>
      <c r="V119" s="57"/>
      <c r="W119" s="59" t="str">
        <f t="shared" ref="W119:W125" si="48">IF(MIN(IF(ISBLANK(U119),T119,U119),IF(ISBLANK(T119),U119,T119))=0,"",MIN(IF(ISBLANK(U119),T119,U119),IF(ISBLANK(T119),U119,T119)))</f>
        <v/>
      </c>
      <c r="X119" s="57"/>
      <c r="Y119" s="57"/>
      <c r="Z119" s="59" t="str">
        <f t="shared" si="43"/>
        <v/>
      </c>
      <c r="AA119" s="57"/>
      <c r="AB119" s="57"/>
      <c r="AC119" s="59" t="str">
        <f t="shared" si="44"/>
        <v/>
      </c>
      <c r="AD119" s="57"/>
      <c r="AE119" s="57"/>
      <c r="AF119" s="59" t="str">
        <f t="shared" si="45"/>
        <v/>
      </c>
      <c r="AG119" s="57"/>
      <c r="AH119" s="57"/>
      <c r="AI119" s="59" t="str">
        <f t="shared" si="46"/>
        <v/>
      </c>
      <c r="AJ119" s="57"/>
      <c r="AK119" s="57"/>
      <c r="AL119" s="59" t="str">
        <f t="shared" si="47"/>
        <v/>
      </c>
      <c r="AM119" s="57"/>
      <c r="AN119" s="57"/>
      <c r="AO119" s="59" t="str">
        <f t="shared" si="39"/>
        <v/>
      </c>
      <c r="AP119" s="57"/>
      <c r="AQ119" s="59" t="str">
        <f t="shared" si="29"/>
        <v/>
      </c>
      <c r="AR119" s="57"/>
      <c r="AS119" s="57"/>
      <c r="AT119" s="59" t="str">
        <f t="shared" si="30"/>
        <v/>
      </c>
    </row>
    <row r="120" spans="1:46" ht="18.75" hidden="1" customHeight="1">
      <c r="A120" s="24"/>
      <c r="B120" s="26" t="s">
        <v>29</v>
      </c>
      <c r="C120" s="26" t="s">
        <v>444</v>
      </c>
      <c r="D120" s="50"/>
      <c r="E120" s="51"/>
      <c r="F120" s="50" t="s">
        <v>448</v>
      </c>
      <c r="G120" s="52"/>
      <c r="H120" s="50"/>
      <c r="I120" s="53"/>
      <c r="J120" s="50" t="s">
        <v>448</v>
      </c>
      <c r="K120" s="53"/>
      <c r="L120" s="50"/>
      <c r="M120" s="57"/>
      <c r="N120" s="55" t="s">
        <v>448</v>
      </c>
      <c r="O120" s="57"/>
      <c r="P120" s="57"/>
      <c r="Q120" s="59" t="str">
        <f>IF(MIN(IF(ISBLANK(O120),N120,O120),IF(ISBLANK(N120),O120,N120))=0,"",MIN(IF(ISBLANK(O120),N120,O120),IF(ISBLANK(N120),O120,N120)))</f>
        <v/>
      </c>
      <c r="R120" s="57"/>
      <c r="S120" s="57"/>
      <c r="T120" s="59" t="str">
        <f>IF(MIN(IF(ISBLANK(R120),Q120,R120),IF(ISBLANK(Q120),R120,Q120))=0,"",MIN(IF(ISBLANK(R120),Q120,R120),IF(ISBLANK(Q120),R120,Q120)))</f>
        <v/>
      </c>
      <c r="U120" s="57"/>
      <c r="V120" s="57"/>
      <c r="W120" s="59" t="str">
        <f t="shared" si="48"/>
        <v/>
      </c>
      <c r="X120" s="57"/>
      <c r="Y120" s="57"/>
      <c r="Z120" s="59" t="str">
        <f t="shared" si="43"/>
        <v/>
      </c>
      <c r="AA120" s="57"/>
      <c r="AB120" s="57"/>
      <c r="AC120" s="59" t="str">
        <f t="shared" si="44"/>
        <v/>
      </c>
      <c r="AD120" s="57"/>
      <c r="AE120" s="57"/>
      <c r="AF120" s="59" t="str">
        <f t="shared" si="45"/>
        <v/>
      </c>
      <c r="AG120" s="57"/>
      <c r="AH120" s="57"/>
      <c r="AI120" s="59" t="str">
        <f t="shared" si="46"/>
        <v/>
      </c>
      <c r="AJ120" s="57"/>
      <c r="AK120" s="57"/>
      <c r="AL120" s="59" t="str">
        <f t="shared" si="47"/>
        <v/>
      </c>
      <c r="AM120" s="57"/>
      <c r="AN120" s="57"/>
      <c r="AO120" s="59" t="str">
        <f t="shared" si="39"/>
        <v/>
      </c>
      <c r="AP120" s="57"/>
      <c r="AQ120" s="59" t="str">
        <f t="shared" si="29"/>
        <v/>
      </c>
      <c r="AR120" s="57"/>
      <c r="AS120" s="57"/>
      <c r="AT120" s="59" t="str">
        <f t="shared" si="30"/>
        <v/>
      </c>
    </row>
    <row r="121" spans="1:46" ht="18.75" hidden="1" customHeight="1">
      <c r="A121" s="24"/>
      <c r="B121" s="26" t="s">
        <v>612</v>
      </c>
      <c r="C121" s="26"/>
      <c r="D121" s="50"/>
      <c r="E121" s="51"/>
      <c r="F121" s="50"/>
      <c r="G121" s="52"/>
      <c r="H121" s="50"/>
      <c r="I121" s="53"/>
      <c r="J121" s="50"/>
      <c r="K121" s="53"/>
      <c r="L121" s="50"/>
      <c r="M121" s="57"/>
      <c r="N121" s="55"/>
      <c r="O121" s="57"/>
      <c r="P121" s="57"/>
      <c r="Q121" s="59"/>
      <c r="R121" s="57"/>
      <c r="S121" s="57"/>
      <c r="T121" s="59"/>
      <c r="U121" s="57"/>
      <c r="V121" s="57"/>
      <c r="W121" s="59" t="str">
        <f t="shared" si="48"/>
        <v/>
      </c>
      <c r="X121" s="57"/>
      <c r="Y121" s="57"/>
      <c r="Z121" s="59" t="str">
        <f t="shared" si="43"/>
        <v/>
      </c>
      <c r="AA121" s="57"/>
      <c r="AB121" s="57"/>
      <c r="AC121" s="59" t="str">
        <f t="shared" si="44"/>
        <v/>
      </c>
      <c r="AD121" s="57"/>
      <c r="AE121" s="57"/>
      <c r="AF121" s="59" t="str">
        <f t="shared" si="45"/>
        <v/>
      </c>
      <c r="AG121" s="57"/>
      <c r="AH121" s="57"/>
      <c r="AI121" s="59" t="str">
        <f t="shared" si="46"/>
        <v/>
      </c>
      <c r="AJ121" s="57"/>
      <c r="AK121" s="57"/>
      <c r="AL121" s="59" t="str">
        <f t="shared" si="47"/>
        <v/>
      </c>
      <c r="AM121" s="57"/>
      <c r="AN121" s="57"/>
      <c r="AO121" s="59" t="str">
        <f t="shared" si="39"/>
        <v/>
      </c>
      <c r="AP121" s="57"/>
      <c r="AQ121" s="59" t="str">
        <f t="shared" si="29"/>
        <v/>
      </c>
      <c r="AR121" s="57"/>
      <c r="AS121" s="57"/>
      <c r="AT121" s="59" t="str">
        <f t="shared" si="30"/>
        <v/>
      </c>
    </row>
    <row r="122" spans="1:46" ht="18.75" hidden="1" customHeight="1">
      <c r="A122" s="24"/>
      <c r="B122" s="26" t="s">
        <v>34</v>
      </c>
      <c r="C122" s="26" t="s">
        <v>444</v>
      </c>
      <c r="D122" s="55">
        <v>7.8703703703703713E-3</v>
      </c>
      <c r="E122" s="51"/>
      <c r="F122" s="55">
        <v>7.8703703703703713E-3</v>
      </c>
      <c r="G122" s="52"/>
      <c r="H122" s="55">
        <v>7.8703703703703713E-3</v>
      </c>
      <c r="I122" s="53"/>
      <c r="J122" s="55">
        <v>7.8703703703703713E-3</v>
      </c>
      <c r="K122" s="53"/>
      <c r="L122" s="55">
        <v>7.8703703703703713E-3</v>
      </c>
      <c r="M122" s="57"/>
      <c r="N122" s="55">
        <v>7.8703703703703713E-3</v>
      </c>
      <c r="O122" s="57"/>
      <c r="P122" s="57"/>
      <c r="Q122" s="59">
        <f>IF(MIN(IF(ISBLANK(O122),N122,O122),IF(ISBLANK(N122),O122,N122))=0,"",MIN(IF(ISBLANK(O122),N122,O122),IF(ISBLANK(N122),O122,N122)))</f>
        <v>7.8703703703703713E-3</v>
      </c>
      <c r="R122" s="57"/>
      <c r="S122" s="57"/>
      <c r="T122" s="59">
        <f>IF(MIN(IF(ISBLANK(R122),Q122,R122),IF(ISBLANK(Q122),R122,Q122))=0,"",MIN(IF(ISBLANK(R122),Q122,R122),IF(ISBLANK(Q122),R122,Q122)))</f>
        <v>7.8703703703703713E-3</v>
      </c>
      <c r="U122" s="57"/>
      <c r="V122" s="57"/>
      <c r="W122" s="59">
        <f t="shared" si="48"/>
        <v>7.8703703703703713E-3</v>
      </c>
      <c r="X122" s="57"/>
      <c r="Y122" s="57"/>
      <c r="Z122" s="59">
        <f t="shared" si="43"/>
        <v>7.8703703703703713E-3</v>
      </c>
      <c r="AA122" s="57"/>
      <c r="AB122" s="57"/>
      <c r="AC122" s="59">
        <f t="shared" si="44"/>
        <v>7.8703703703703713E-3</v>
      </c>
      <c r="AD122" s="57"/>
      <c r="AE122" s="57"/>
      <c r="AF122" s="59">
        <f t="shared" si="45"/>
        <v>7.8703703703703713E-3</v>
      </c>
      <c r="AG122" s="57"/>
      <c r="AH122" s="57"/>
      <c r="AI122" s="59">
        <f t="shared" si="46"/>
        <v>7.8703703703703713E-3</v>
      </c>
      <c r="AJ122" s="57"/>
      <c r="AK122" s="57"/>
      <c r="AL122" s="59">
        <f t="shared" si="47"/>
        <v>7.8703703703703713E-3</v>
      </c>
      <c r="AM122" s="57"/>
      <c r="AN122" s="57"/>
      <c r="AO122" s="59">
        <f t="shared" si="39"/>
        <v>7.8703703703703713E-3</v>
      </c>
      <c r="AP122" s="57"/>
      <c r="AQ122" s="59">
        <f t="shared" si="29"/>
        <v>7.8703703703703713E-3</v>
      </c>
      <c r="AR122" s="57"/>
      <c r="AS122" s="57"/>
      <c r="AT122" s="59">
        <f t="shared" si="30"/>
        <v>7.8703703703703713E-3</v>
      </c>
    </row>
    <row r="123" spans="1:46" ht="18.75" hidden="1" customHeight="1">
      <c r="A123" s="24"/>
      <c r="B123" s="26" t="s">
        <v>577</v>
      </c>
      <c r="C123" s="26"/>
      <c r="D123" s="50"/>
      <c r="E123" s="51"/>
      <c r="F123" s="50"/>
      <c r="G123" s="52"/>
      <c r="H123" s="50"/>
      <c r="I123" s="53"/>
      <c r="J123" s="50"/>
      <c r="K123" s="53"/>
      <c r="L123" s="50"/>
      <c r="M123" s="57"/>
      <c r="N123" s="55"/>
      <c r="O123" s="57"/>
      <c r="P123" s="57"/>
      <c r="Q123" s="59"/>
      <c r="R123" s="57"/>
      <c r="S123" s="57"/>
      <c r="T123" s="59" t="str">
        <f>IF(MIN(IF(ISBLANK(R123),Q123,R123),IF(ISBLANK(Q123),R123,Q123))=0,"",MIN(IF(ISBLANK(R123),Q123,R123),IF(ISBLANK(Q123),R123,Q123)))</f>
        <v/>
      </c>
      <c r="U123" s="57"/>
      <c r="V123" s="57"/>
      <c r="W123" s="59" t="str">
        <f t="shared" si="48"/>
        <v/>
      </c>
      <c r="X123" s="57"/>
      <c r="Y123" s="57"/>
      <c r="Z123" s="59" t="str">
        <f t="shared" si="43"/>
        <v/>
      </c>
      <c r="AA123" s="57"/>
      <c r="AB123" s="57"/>
      <c r="AC123" s="59" t="str">
        <f t="shared" si="44"/>
        <v/>
      </c>
      <c r="AD123" s="57"/>
      <c r="AE123" s="57"/>
      <c r="AF123" s="59" t="str">
        <f t="shared" si="45"/>
        <v/>
      </c>
      <c r="AG123" s="57"/>
      <c r="AH123" s="57"/>
      <c r="AI123" s="59" t="str">
        <f t="shared" si="46"/>
        <v/>
      </c>
      <c r="AJ123" s="57"/>
      <c r="AK123" s="57"/>
      <c r="AL123" s="59" t="str">
        <f t="shared" si="47"/>
        <v/>
      </c>
      <c r="AM123" s="57"/>
      <c r="AN123" s="57"/>
      <c r="AO123" s="59" t="str">
        <f t="shared" si="39"/>
        <v/>
      </c>
      <c r="AP123" s="57"/>
      <c r="AQ123" s="59" t="str">
        <f t="shared" si="29"/>
        <v/>
      </c>
      <c r="AR123" s="57"/>
      <c r="AS123" s="57"/>
      <c r="AT123" s="59" t="str">
        <f t="shared" si="30"/>
        <v/>
      </c>
    </row>
    <row r="124" spans="1:46" ht="18.75" hidden="1" customHeight="1">
      <c r="A124" s="24"/>
      <c r="B124" s="26" t="s">
        <v>41</v>
      </c>
      <c r="C124" s="26"/>
      <c r="D124" s="55">
        <v>7.6041666666666662E-3</v>
      </c>
      <c r="E124" s="51"/>
      <c r="F124" s="55">
        <v>7.6041666666666662E-3</v>
      </c>
      <c r="G124" s="52"/>
      <c r="H124" s="55">
        <v>7.6041666666666662E-3</v>
      </c>
      <c r="I124" s="53"/>
      <c r="J124" s="55">
        <v>7.6041666666666662E-3</v>
      </c>
      <c r="K124" s="53"/>
      <c r="L124" s="55">
        <v>7.6041666666666662E-3</v>
      </c>
      <c r="M124" s="57"/>
      <c r="N124" s="55">
        <v>7.6041666666666662E-3</v>
      </c>
      <c r="O124" s="57"/>
      <c r="P124" s="57"/>
      <c r="Q124" s="59">
        <f>IF(MIN(IF(ISBLANK(O124),N124,O124),IF(ISBLANK(N124),O124,N124))=0,"",MIN(IF(ISBLANK(O124),N124,O124),IF(ISBLANK(N124),O124,N124)))</f>
        <v>7.6041666666666662E-3</v>
      </c>
      <c r="R124" s="57"/>
      <c r="S124" s="57"/>
      <c r="T124" s="59">
        <f>IF(MIN(IF(ISBLANK(R124),Q124,R124),IF(ISBLANK(Q124),R124,Q124))=0,"",MIN(IF(ISBLANK(R124),Q124,R124),IF(ISBLANK(Q124),R124,Q124)))</f>
        <v>7.6041666666666662E-3</v>
      </c>
      <c r="U124" s="57"/>
      <c r="V124" s="57"/>
      <c r="W124" s="59">
        <f t="shared" si="48"/>
        <v>7.6041666666666662E-3</v>
      </c>
      <c r="X124" s="57"/>
      <c r="Y124" s="57"/>
      <c r="Z124" s="59">
        <f t="shared" si="43"/>
        <v>7.6041666666666662E-3</v>
      </c>
      <c r="AA124" s="57"/>
      <c r="AB124" s="57"/>
      <c r="AC124" s="59">
        <f t="shared" si="44"/>
        <v>7.6041666666666662E-3</v>
      </c>
      <c r="AD124" s="57"/>
      <c r="AE124" s="57"/>
      <c r="AF124" s="59">
        <f t="shared" si="45"/>
        <v>7.6041666666666662E-3</v>
      </c>
      <c r="AG124" s="57"/>
      <c r="AH124" s="57"/>
      <c r="AI124" s="59">
        <f t="shared" si="46"/>
        <v>7.6041666666666662E-3</v>
      </c>
      <c r="AJ124" s="57"/>
      <c r="AK124" s="57"/>
      <c r="AL124" s="59">
        <f t="shared" si="47"/>
        <v>7.6041666666666662E-3</v>
      </c>
      <c r="AM124" s="57"/>
      <c r="AN124" s="57"/>
      <c r="AO124" s="59">
        <f t="shared" si="39"/>
        <v>7.6041666666666662E-3</v>
      </c>
      <c r="AP124" s="57"/>
      <c r="AQ124" s="59">
        <f t="shared" si="29"/>
        <v>7.6041666666666662E-3</v>
      </c>
      <c r="AR124" s="57"/>
      <c r="AS124" s="57"/>
      <c r="AT124" s="59">
        <f t="shared" si="30"/>
        <v>7.6041666666666662E-3</v>
      </c>
    </row>
    <row r="125" spans="1:46" ht="18.75" hidden="1" customHeight="1">
      <c r="A125" s="24"/>
      <c r="B125" s="26" t="s">
        <v>473</v>
      </c>
      <c r="C125" s="26"/>
      <c r="D125" s="50"/>
      <c r="E125" s="51"/>
      <c r="F125" s="50"/>
      <c r="G125" s="52"/>
      <c r="H125" s="50"/>
      <c r="I125" s="57">
        <v>6.5972222222222222E-3</v>
      </c>
      <c r="J125" s="55">
        <v>6.5972222222222222E-3</v>
      </c>
      <c r="K125" s="53"/>
      <c r="L125" s="55">
        <v>6.5972222222222222E-3</v>
      </c>
      <c r="M125" s="57"/>
      <c r="N125" s="55">
        <v>6.5972222222222222E-3</v>
      </c>
      <c r="O125" s="57"/>
      <c r="P125" s="57"/>
      <c r="Q125" s="59">
        <f>IF(MIN(IF(ISBLANK(O125),N125,O125),IF(ISBLANK(N125),O125,N125))=0,"",MIN(IF(ISBLANK(O125),N125,O125),IF(ISBLANK(N125),O125,N125)))</f>
        <v>6.5972222222222222E-3</v>
      </c>
      <c r="R125" s="57"/>
      <c r="S125" s="57"/>
      <c r="T125" s="59">
        <f>IF(MIN(IF(ISBLANK(R125),Q125,R125),IF(ISBLANK(Q125),R125,Q125))=0,"",MIN(IF(ISBLANK(R125),Q125,R125),IF(ISBLANK(Q125),R125,Q125)))</f>
        <v>6.5972222222222222E-3</v>
      </c>
      <c r="U125" s="57"/>
      <c r="V125" s="57"/>
      <c r="W125" s="59">
        <f t="shared" si="48"/>
        <v>6.5972222222222222E-3</v>
      </c>
      <c r="X125" s="57"/>
      <c r="Y125" s="57"/>
      <c r="Z125" s="59">
        <f t="shared" si="43"/>
        <v>6.5972222222222222E-3</v>
      </c>
      <c r="AA125" s="57"/>
      <c r="AB125" s="57"/>
      <c r="AC125" s="59">
        <f t="shared" si="44"/>
        <v>6.5972222222222222E-3</v>
      </c>
      <c r="AD125" s="57"/>
      <c r="AE125" s="57"/>
      <c r="AF125" s="59">
        <f t="shared" si="45"/>
        <v>6.5972222222222222E-3</v>
      </c>
      <c r="AG125" s="57"/>
      <c r="AH125" s="57"/>
      <c r="AI125" s="59">
        <f t="shared" si="46"/>
        <v>6.5972222222222222E-3</v>
      </c>
      <c r="AJ125" s="57"/>
      <c r="AK125" s="57"/>
      <c r="AL125" s="59">
        <f t="shared" si="47"/>
        <v>6.5972222222222222E-3</v>
      </c>
      <c r="AM125" s="57"/>
      <c r="AN125" s="57"/>
      <c r="AO125" s="59">
        <f t="shared" si="39"/>
        <v>6.5972222222222222E-3</v>
      </c>
      <c r="AP125" s="57"/>
      <c r="AQ125" s="59">
        <f t="shared" si="29"/>
        <v>6.5972222222222222E-3</v>
      </c>
      <c r="AR125" s="57"/>
      <c r="AS125" s="57"/>
      <c r="AT125" s="59">
        <f t="shared" si="30"/>
        <v>6.5972222222222222E-3</v>
      </c>
    </row>
    <row r="126" spans="1:46" ht="18.75" customHeight="1">
      <c r="A126" s="24" t="s">
        <v>792</v>
      </c>
      <c r="B126" s="26" t="s">
        <v>822</v>
      </c>
      <c r="C126" s="26"/>
      <c r="D126" s="55"/>
      <c r="E126" s="51"/>
      <c r="F126" s="55"/>
      <c r="G126" s="52"/>
      <c r="H126" s="55"/>
      <c r="I126" s="53"/>
      <c r="J126" s="55"/>
      <c r="K126" s="53"/>
      <c r="L126" s="55"/>
      <c r="M126" s="57"/>
      <c r="N126" s="55"/>
      <c r="O126" s="57"/>
      <c r="P126" s="57"/>
      <c r="Q126" s="59"/>
      <c r="R126" s="57"/>
      <c r="S126" s="57"/>
      <c r="T126" s="59"/>
      <c r="U126" s="57"/>
      <c r="V126" s="57"/>
      <c r="W126" s="59"/>
      <c r="X126" s="57"/>
      <c r="Y126" s="57"/>
      <c r="Z126" s="59"/>
      <c r="AA126" s="57"/>
      <c r="AB126" s="57"/>
      <c r="AC126" s="59"/>
      <c r="AD126" s="57"/>
      <c r="AE126" s="57"/>
      <c r="AF126" s="59"/>
      <c r="AG126" s="57"/>
      <c r="AH126" s="57"/>
      <c r="AI126" s="59"/>
      <c r="AJ126" s="57"/>
      <c r="AK126" s="57"/>
      <c r="AL126" s="59"/>
      <c r="AM126" s="57">
        <v>6.6550925925925935E-3</v>
      </c>
      <c r="AN126" s="57"/>
      <c r="AO126" s="59">
        <f t="shared" si="39"/>
        <v>6.6550925925925935E-3</v>
      </c>
      <c r="AP126" s="57"/>
      <c r="AQ126" s="59">
        <f t="shared" si="29"/>
        <v>6.6550925925925935E-3</v>
      </c>
      <c r="AR126" s="57"/>
      <c r="AS126" s="57"/>
      <c r="AT126" s="59">
        <f t="shared" si="30"/>
        <v>6.6550925925925935E-3</v>
      </c>
    </row>
    <row r="127" spans="1:46" ht="18.75" customHeight="1">
      <c r="A127" s="24" t="s">
        <v>792</v>
      </c>
      <c r="B127" s="26" t="s">
        <v>869</v>
      </c>
      <c r="C127" s="26"/>
      <c r="D127" s="50"/>
      <c r="E127" s="51"/>
      <c r="F127" s="50"/>
      <c r="G127" s="52"/>
      <c r="H127" s="50"/>
      <c r="I127" s="53"/>
      <c r="J127" s="50"/>
      <c r="K127" s="53"/>
      <c r="L127" s="50"/>
      <c r="M127" s="57"/>
      <c r="N127" s="55"/>
      <c r="O127" s="57"/>
      <c r="P127" s="57"/>
      <c r="Q127" s="59"/>
      <c r="R127" s="57"/>
      <c r="S127" s="57"/>
      <c r="T127" s="59"/>
      <c r="U127" s="57"/>
      <c r="V127" s="57"/>
      <c r="W127" s="59"/>
      <c r="X127" s="57"/>
      <c r="Y127" s="57"/>
      <c r="Z127" s="59"/>
      <c r="AA127" s="57"/>
      <c r="AB127" s="57"/>
      <c r="AC127" s="59"/>
      <c r="AD127" s="57"/>
      <c r="AE127" s="57"/>
      <c r="AF127" s="59"/>
      <c r="AG127" s="57"/>
      <c r="AH127" s="57"/>
      <c r="AI127" s="59"/>
      <c r="AJ127" s="57"/>
      <c r="AK127" s="57"/>
      <c r="AL127" s="59"/>
      <c r="AM127" s="57"/>
      <c r="AN127" s="57"/>
      <c r="AO127" s="59"/>
      <c r="AP127" s="57"/>
      <c r="AQ127" s="59" t="str">
        <f t="shared" si="29"/>
        <v/>
      </c>
      <c r="AR127" s="57"/>
      <c r="AS127" s="57"/>
      <c r="AT127" s="59" t="str">
        <f t="shared" si="30"/>
        <v/>
      </c>
    </row>
    <row r="128" spans="1:46" ht="18.75" hidden="1" customHeight="1">
      <c r="A128" s="24"/>
      <c r="B128" s="26" t="s">
        <v>239</v>
      </c>
      <c r="C128" s="26" t="s">
        <v>444</v>
      </c>
      <c r="D128" s="50"/>
      <c r="E128" s="51"/>
      <c r="F128" s="50" t="s">
        <v>448</v>
      </c>
      <c r="G128" s="52"/>
      <c r="H128" s="50"/>
      <c r="I128" s="53"/>
      <c r="J128" s="50" t="s">
        <v>448</v>
      </c>
      <c r="K128" s="53"/>
      <c r="L128" s="50"/>
      <c r="M128" s="57"/>
      <c r="N128" s="55" t="s">
        <v>448</v>
      </c>
      <c r="O128" s="57"/>
      <c r="P128" s="57"/>
      <c r="Q128" s="59" t="str">
        <f>IF(MIN(IF(ISBLANK(O128),N128,O128),IF(ISBLANK(N128),O128,N128))=0,"",MIN(IF(ISBLANK(O128),N128,O128),IF(ISBLANK(N128),O128,N128)))</f>
        <v/>
      </c>
      <c r="R128" s="57"/>
      <c r="S128" s="57"/>
      <c r="T128" s="59" t="str">
        <f>IF(MIN(IF(ISBLANK(R128),Q128,R128),IF(ISBLANK(Q128),R128,Q128))=0,"",MIN(IF(ISBLANK(R128),Q128,R128),IF(ISBLANK(Q128),R128,Q128)))</f>
        <v/>
      </c>
      <c r="U128" s="57"/>
      <c r="V128" s="57"/>
      <c r="W128" s="59" t="str">
        <f>IF(MIN(IF(ISBLANK(U128),T128,U128),IF(ISBLANK(T128),U128,T128))=0,"",MIN(IF(ISBLANK(U128),T128,U128),IF(ISBLANK(T128),U128,T128)))</f>
        <v/>
      </c>
      <c r="X128" s="57"/>
      <c r="Y128" s="57"/>
      <c r="Z128" s="59" t="str">
        <f>IF(MIN(IF(ISBLANK(X128),W128,X128),IF(ISBLANK(W128),X128,W128))=0,"",MIN(IF(ISBLANK(X128),W128,X128),IF(ISBLANK(W128),X128,W128)))</f>
        <v/>
      </c>
      <c r="AA128" s="57"/>
      <c r="AB128" s="57"/>
      <c r="AC128" s="59" t="str">
        <f>IF(MIN(IF(ISBLANK(Z128),AA128,Z128),IF(ISBLANK(AA128),Z128,AA128))=0,"",MIN(IF(ISBLANK(Z128),AA128,Z128),IF(ISBLANK(AA128),Z128,AA128)))</f>
        <v/>
      </c>
      <c r="AD128" s="57"/>
      <c r="AE128" s="57"/>
      <c r="AF128" s="59" t="str">
        <f>IF(MIN(IF(ISBLANK(AC128),AD128,AC128),IF(ISBLANK(AD128),AC128,AD128))=0,"",MIN(IF(ISBLANK(AC128),AD128,AC128),IF(ISBLANK(AD128),AC128,AD128)))</f>
        <v/>
      </c>
      <c r="AG128" s="57"/>
      <c r="AH128" s="57"/>
      <c r="AI128" s="59" t="str">
        <f>IF(MIN(IF(ISBLANK(AF128),AG128,AF128),IF(ISBLANK(AG128),AF128,AG128))=0,"",MIN(IF(ISBLANK(AF128),AG128,AF128),IF(ISBLANK(AG128),AF128,AG128)))</f>
        <v/>
      </c>
      <c r="AJ128" s="57"/>
      <c r="AK128" s="57"/>
      <c r="AL128" s="59" t="str">
        <f>IF(MIN(IF(ISBLANK(AI128),AJ128,AI128),IF(ISBLANK(AJ128),AI128,AJ128))=0,"",MIN(IF(ISBLANK(AI128),AJ128,AI128),IF(ISBLANK(AJ128),AI128,AJ128)))</f>
        <v/>
      </c>
      <c r="AM128" s="57"/>
      <c r="AN128" s="57"/>
      <c r="AO128" s="59" t="str">
        <f>IF(MIN(IF(ISBLANK(AL128),AM128,AL128),IF(ISBLANK(AM128),AL128,AM128))=0,"",MIN(IF(ISBLANK(AL128),AM128,AL128),IF(ISBLANK(AM128),AL128,AM128)))</f>
        <v/>
      </c>
      <c r="AP128" s="57"/>
      <c r="AQ128" s="59" t="str">
        <f t="shared" si="29"/>
        <v/>
      </c>
      <c r="AR128" s="57"/>
      <c r="AS128" s="57"/>
      <c r="AT128" s="59" t="str">
        <f t="shared" si="30"/>
        <v/>
      </c>
    </row>
    <row r="129" spans="1:46" ht="18.75" hidden="1" customHeight="1">
      <c r="A129" s="24"/>
      <c r="B129" s="26" t="s">
        <v>602</v>
      </c>
      <c r="C129" s="26"/>
      <c r="D129" s="50"/>
      <c r="E129" s="51"/>
      <c r="F129" s="50"/>
      <c r="G129" s="52"/>
      <c r="H129" s="50"/>
      <c r="I129" s="53"/>
      <c r="J129" s="50"/>
      <c r="K129" s="53"/>
      <c r="L129" s="50"/>
      <c r="M129" s="57"/>
      <c r="N129" s="55"/>
      <c r="O129" s="57"/>
      <c r="P129" s="57"/>
      <c r="Q129" s="59"/>
      <c r="R129" s="57"/>
      <c r="S129" s="57"/>
      <c r="T129" s="59" t="str">
        <f>IF(MIN(IF(ISBLANK(R129),Q129,R129),IF(ISBLANK(Q129),R129,Q129))=0,"",MIN(IF(ISBLANK(R129),Q129,R129),IF(ISBLANK(Q129),R129,Q129)))</f>
        <v/>
      </c>
      <c r="U129" s="57">
        <v>5.9953703703703697E-3</v>
      </c>
      <c r="V129" s="57"/>
      <c r="W129" s="59">
        <f>IF(MIN(IF(ISBLANK(U129),T129,U129),IF(ISBLANK(T129),U129,T129))=0,"",MIN(IF(ISBLANK(U129),T129,U129),IF(ISBLANK(T129),U129,T129)))</f>
        <v>5.9953703703703697E-3</v>
      </c>
      <c r="X129" s="57"/>
      <c r="Y129" s="57"/>
      <c r="Z129" s="59">
        <f>IF(MIN(IF(ISBLANK(X129),W129,X129),IF(ISBLANK(W129),X129,W129))=0,"",MIN(IF(ISBLANK(X129),W129,X129),IF(ISBLANK(W129),X129,W129)))</f>
        <v>5.9953703703703697E-3</v>
      </c>
      <c r="AA129" s="57"/>
      <c r="AB129" s="57"/>
      <c r="AC129" s="59">
        <f>IF(MIN(IF(ISBLANK(Z129),AA129,Z129),IF(ISBLANK(AA129),Z129,AA129))=0,"",MIN(IF(ISBLANK(Z129),AA129,Z129),IF(ISBLANK(AA129),Z129,AA129)))</f>
        <v>5.9953703703703697E-3</v>
      </c>
      <c r="AD129" s="57"/>
      <c r="AE129" s="57"/>
      <c r="AF129" s="59">
        <f>IF(MIN(IF(ISBLANK(AC129),AD129,AC129),IF(ISBLANK(AD129),AC129,AD129))=0,"",MIN(IF(ISBLANK(AC129),AD129,AC129),IF(ISBLANK(AD129),AC129,AD129)))</f>
        <v>5.9953703703703697E-3</v>
      </c>
      <c r="AG129" s="57"/>
      <c r="AH129" s="57"/>
      <c r="AI129" s="59">
        <f>IF(MIN(IF(ISBLANK(AF129),AG129,AF129),IF(ISBLANK(AG129),AF129,AG129))=0,"",MIN(IF(ISBLANK(AF129),AG129,AF129),IF(ISBLANK(AG129),AF129,AG129)))</f>
        <v>5.9953703703703697E-3</v>
      </c>
      <c r="AJ129" s="57"/>
      <c r="AK129" s="57"/>
      <c r="AL129" s="59">
        <f>IF(MIN(IF(ISBLANK(AI129),AJ129,AI129),IF(ISBLANK(AJ129),AI129,AJ129))=0,"",MIN(IF(ISBLANK(AI129),AJ129,AI129),IF(ISBLANK(AJ129),AI129,AJ129)))</f>
        <v>5.9953703703703697E-3</v>
      </c>
      <c r="AM129" s="57"/>
      <c r="AN129" s="57"/>
      <c r="AO129" s="59">
        <f>IF(MIN(IF(ISBLANK(AL129),AM129,AL129),IF(ISBLANK(AM129),AL129,AM129))=0,"",MIN(IF(ISBLANK(AL129),AM129,AL129),IF(ISBLANK(AM129),AL129,AM129)))</f>
        <v>5.9953703703703697E-3</v>
      </c>
      <c r="AP129" s="57"/>
      <c r="AQ129" s="59">
        <f t="shared" si="29"/>
        <v>5.9953703703703697E-3</v>
      </c>
      <c r="AR129" s="57"/>
      <c r="AS129" s="57"/>
      <c r="AT129" s="59">
        <f t="shared" si="30"/>
        <v>5.9953703703703697E-3</v>
      </c>
    </row>
    <row r="130" spans="1:46" ht="18.75" hidden="1" customHeight="1">
      <c r="A130" s="24"/>
      <c r="B130" s="26" t="s">
        <v>430</v>
      </c>
      <c r="C130" s="26"/>
      <c r="D130" s="50"/>
      <c r="E130" s="51"/>
      <c r="F130" s="50"/>
      <c r="G130" s="52"/>
      <c r="H130" s="50"/>
      <c r="I130" s="53"/>
      <c r="J130" s="50" t="s">
        <v>448</v>
      </c>
      <c r="K130" s="53"/>
      <c r="L130" s="50"/>
      <c r="M130" s="57"/>
      <c r="N130" s="55" t="s">
        <v>448</v>
      </c>
      <c r="O130" s="57"/>
      <c r="P130" s="57"/>
      <c r="Q130" s="59" t="str">
        <f>IF(MIN(IF(ISBLANK(O130),N130,O130),IF(ISBLANK(N130),O130,N130))=0,"",MIN(IF(ISBLANK(O130),N130,O130),IF(ISBLANK(N130),O130,N130)))</f>
        <v/>
      </c>
      <c r="R130" s="57"/>
      <c r="S130" s="57"/>
      <c r="T130" s="59" t="str">
        <f>IF(MIN(IF(ISBLANK(R130),Q130,R130),IF(ISBLANK(Q130),R130,Q130))=0,"",MIN(IF(ISBLANK(R130),Q130,R130),IF(ISBLANK(Q130),R130,Q130)))</f>
        <v/>
      </c>
      <c r="U130" s="57"/>
      <c r="V130" s="57"/>
      <c r="W130" s="59" t="str">
        <f>IF(MIN(IF(ISBLANK(U130),T130,U130),IF(ISBLANK(T130),U130,T130))=0,"",MIN(IF(ISBLANK(U130),T130,U130),IF(ISBLANK(T130),U130,T130)))</f>
        <v/>
      </c>
      <c r="X130" s="57"/>
      <c r="Y130" s="57"/>
      <c r="Z130" s="59" t="str">
        <f>IF(MIN(IF(ISBLANK(X130),W130,X130),IF(ISBLANK(W130),X130,W130))=0,"",MIN(IF(ISBLANK(X130),W130,X130),IF(ISBLANK(W130),X130,W130)))</f>
        <v/>
      </c>
      <c r="AA130" s="57"/>
      <c r="AB130" s="57"/>
      <c r="AC130" s="59" t="str">
        <f>IF(MIN(IF(ISBLANK(Z130),AA130,Z130),IF(ISBLANK(AA130),Z130,AA130))=0,"",MIN(IF(ISBLANK(Z130),AA130,Z130),IF(ISBLANK(AA130),Z130,AA130)))</f>
        <v/>
      </c>
      <c r="AD130" s="57"/>
      <c r="AE130" s="57"/>
      <c r="AF130" s="59" t="str">
        <f>IF(MIN(IF(ISBLANK(AC130),AD130,AC130),IF(ISBLANK(AD130),AC130,AD130))=0,"",MIN(IF(ISBLANK(AC130),AD130,AC130),IF(ISBLANK(AD130),AC130,AD130)))</f>
        <v/>
      </c>
      <c r="AG130" s="57"/>
      <c r="AH130" s="57"/>
      <c r="AI130" s="59" t="str">
        <f>IF(MIN(IF(ISBLANK(AF130),AG130,AF130),IF(ISBLANK(AG130),AF130,AG130))=0,"",MIN(IF(ISBLANK(AF130),AG130,AF130),IF(ISBLANK(AG130),AF130,AG130)))</f>
        <v/>
      </c>
      <c r="AJ130" s="57"/>
      <c r="AK130" s="57"/>
      <c r="AL130" s="59" t="str">
        <f>IF(MIN(IF(ISBLANK(AI130),AJ130,AI130),IF(ISBLANK(AJ130),AI130,AJ130))=0,"",MIN(IF(ISBLANK(AI130),AJ130,AI130),IF(ISBLANK(AJ130),AI130,AJ130)))</f>
        <v/>
      </c>
      <c r="AM130" s="57"/>
      <c r="AN130" s="57"/>
      <c r="AO130" s="59" t="str">
        <f>IF(MIN(IF(ISBLANK(AL130),AM130,AL130),IF(ISBLANK(AM130),AL130,AM130))=0,"",MIN(IF(ISBLANK(AL130),AM130,AL130),IF(ISBLANK(AM130),AL130,AM130)))</f>
        <v/>
      </c>
      <c r="AP130" s="57"/>
      <c r="AQ130" s="59" t="str">
        <f t="shared" si="29"/>
        <v/>
      </c>
      <c r="AR130" s="57"/>
      <c r="AS130" s="57"/>
      <c r="AT130" s="59" t="str">
        <f t="shared" si="30"/>
        <v/>
      </c>
    </row>
    <row r="131" spans="1:46" ht="18.75" hidden="1" customHeight="1">
      <c r="A131" s="24"/>
      <c r="B131" s="26" t="s">
        <v>722</v>
      </c>
      <c r="C131" s="26"/>
      <c r="D131" s="50"/>
      <c r="E131" s="51"/>
      <c r="F131" s="50"/>
      <c r="G131" s="52"/>
      <c r="H131" s="50"/>
      <c r="I131" s="53"/>
      <c r="J131" s="50"/>
      <c r="K131" s="53"/>
      <c r="L131" s="50"/>
      <c r="M131" s="57"/>
      <c r="N131" s="55"/>
      <c r="O131" s="57"/>
      <c r="P131" s="57"/>
      <c r="Q131" s="59"/>
      <c r="R131" s="57"/>
      <c r="S131" s="57"/>
      <c r="T131" s="59"/>
      <c r="U131" s="57"/>
      <c r="V131" s="57"/>
      <c r="W131" s="59"/>
      <c r="X131" s="57"/>
      <c r="Y131" s="57"/>
      <c r="Z131" s="59"/>
      <c r="AA131" s="57"/>
      <c r="AB131" s="57"/>
      <c r="AC131" s="59"/>
      <c r="AD131" s="57">
        <v>6.5856481481481469E-3</v>
      </c>
      <c r="AE131" s="57"/>
      <c r="AF131" s="59">
        <f>IF(MIN(IF(ISBLANK(AC131),AD131,AC131),IF(ISBLANK(AD131),AC131,AD131))=0,"",MIN(IF(ISBLANK(AC131),AD131,AC131),IF(ISBLANK(AD131),AC131,AD131)))</f>
        <v>6.5856481481481469E-3</v>
      </c>
      <c r="AG131" s="57"/>
      <c r="AH131" s="57"/>
      <c r="AI131" s="59">
        <f>IF(MIN(IF(ISBLANK(AF131),AG131,AF131),IF(ISBLANK(AG131),AF131,AG131))=0,"",MIN(IF(ISBLANK(AF131),AG131,AF131),IF(ISBLANK(AG131),AF131,AG131)))</f>
        <v>6.5856481481481469E-3</v>
      </c>
      <c r="AJ131" s="57"/>
      <c r="AK131" s="57"/>
      <c r="AL131" s="59">
        <f>IF(MIN(IF(ISBLANK(AI131),AJ131,AI131),IF(ISBLANK(AJ131),AI131,AJ131))=0,"",MIN(IF(ISBLANK(AI131),AJ131,AI131),IF(ISBLANK(AJ131),AI131,AJ131)))</f>
        <v>6.5856481481481469E-3</v>
      </c>
      <c r="AM131" s="57"/>
      <c r="AN131" s="57"/>
      <c r="AO131" s="59">
        <f>IF(MIN(IF(ISBLANK(AL131),AM131,AL131),IF(ISBLANK(AM131),AL131,AM131))=0,"",MIN(IF(ISBLANK(AL131),AM131,AL131),IF(ISBLANK(AM131),AL131,AM131)))</f>
        <v>6.5856481481481469E-3</v>
      </c>
      <c r="AP131" s="57"/>
      <c r="AQ131" s="59">
        <f t="shared" si="29"/>
        <v>6.5856481481481469E-3</v>
      </c>
      <c r="AR131" s="57"/>
      <c r="AS131" s="57"/>
      <c r="AT131" s="59">
        <f t="shared" si="30"/>
        <v>6.5856481481481469E-3</v>
      </c>
    </row>
    <row r="132" spans="1:46" ht="18.75" hidden="1" customHeight="1">
      <c r="A132" s="24"/>
      <c r="B132" s="26" t="s">
        <v>682</v>
      </c>
      <c r="C132" s="26"/>
      <c r="D132" s="50"/>
      <c r="E132" s="51"/>
      <c r="F132" s="50"/>
      <c r="G132" s="52"/>
      <c r="H132" s="50"/>
      <c r="I132" s="53"/>
      <c r="J132" s="50"/>
      <c r="K132" s="53"/>
      <c r="L132" s="50"/>
      <c r="M132" s="57"/>
      <c r="N132" s="55"/>
      <c r="O132" s="57"/>
      <c r="P132" s="57"/>
      <c r="Q132" s="59"/>
      <c r="R132" s="57"/>
      <c r="S132" s="57"/>
      <c r="T132" s="59"/>
      <c r="U132" s="57"/>
      <c r="V132" s="57"/>
      <c r="W132" s="59"/>
      <c r="X132" s="57">
        <v>7.8703703703703713E-3</v>
      </c>
      <c r="Y132" s="57"/>
      <c r="Z132" s="59">
        <f>IF(MIN(IF(ISBLANK(X132),W132,X132),IF(ISBLANK(W132),X132,W132))=0,"",MIN(IF(ISBLANK(X132),W132,X132),IF(ISBLANK(W132),X132,W132)))</f>
        <v>7.8703703703703713E-3</v>
      </c>
      <c r="AA132" s="57"/>
      <c r="AB132" s="57"/>
      <c r="AC132" s="59">
        <f>IF(MIN(IF(ISBLANK(Z132),AA132,Z132),IF(ISBLANK(AA132),Z132,AA132))=0,"",MIN(IF(ISBLANK(Z132),AA132,Z132),IF(ISBLANK(AA132),Z132,AA132)))</f>
        <v>7.8703703703703713E-3</v>
      </c>
      <c r="AD132" s="57"/>
      <c r="AE132" s="57"/>
      <c r="AF132" s="59">
        <f>IF(MIN(IF(ISBLANK(AC132),AD132,AC132),IF(ISBLANK(AD132),AC132,AD132))=0,"",MIN(IF(ISBLANK(AC132),AD132,AC132),IF(ISBLANK(AD132),AC132,AD132)))</f>
        <v>7.8703703703703713E-3</v>
      </c>
      <c r="AG132" s="57"/>
      <c r="AH132" s="57"/>
      <c r="AI132" s="59">
        <f>IF(MIN(IF(ISBLANK(AF132),AG132,AF132),IF(ISBLANK(AG132),AF132,AG132))=0,"",MIN(IF(ISBLANK(AF132),AG132,AF132),IF(ISBLANK(AG132),AF132,AG132)))</f>
        <v>7.8703703703703713E-3</v>
      </c>
      <c r="AJ132" s="57"/>
      <c r="AK132" s="57"/>
      <c r="AL132" s="59">
        <f>IF(MIN(IF(ISBLANK(AI132),AJ132,AI132),IF(ISBLANK(AJ132),AI132,AJ132))=0,"",MIN(IF(ISBLANK(AI132),AJ132,AI132),IF(ISBLANK(AJ132),AI132,AJ132)))</f>
        <v>7.8703703703703713E-3</v>
      </c>
      <c r="AM132" s="57"/>
      <c r="AN132" s="57"/>
      <c r="AO132" s="59">
        <f>IF(MIN(IF(ISBLANK(AL132),AM132,AL132),IF(ISBLANK(AM132),AL132,AM132))=0,"",MIN(IF(ISBLANK(AL132),AM132,AL132),IF(ISBLANK(AM132),AL132,AM132)))</f>
        <v>7.8703703703703713E-3</v>
      </c>
      <c r="AP132" s="57"/>
      <c r="AQ132" s="59">
        <f t="shared" si="29"/>
        <v>7.8703703703703713E-3</v>
      </c>
      <c r="AR132" s="57"/>
      <c r="AS132" s="57"/>
      <c r="AT132" s="59">
        <f t="shared" si="30"/>
        <v>7.8703703703703713E-3</v>
      </c>
    </row>
    <row r="133" spans="1:46" ht="18.75" customHeight="1">
      <c r="A133" s="24" t="s">
        <v>792</v>
      </c>
      <c r="B133" s="26" t="s">
        <v>882</v>
      </c>
      <c r="C133" s="26"/>
      <c r="D133" s="50"/>
      <c r="E133" s="51"/>
      <c r="F133" s="50"/>
      <c r="G133" s="52"/>
      <c r="H133" s="50"/>
      <c r="I133" s="53"/>
      <c r="J133" s="50"/>
      <c r="K133" s="53"/>
      <c r="L133" s="50"/>
      <c r="M133" s="57"/>
      <c r="N133" s="55"/>
      <c r="O133" s="57"/>
      <c r="P133" s="57"/>
      <c r="Q133" s="59"/>
      <c r="R133" s="57"/>
      <c r="S133" s="57"/>
      <c r="T133" s="59"/>
      <c r="U133" s="57"/>
      <c r="V133" s="57"/>
      <c r="W133" s="59"/>
      <c r="X133" s="57"/>
      <c r="Y133" s="57"/>
      <c r="Z133" s="59"/>
      <c r="AA133" s="57"/>
      <c r="AB133" s="57"/>
      <c r="AC133" s="59"/>
      <c r="AD133" s="57"/>
      <c r="AE133" s="57"/>
      <c r="AF133" s="59"/>
      <c r="AG133" s="57"/>
      <c r="AH133" s="57"/>
      <c r="AI133" s="59"/>
      <c r="AJ133" s="57"/>
      <c r="AK133" s="57"/>
      <c r="AL133" s="59"/>
      <c r="AM133" s="57"/>
      <c r="AN133" s="57"/>
      <c r="AO133" s="59"/>
      <c r="AP133" s="57">
        <v>5.7754629629629623E-3</v>
      </c>
      <c r="AQ133" s="59">
        <f t="shared" si="29"/>
        <v>5.7754629629629623E-3</v>
      </c>
      <c r="AR133" s="57"/>
      <c r="AS133" s="57"/>
      <c r="AT133" s="59">
        <f t="shared" si="30"/>
        <v>5.7754629629629623E-3</v>
      </c>
    </row>
    <row r="134" spans="1:46" ht="18.75" customHeight="1">
      <c r="A134" s="24" t="s">
        <v>792</v>
      </c>
      <c r="B134" s="26" t="s">
        <v>48</v>
      </c>
      <c r="C134" s="26" t="s">
        <v>443</v>
      </c>
      <c r="D134" s="55">
        <v>5.208333333333333E-3</v>
      </c>
      <c r="E134" s="57">
        <v>5.7870370370370376E-3</v>
      </c>
      <c r="F134" s="55">
        <v>5.208333333333333E-3</v>
      </c>
      <c r="G134" s="52"/>
      <c r="H134" s="55">
        <v>5.208333333333333E-3</v>
      </c>
      <c r="I134" s="53"/>
      <c r="J134" s="55">
        <v>5.208333333333333E-3</v>
      </c>
      <c r="K134" s="53"/>
      <c r="L134" s="55">
        <v>5.208333333333333E-3</v>
      </c>
      <c r="M134" s="57">
        <v>6.5740740740740733E-3</v>
      </c>
      <c r="N134" s="55">
        <v>5.208333333333333E-3</v>
      </c>
      <c r="O134" s="57">
        <v>5.8101851851851856E-3</v>
      </c>
      <c r="P134" s="57"/>
      <c r="Q134" s="59">
        <f>IF(MIN(IF(ISBLANK(O134),N134,O134),IF(ISBLANK(N134),O134,N134))=0,"",MIN(IF(ISBLANK(O134),N134,O134),IF(ISBLANK(N134),O134,N134)))</f>
        <v>5.208333333333333E-3</v>
      </c>
      <c r="R134" s="57">
        <v>5.7523148148148143E-3</v>
      </c>
      <c r="S134" s="57"/>
      <c r="T134" s="59">
        <f t="shared" ref="T134:T139" si="49">IF(MIN(IF(ISBLANK(R134),Q134,R134),IF(ISBLANK(Q134),R134,Q134))=0,"",MIN(IF(ISBLANK(R134),Q134,R134),IF(ISBLANK(Q134),R134,Q134)))</f>
        <v>5.208333333333333E-3</v>
      </c>
      <c r="U134" s="57"/>
      <c r="V134" s="57"/>
      <c r="W134" s="59">
        <f t="shared" ref="W134:W139" si="50">IF(MIN(IF(ISBLANK(U134),T134,U134),IF(ISBLANK(T134),U134,T134))=0,"",MIN(IF(ISBLANK(U134),T134,U134),IF(ISBLANK(T134),U134,T134)))</f>
        <v>5.208333333333333E-3</v>
      </c>
      <c r="X134" s="57">
        <v>5.9953703703703697E-3</v>
      </c>
      <c r="Y134" s="57"/>
      <c r="Z134" s="59">
        <f t="shared" ref="Z134:Z139" si="51">IF(MIN(IF(ISBLANK(X134),W134,X134),IF(ISBLANK(W134),X134,W134))=0,"",MIN(IF(ISBLANK(X134),W134,X134),IF(ISBLANK(W134),X134,W134)))</f>
        <v>5.208333333333333E-3</v>
      </c>
      <c r="AA134" s="57">
        <v>5.6481481481481478E-3</v>
      </c>
      <c r="AB134" s="57"/>
      <c r="AC134" s="59">
        <f t="shared" ref="AC134:AC141" si="52">IF(MIN(IF(ISBLANK(Z134),AA134,Z134),IF(ISBLANK(AA134),Z134,AA134))=0,"",MIN(IF(ISBLANK(Z134),AA134,Z134),IF(ISBLANK(AA134),Z134,AA134)))</f>
        <v>5.208333333333333E-3</v>
      </c>
      <c r="AD134" s="57">
        <v>5.6481481481481478E-3</v>
      </c>
      <c r="AE134" s="57"/>
      <c r="AF134" s="59">
        <f t="shared" ref="AF134:AF141" si="53">IF(MIN(IF(ISBLANK(AC134),AD134,AC134),IF(ISBLANK(AD134),AC134,AD134))=0,"",MIN(IF(ISBLANK(AC134),AD134,AC134),IF(ISBLANK(AD134),AC134,AD134)))</f>
        <v>5.208333333333333E-3</v>
      </c>
      <c r="AG134" s="57"/>
      <c r="AH134" s="57"/>
      <c r="AI134" s="59">
        <f t="shared" ref="AI134:AI141" si="54">IF(MIN(IF(ISBLANK(AF134),AG134,AF134),IF(ISBLANK(AG134),AF134,AG134))=0,"",MIN(IF(ISBLANK(AF134),AG134,AF134),IF(ISBLANK(AG134),AF134,AG134)))</f>
        <v>5.208333333333333E-3</v>
      </c>
      <c r="AJ134" s="57"/>
      <c r="AK134" s="57"/>
      <c r="AL134" s="59">
        <f t="shared" ref="AL134:AL142" si="55">IF(MIN(IF(ISBLANK(AI134),AJ134,AI134),IF(ISBLANK(AJ134),AI134,AJ134))=0,"",MIN(IF(ISBLANK(AI134),AJ134,AI134),IF(ISBLANK(AJ134),AI134,AJ134)))</f>
        <v>5.208333333333333E-3</v>
      </c>
      <c r="AM134" s="57"/>
      <c r="AN134" s="57"/>
      <c r="AO134" s="59">
        <f t="shared" ref="AO134:AO142" si="56">IF(MIN(IF(ISBLANK(AL134),AM134,AL134),IF(ISBLANK(AM134),AL134,AM134))=0,"",MIN(IF(ISBLANK(AL134),AM134,AL134),IF(ISBLANK(AM134),AL134,AM134)))</f>
        <v>5.208333333333333E-3</v>
      </c>
      <c r="AP134" s="57"/>
      <c r="AQ134" s="59">
        <f t="shared" si="29"/>
        <v>5.208333333333333E-3</v>
      </c>
      <c r="AR134" s="57"/>
      <c r="AS134" s="57"/>
      <c r="AT134" s="59">
        <f t="shared" si="30"/>
        <v>5.208333333333333E-3</v>
      </c>
    </row>
    <row r="135" spans="1:46" ht="18.75" hidden="1" customHeight="1">
      <c r="A135" s="24"/>
      <c r="B135" s="26" t="s">
        <v>227</v>
      </c>
      <c r="C135" s="26" t="s">
        <v>443</v>
      </c>
      <c r="D135" s="55">
        <v>5.7291666666666671E-3</v>
      </c>
      <c r="E135" s="51"/>
      <c r="F135" s="55">
        <v>5.7291666666666671E-3</v>
      </c>
      <c r="G135" s="57">
        <v>5.6249999999999989E-3</v>
      </c>
      <c r="H135" s="55">
        <v>5.6249999999999989E-3</v>
      </c>
      <c r="I135" s="57">
        <v>5.6018518518518518E-3</v>
      </c>
      <c r="J135" s="55">
        <v>5.6018518518518518E-3</v>
      </c>
      <c r="K135" s="57">
        <v>5.5208333333333333E-3</v>
      </c>
      <c r="L135" s="55">
        <v>5.5208333333333333E-3</v>
      </c>
      <c r="M135" s="57">
        <v>5.7175925925925927E-3</v>
      </c>
      <c r="N135" s="55">
        <v>5.5208333333333333E-3</v>
      </c>
      <c r="O135" s="57">
        <v>5.7060185185185191E-3</v>
      </c>
      <c r="P135" s="57"/>
      <c r="Q135" s="59">
        <f>IF(MIN(IF(ISBLANK(O135),N135,O135),IF(ISBLANK(N135),O135,N135))=0,"",MIN(IF(ISBLANK(O135),N135,O135),IF(ISBLANK(N135),O135,N135)))</f>
        <v>5.5208333333333333E-3</v>
      </c>
      <c r="R135" s="57"/>
      <c r="S135" s="57"/>
      <c r="T135" s="59">
        <f t="shared" si="49"/>
        <v>5.5208333333333333E-3</v>
      </c>
      <c r="U135" s="57"/>
      <c r="V135" s="57"/>
      <c r="W135" s="59">
        <f t="shared" si="50"/>
        <v>5.5208333333333333E-3</v>
      </c>
      <c r="X135" s="57"/>
      <c r="Y135" s="57"/>
      <c r="Z135" s="59">
        <f t="shared" si="51"/>
        <v>5.5208333333333333E-3</v>
      </c>
      <c r="AA135" s="57"/>
      <c r="AB135" s="57"/>
      <c r="AC135" s="59">
        <f t="shared" si="52"/>
        <v>5.5208333333333333E-3</v>
      </c>
      <c r="AD135" s="57"/>
      <c r="AE135" s="57"/>
      <c r="AF135" s="59">
        <f t="shared" si="53"/>
        <v>5.5208333333333333E-3</v>
      </c>
      <c r="AG135" s="57"/>
      <c r="AH135" s="57"/>
      <c r="AI135" s="59">
        <f t="shared" si="54"/>
        <v>5.5208333333333333E-3</v>
      </c>
      <c r="AJ135" s="57"/>
      <c r="AK135" s="57"/>
      <c r="AL135" s="59">
        <f t="shared" si="55"/>
        <v>5.5208333333333333E-3</v>
      </c>
      <c r="AM135" s="57"/>
      <c r="AN135" s="57"/>
      <c r="AO135" s="59">
        <f t="shared" si="56"/>
        <v>5.5208333333333333E-3</v>
      </c>
      <c r="AP135" s="57"/>
      <c r="AQ135" s="59">
        <f t="shared" si="29"/>
        <v>5.5208333333333333E-3</v>
      </c>
      <c r="AR135" s="57"/>
      <c r="AS135" s="57"/>
      <c r="AT135" s="59">
        <f t="shared" si="30"/>
        <v>5.5208333333333333E-3</v>
      </c>
    </row>
    <row r="136" spans="1:46" ht="18.75" hidden="1" customHeight="1">
      <c r="A136" s="24"/>
      <c r="B136" s="26" t="s">
        <v>240</v>
      </c>
      <c r="C136" s="26" t="s">
        <v>443</v>
      </c>
      <c r="D136" s="50"/>
      <c r="E136" s="51"/>
      <c r="F136" s="50" t="s">
        <v>448</v>
      </c>
      <c r="G136" s="52"/>
      <c r="H136" s="50"/>
      <c r="I136" s="53"/>
      <c r="J136" s="50" t="s">
        <v>448</v>
      </c>
      <c r="K136" s="53"/>
      <c r="L136" s="50"/>
      <c r="M136" s="57"/>
      <c r="N136" s="55" t="s">
        <v>448</v>
      </c>
      <c r="O136" s="57"/>
      <c r="P136" s="57"/>
      <c r="Q136" s="59" t="str">
        <f>IF(MIN(IF(ISBLANK(O136),N136,O136),IF(ISBLANK(N136),O136,N136))=0,"",MIN(IF(ISBLANK(O136),N136,O136),IF(ISBLANK(N136),O136,N136)))</f>
        <v/>
      </c>
      <c r="R136" s="57"/>
      <c r="S136" s="57"/>
      <c r="T136" s="59" t="str">
        <f t="shared" si="49"/>
        <v/>
      </c>
      <c r="U136" s="57"/>
      <c r="V136" s="57"/>
      <c r="W136" s="59" t="str">
        <f t="shared" si="50"/>
        <v/>
      </c>
      <c r="X136" s="57"/>
      <c r="Y136" s="57"/>
      <c r="Z136" s="59" t="str">
        <f t="shared" si="51"/>
        <v/>
      </c>
      <c r="AA136" s="57"/>
      <c r="AB136" s="57"/>
      <c r="AC136" s="59" t="str">
        <f t="shared" si="52"/>
        <v/>
      </c>
      <c r="AD136" s="57"/>
      <c r="AE136" s="57"/>
      <c r="AF136" s="59" t="str">
        <f t="shared" si="53"/>
        <v/>
      </c>
      <c r="AG136" s="57"/>
      <c r="AH136" s="57"/>
      <c r="AI136" s="59" t="str">
        <f t="shared" si="54"/>
        <v/>
      </c>
      <c r="AJ136" s="57"/>
      <c r="AK136" s="57"/>
      <c r="AL136" s="59" t="str">
        <f t="shared" si="55"/>
        <v/>
      </c>
      <c r="AM136" s="57"/>
      <c r="AN136" s="57"/>
      <c r="AO136" s="59" t="str">
        <f t="shared" si="56"/>
        <v/>
      </c>
      <c r="AP136" s="57"/>
      <c r="AQ136" s="59" t="str">
        <f t="shared" si="29"/>
        <v/>
      </c>
      <c r="AR136" s="57"/>
      <c r="AS136" s="57"/>
      <c r="AT136" s="59" t="str">
        <f t="shared" si="30"/>
        <v/>
      </c>
    </row>
    <row r="137" spans="1:46" ht="18.75" hidden="1" customHeight="1">
      <c r="A137" s="24"/>
      <c r="B137" s="26" t="s">
        <v>53</v>
      </c>
      <c r="C137" s="26" t="s">
        <v>443</v>
      </c>
      <c r="D137" s="55">
        <v>4.6990740740740743E-3</v>
      </c>
      <c r="E137" s="57">
        <v>4.8032407407407407E-3</v>
      </c>
      <c r="F137" s="55">
        <v>4.6990740740740743E-3</v>
      </c>
      <c r="G137" s="52"/>
      <c r="H137" s="55">
        <v>4.6990740740740743E-3</v>
      </c>
      <c r="I137" s="53"/>
      <c r="J137" s="55">
        <v>4.6990740740740743E-3</v>
      </c>
      <c r="K137" s="53"/>
      <c r="L137" s="55">
        <v>4.6990740740740743E-3</v>
      </c>
      <c r="M137" s="57"/>
      <c r="N137" s="55">
        <v>4.6990740740740743E-3</v>
      </c>
      <c r="O137" s="57"/>
      <c r="P137" s="57"/>
      <c r="Q137" s="59">
        <f>IF(MIN(IF(ISBLANK(O137),N137,O137),IF(ISBLANK(N137),O137,N137))=0,"",MIN(IF(ISBLANK(O137),N137,O137),IF(ISBLANK(N137),O137,N137)))</f>
        <v>4.6990740740740743E-3</v>
      </c>
      <c r="R137" s="57"/>
      <c r="S137" s="57"/>
      <c r="T137" s="59">
        <f t="shared" si="49"/>
        <v>4.6990740740740743E-3</v>
      </c>
      <c r="U137" s="57"/>
      <c r="V137" s="57"/>
      <c r="W137" s="59">
        <f t="shared" si="50"/>
        <v>4.6990740740740743E-3</v>
      </c>
      <c r="X137" s="57"/>
      <c r="Y137" s="57"/>
      <c r="Z137" s="59">
        <f t="shared" si="51"/>
        <v>4.6990740740740743E-3</v>
      </c>
      <c r="AA137" s="57"/>
      <c r="AB137" s="57"/>
      <c r="AC137" s="59">
        <f t="shared" si="52"/>
        <v>4.6990740740740743E-3</v>
      </c>
      <c r="AD137" s="57"/>
      <c r="AE137" s="57"/>
      <c r="AF137" s="59">
        <f t="shared" si="53"/>
        <v>4.6990740740740743E-3</v>
      </c>
      <c r="AG137" s="57"/>
      <c r="AH137" s="57"/>
      <c r="AI137" s="59">
        <f t="shared" si="54"/>
        <v>4.6990740740740743E-3</v>
      </c>
      <c r="AJ137" s="57"/>
      <c r="AK137" s="57"/>
      <c r="AL137" s="59">
        <f t="shared" si="55"/>
        <v>4.6990740740740743E-3</v>
      </c>
      <c r="AM137" s="57"/>
      <c r="AN137" s="57"/>
      <c r="AO137" s="59">
        <f t="shared" si="56"/>
        <v>4.6990740740740743E-3</v>
      </c>
      <c r="AP137" s="57"/>
      <c r="AQ137" s="59">
        <f t="shared" si="29"/>
        <v>4.6990740740740743E-3</v>
      </c>
      <c r="AR137" s="57"/>
      <c r="AS137" s="57"/>
      <c r="AT137" s="59">
        <f t="shared" si="30"/>
        <v>4.6990740740740743E-3</v>
      </c>
    </row>
    <row r="138" spans="1:46" ht="18.75" hidden="1" customHeight="1">
      <c r="A138" s="24"/>
      <c r="B138" s="26" t="s">
        <v>499</v>
      </c>
      <c r="C138" s="26" t="s">
        <v>443</v>
      </c>
      <c r="D138" s="50"/>
      <c r="E138" s="51"/>
      <c r="F138" s="50"/>
      <c r="G138" s="52"/>
      <c r="H138" s="50"/>
      <c r="I138" s="53"/>
      <c r="J138" s="50"/>
      <c r="K138" s="53"/>
      <c r="L138" s="50"/>
      <c r="M138" s="57"/>
      <c r="N138" s="55" t="s">
        <v>448</v>
      </c>
      <c r="O138" s="57"/>
      <c r="P138" s="57"/>
      <c r="Q138" s="59" t="str">
        <f>IF(MIN(IF(ISBLANK(O138),N138,O138),IF(ISBLANK(N138),O138,N138))=0,"",MIN(IF(ISBLANK(O138),N138,O138),IF(ISBLANK(N138),O138,N138)))</f>
        <v/>
      </c>
      <c r="R138" s="57">
        <v>6.1805555555555563E-3</v>
      </c>
      <c r="S138" s="57"/>
      <c r="T138" s="59">
        <f t="shared" si="49"/>
        <v>6.1805555555555563E-3</v>
      </c>
      <c r="U138" s="57"/>
      <c r="V138" s="57"/>
      <c r="W138" s="59">
        <f t="shared" si="50"/>
        <v>6.1805555555555563E-3</v>
      </c>
      <c r="X138" s="57"/>
      <c r="Y138" s="57"/>
      <c r="Z138" s="59">
        <f t="shared" si="51"/>
        <v>6.1805555555555563E-3</v>
      </c>
      <c r="AA138" s="57"/>
      <c r="AB138" s="57"/>
      <c r="AC138" s="59">
        <f t="shared" si="52"/>
        <v>6.1805555555555563E-3</v>
      </c>
      <c r="AD138" s="57"/>
      <c r="AE138" s="57"/>
      <c r="AF138" s="59">
        <f t="shared" si="53"/>
        <v>6.1805555555555563E-3</v>
      </c>
      <c r="AG138" s="57"/>
      <c r="AH138" s="57"/>
      <c r="AI138" s="59">
        <f t="shared" si="54"/>
        <v>6.1805555555555563E-3</v>
      </c>
      <c r="AJ138" s="57"/>
      <c r="AK138" s="57"/>
      <c r="AL138" s="59">
        <f t="shared" si="55"/>
        <v>6.1805555555555563E-3</v>
      </c>
      <c r="AM138" s="57"/>
      <c r="AN138" s="57"/>
      <c r="AO138" s="59">
        <f t="shared" si="56"/>
        <v>6.1805555555555563E-3</v>
      </c>
      <c r="AP138" s="57"/>
      <c r="AQ138" s="59">
        <f t="shared" si="29"/>
        <v>6.1805555555555563E-3</v>
      </c>
      <c r="AR138" s="57"/>
      <c r="AS138" s="57"/>
      <c r="AT138" s="59">
        <f t="shared" si="30"/>
        <v>6.1805555555555563E-3</v>
      </c>
    </row>
    <row r="139" spans="1:46" ht="18.75" hidden="1" customHeight="1">
      <c r="A139" s="24"/>
      <c r="B139" s="26" t="s">
        <v>613</v>
      </c>
      <c r="C139" s="26"/>
      <c r="D139" s="50"/>
      <c r="E139" s="51"/>
      <c r="F139" s="50"/>
      <c r="G139" s="52"/>
      <c r="H139" s="50"/>
      <c r="I139" s="53"/>
      <c r="J139" s="50"/>
      <c r="K139" s="53"/>
      <c r="L139" s="50"/>
      <c r="M139" s="57"/>
      <c r="N139" s="55"/>
      <c r="O139" s="57"/>
      <c r="P139" s="57"/>
      <c r="Q139" s="59"/>
      <c r="R139" s="57"/>
      <c r="S139" s="57"/>
      <c r="T139" s="59" t="str">
        <f t="shared" si="49"/>
        <v/>
      </c>
      <c r="U139" s="57">
        <v>1.0763888888888891E-2</v>
      </c>
      <c r="V139" s="57"/>
      <c r="W139" s="59">
        <f t="shared" si="50"/>
        <v>1.0763888888888891E-2</v>
      </c>
      <c r="X139" s="57"/>
      <c r="Y139" s="57"/>
      <c r="Z139" s="59">
        <f t="shared" si="51"/>
        <v>1.0763888888888891E-2</v>
      </c>
      <c r="AA139" s="57"/>
      <c r="AB139" s="57"/>
      <c r="AC139" s="59">
        <f t="shared" si="52"/>
        <v>1.0763888888888891E-2</v>
      </c>
      <c r="AD139" s="57"/>
      <c r="AE139" s="57"/>
      <c r="AF139" s="59">
        <f t="shared" si="53"/>
        <v>1.0763888888888891E-2</v>
      </c>
      <c r="AG139" s="57"/>
      <c r="AH139" s="57"/>
      <c r="AI139" s="59">
        <f t="shared" si="54"/>
        <v>1.0763888888888891E-2</v>
      </c>
      <c r="AJ139" s="57"/>
      <c r="AK139" s="57"/>
      <c r="AL139" s="59">
        <f t="shared" si="55"/>
        <v>1.0763888888888891E-2</v>
      </c>
      <c r="AM139" s="57"/>
      <c r="AN139" s="57"/>
      <c r="AO139" s="59">
        <f t="shared" si="56"/>
        <v>1.0763888888888891E-2</v>
      </c>
      <c r="AP139" s="57"/>
      <c r="AQ139" s="59">
        <f t="shared" si="29"/>
        <v>1.0763888888888891E-2</v>
      </c>
      <c r="AR139" s="57"/>
      <c r="AS139" s="57"/>
      <c r="AT139" s="59">
        <f t="shared" ref="AT139:AT202" si="57">IF(MIN(IF(ISBLANK(AQ139),AR139,AQ139),IF(ISBLANK(AR139),AQ139,AR139))=0,"",MIN(IF(ISBLANK(AQ139),AR139,AQ139),IF(ISBLANK(AR139),AQ139,AR139)))</f>
        <v>1.0763888888888891E-2</v>
      </c>
    </row>
    <row r="140" spans="1:46" ht="18.75" hidden="1" customHeight="1">
      <c r="A140" s="24"/>
      <c r="B140" s="26" t="s">
        <v>706</v>
      </c>
      <c r="C140" s="26"/>
      <c r="D140" s="50"/>
      <c r="E140" s="51"/>
      <c r="F140" s="50"/>
      <c r="G140" s="52"/>
      <c r="H140" s="50"/>
      <c r="I140" s="53"/>
      <c r="J140" s="50"/>
      <c r="K140" s="53"/>
      <c r="L140" s="50"/>
      <c r="M140" s="57"/>
      <c r="N140" s="55"/>
      <c r="O140" s="57"/>
      <c r="P140" s="57"/>
      <c r="Q140" s="59"/>
      <c r="R140" s="57"/>
      <c r="S140" s="57"/>
      <c r="T140" s="59"/>
      <c r="U140" s="57"/>
      <c r="V140" s="57"/>
      <c r="W140" s="59"/>
      <c r="X140" s="57"/>
      <c r="Y140" s="57"/>
      <c r="Z140" s="59"/>
      <c r="AA140" s="57">
        <v>5.5555555555555558E-3</v>
      </c>
      <c r="AB140" s="57"/>
      <c r="AC140" s="59">
        <f t="shared" si="52"/>
        <v>5.5555555555555558E-3</v>
      </c>
      <c r="AD140" s="57"/>
      <c r="AE140" s="57"/>
      <c r="AF140" s="59">
        <f t="shared" si="53"/>
        <v>5.5555555555555558E-3</v>
      </c>
      <c r="AG140" s="57"/>
      <c r="AH140" s="57"/>
      <c r="AI140" s="59">
        <f t="shared" si="54"/>
        <v>5.5555555555555558E-3</v>
      </c>
      <c r="AJ140" s="57"/>
      <c r="AK140" s="57"/>
      <c r="AL140" s="59">
        <f t="shared" si="55"/>
        <v>5.5555555555555558E-3</v>
      </c>
      <c r="AM140" s="57"/>
      <c r="AN140" s="57"/>
      <c r="AO140" s="59">
        <f t="shared" si="56"/>
        <v>5.5555555555555558E-3</v>
      </c>
      <c r="AP140" s="57"/>
      <c r="AQ140" s="59">
        <f t="shared" ref="AQ140:AQ203" si="58">IF(MIN(IF(ISBLANK(AO140),AP140,AO140),IF(ISBLANK(AP140),AO140,AP140))=0,"",MIN(IF(ISBLANK(AO140),AP140,AO140),IF(ISBLANK(AP140),AO140,AP140)))</f>
        <v>5.5555555555555558E-3</v>
      </c>
      <c r="AR140" s="57"/>
      <c r="AS140" s="57"/>
      <c r="AT140" s="59">
        <f t="shared" si="57"/>
        <v>5.5555555555555558E-3</v>
      </c>
    </row>
    <row r="141" spans="1:46" ht="18.75" hidden="1" customHeight="1">
      <c r="A141" s="24"/>
      <c r="B141" s="26" t="s">
        <v>500</v>
      </c>
      <c r="C141" s="26" t="s">
        <v>443</v>
      </c>
      <c r="D141" s="50"/>
      <c r="E141" s="51"/>
      <c r="F141" s="50"/>
      <c r="G141" s="52"/>
      <c r="H141" s="50"/>
      <c r="I141" s="53"/>
      <c r="J141" s="50"/>
      <c r="K141" s="53"/>
      <c r="L141" s="50"/>
      <c r="M141" s="57"/>
      <c r="N141" s="55" t="s">
        <v>448</v>
      </c>
      <c r="O141" s="57">
        <v>6.6319444444444446E-3</v>
      </c>
      <c r="P141" s="57"/>
      <c r="Q141" s="59">
        <f>IF(MIN(IF(ISBLANK(O141),N141,O141),IF(ISBLANK(N141),O141,N141))=0,"",MIN(IF(ISBLANK(O141),N141,O141),IF(ISBLANK(N141),O141,N141)))</f>
        <v>6.6319444444444446E-3</v>
      </c>
      <c r="R141" s="57"/>
      <c r="S141" s="57"/>
      <c r="T141" s="59">
        <f>IF(MIN(IF(ISBLANK(R141),Q141,R141),IF(ISBLANK(Q141),R141,Q141))=0,"",MIN(IF(ISBLANK(R141),Q141,R141),IF(ISBLANK(Q141),R141,Q141)))</f>
        <v>6.6319444444444446E-3</v>
      </c>
      <c r="U141" s="57"/>
      <c r="V141" s="57"/>
      <c r="W141" s="59">
        <f>IF(MIN(IF(ISBLANK(U141),T141,U141),IF(ISBLANK(T141),U141,T141))=0,"",MIN(IF(ISBLANK(U141),T141,U141),IF(ISBLANK(T141),U141,T141)))</f>
        <v>6.6319444444444446E-3</v>
      </c>
      <c r="X141" s="57"/>
      <c r="Y141" s="57"/>
      <c r="Z141" s="59">
        <f>IF(MIN(IF(ISBLANK(X141),W141,X141),IF(ISBLANK(W141),X141,W141))=0,"",MIN(IF(ISBLANK(X141),W141,X141),IF(ISBLANK(W141),X141,W141)))</f>
        <v>6.6319444444444446E-3</v>
      </c>
      <c r="AA141" s="57"/>
      <c r="AB141" s="57"/>
      <c r="AC141" s="59">
        <f t="shared" si="52"/>
        <v>6.6319444444444446E-3</v>
      </c>
      <c r="AD141" s="57"/>
      <c r="AE141" s="57"/>
      <c r="AF141" s="59">
        <f t="shared" si="53"/>
        <v>6.6319444444444446E-3</v>
      </c>
      <c r="AG141" s="57"/>
      <c r="AH141" s="57"/>
      <c r="AI141" s="59">
        <f t="shared" si="54"/>
        <v>6.6319444444444446E-3</v>
      </c>
      <c r="AJ141" s="57"/>
      <c r="AK141" s="57"/>
      <c r="AL141" s="59">
        <f t="shared" si="55"/>
        <v>6.6319444444444446E-3</v>
      </c>
      <c r="AM141" s="57"/>
      <c r="AN141" s="57"/>
      <c r="AO141" s="59">
        <f t="shared" si="56"/>
        <v>6.6319444444444446E-3</v>
      </c>
      <c r="AP141" s="57"/>
      <c r="AQ141" s="59">
        <f t="shared" si="58"/>
        <v>6.6319444444444446E-3</v>
      </c>
      <c r="AR141" s="57"/>
      <c r="AS141" s="57"/>
      <c r="AT141" s="59">
        <f t="shared" si="57"/>
        <v>6.6319444444444446E-3</v>
      </c>
    </row>
    <row r="142" spans="1:46" ht="18.75" customHeight="1">
      <c r="A142" s="24" t="s">
        <v>792</v>
      </c>
      <c r="B142" s="26" t="s">
        <v>784</v>
      </c>
      <c r="C142" s="26"/>
      <c r="D142" s="50"/>
      <c r="E142" s="51"/>
      <c r="F142" s="50"/>
      <c r="G142" s="52"/>
      <c r="H142" s="50"/>
      <c r="I142" s="53"/>
      <c r="J142" s="50"/>
      <c r="K142" s="53"/>
      <c r="L142" s="50"/>
      <c r="M142" s="57"/>
      <c r="N142" s="55"/>
      <c r="O142" s="57"/>
      <c r="P142" s="57"/>
      <c r="Q142" s="59"/>
      <c r="R142" s="57"/>
      <c r="S142" s="57"/>
      <c r="T142" s="59"/>
      <c r="U142" s="57"/>
      <c r="V142" s="57"/>
      <c r="W142" s="59"/>
      <c r="X142" s="57"/>
      <c r="Y142" s="57"/>
      <c r="Z142" s="59"/>
      <c r="AA142" s="57"/>
      <c r="AB142" s="57"/>
      <c r="AC142" s="59"/>
      <c r="AD142" s="57"/>
      <c r="AE142" s="57"/>
      <c r="AF142" s="59"/>
      <c r="AG142" s="57"/>
      <c r="AH142" s="57"/>
      <c r="AI142" s="59"/>
      <c r="AJ142" s="57"/>
      <c r="AK142" s="57"/>
      <c r="AL142" s="59" t="str">
        <f t="shared" si="55"/>
        <v/>
      </c>
      <c r="AM142" s="57">
        <v>8.0555555555555554E-3</v>
      </c>
      <c r="AN142" s="57"/>
      <c r="AO142" s="59">
        <f t="shared" si="56"/>
        <v>8.0555555555555554E-3</v>
      </c>
      <c r="AP142" s="57">
        <v>8.0439814814814818E-3</v>
      </c>
      <c r="AQ142" s="59">
        <f t="shared" si="58"/>
        <v>8.0439814814814818E-3</v>
      </c>
      <c r="AR142" s="57"/>
      <c r="AS142" s="57"/>
      <c r="AT142" s="59">
        <f t="shared" si="57"/>
        <v>8.0439814814814818E-3</v>
      </c>
    </row>
    <row r="143" spans="1:46" ht="18.75" hidden="1" customHeight="1">
      <c r="A143" s="24"/>
      <c r="B143" s="26" t="s">
        <v>874</v>
      </c>
      <c r="C143" s="26"/>
      <c r="D143" s="50"/>
      <c r="E143" s="51"/>
      <c r="F143" s="50"/>
      <c r="G143" s="52"/>
      <c r="H143" s="50"/>
      <c r="I143" s="53"/>
      <c r="J143" s="50"/>
      <c r="K143" s="53"/>
      <c r="L143" s="50"/>
      <c r="M143" s="57"/>
      <c r="N143" s="55"/>
      <c r="O143" s="57"/>
      <c r="P143" s="57"/>
      <c r="Q143" s="59"/>
      <c r="R143" s="57"/>
      <c r="S143" s="57"/>
      <c r="T143" s="59"/>
      <c r="U143" s="57"/>
      <c r="V143" s="57"/>
      <c r="W143" s="59"/>
      <c r="X143" s="57"/>
      <c r="Y143" s="57"/>
      <c r="Z143" s="59"/>
      <c r="AA143" s="57"/>
      <c r="AB143" s="57"/>
      <c r="AC143" s="59"/>
      <c r="AD143" s="57"/>
      <c r="AE143" s="57"/>
      <c r="AF143" s="59"/>
      <c r="AG143" s="57"/>
      <c r="AH143" s="57"/>
      <c r="AI143" s="59"/>
      <c r="AJ143" s="57"/>
      <c r="AK143" s="57"/>
      <c r="AL143" s="59"/>
      <c r="AM143" s="57"/>
      <c r="AN143" s="57"/>
      <c r="AO143" s="59"/>
      <c r="AP143" s="57"/>
      <c r="AQ143" s="59" t="str">
        <f t="shared" si="58"/>
        <v/>
      </c>
      <c r="AR143" s="57"/>
      <c r="AS143" s="57"/>
      <c r="AT143" s="59" t="str">
        <f t="shared" si="57"/>
        <v/>
      </c>
    </row>
    <row r="144" spans="1:46" ht="18.75" customHeight="1">
      <c r="A144" s="24" t="s">
        <v>792</v>
      </c>
      <c r="B144" s="26" t="s">
        <v>879</v>
      </c>
      <c r="C144" s="26" t="s">
        <v>444</v>
      </c>
      <c r="D144" s="50"/>
      <c r="E144" s="51"/>
      <c r="F144" s="50"/>
      <c r="G144" s="52"/>
      <c r="H144" s="50"/>
      <c r="I144" s="53"/>
      <c r="J144" s="50"/>
      <c r="K144" s="53"/>
      <c r="L144" s="50"/>
      <c r="M144" s="57"/>
      <c r="N144" s="55"/>
      <c r="O144" s="57"/>
      <c r="P144" s="57"/>
      <c r="Q144" s="59"/>
      <c r="R144" s="57"/>
      <c r="S144" s="57"/>
      <c r="T144" s="59"/>
      <c r="U144" s="57"/>
      <c r="V144" s="57"/>
      <c r="W144" s="59"/>
      <c r="X144" s="57"/>
      <c r="Y144" s="57"/>
      <c r="Z144" s="59"/>
      <c r="AA144" s="57"/>
      <c r="AB144" s="57"/>
      <c r="AC144" s="59"/>
      <c r="AD144" s="57"/>
      <c r="AE144" s="57"/>
      <c r="AF144" s="59"/>
      <c r="AG144" s="57"/>
      <c r="AH144" s="57"/>
      <c r="AI144" s="59"/>
      <c r="AJ144" s="57"/>
      <c r="AK144" s="57"/>
      <c r="AL144" s="59"/>
      <c r="AM144" s="57"/>
      <c r="AN144" s="57"/>
      <c r="AO144" s="59"/>
      <c r="AP144" s="57"/>
      <c r="AQ144" s="59" t="str">
        <f t="shared" si="58"/>
        <v/>
      </c>
      <c r="AR144" s="57">
        <v>9.8842592592592576E-3</v>
      </c>
      <c r="AS144" s="57"/>
      <c r="AT144" s="59">
        <f t="shared" si="57"/>
        <v>9.8842592592592576E-3</v>
      </c>
    </row>
    <row r="145" spans="1:46" hidden="1">
      <c r="A145" s="24"/>
      <c r="B145" s="26" t="s">
        <v>624</v>
      </c>
      <c r="C145" s="26"/>
      <c r="D145" s="50"/>
      <c r="E145" s="51"/>
      <c r="F145" s="50"/>
      <c r="G145" s="52"/>
      <c r="H145" s="50"/>
      <c r="I145" s="53"/>
      <c r="J145" s="50"/>
      <c r="K145" s="53"/>
      <c r="L145" s="50"/>
      <c r="M145" s="57"/>
      <c r="N145" s="55"/>
      <c r="O145" s="57"/>
      <c r="P145" s="57"/>
      <c r="Q145" s="59"/>
      <c r="R145" s="57"/>
      <c r="S145" s="57"/>
      <c r="T145" s="59"/>
      <c r="U145" s="57"/>
      <c r="V145" s="57"/>
      <c r="W145" s="59"/>
      <c r="X145" s="57">
        <v>6.238425925925925E-3</v>
      </c>
      <c r="Y145" s="57"/>
      <c r="Z145" s="59">
        <f>IF(MIN(IF(ISBLANK(X145),W145,X145),IF(ISBLANK(W145),X145,W145))=0,"",MIN(IF(ISBLANK(X145),W145,X145),IF(ISBLANK(W145),X145,W145)))</f>
        <v>6.238425925925925E-3</v>
      </c>
      <c r="AA145" s="57">
        <v>5.7870370370370376E-3</v>
      </c>
      <c r="AB145" s="57"/>
      <c r="AC145" s="59">
        <f>IF(MIN(IF(ISBLANK(Z145),AA145,Z145),IF(ISBLANK(AA145),Z145,AA145))=0,"",MIN(IF(ISBLANK(Z145),AA145,Z145),IF(ISBLANK(AA145),Z145,AA145)))</f>
        <v>5.7870370370370376E-3</v>
      </c>
      <c r="AD145" s="57"/>
      <c r="AE145" s="57"/>
      <c r="AF145" s="59">
        <f>IF(MIN(IF(ISBLANK(AC145),AD145,AC145),IF(ISBLANK(AD145),AC145,AD145))=0,"",MIN(IF(ISBLANK(AC145),AD145,AC145),IF(ISBLANK(AD145),AC145,AD145)))</f>
        <v>5.7870370370370376E-3</v>
      </c>
      <c r="AG145" s="57"/>
      <c r="AH145" s="57"/>
      <c r="AI145" s="59">
        <f>IF(MIN(IF(ISBLANK(AF145),AG145,AF145),IF(ISBLANK(AG145),AF145,AG145))=0,"",MIN(IF(ISBLANK(AF145),AG145,AF145),IF(ISBLANK(AG145),AF145,AG145)))</f>
        <v>5.7870370370370376E-3</v>
      </c>
      <c r="AJ145" s="57"/>
      <c r="AK145" s="57"/>
      <c r="AL145" s="59">
        <f>IF(MIN(IF(ISBLANK(AI145),AJ145,AI145),IF(ISBLANK(AJ145),AI145,AJ145))=0,"",MIN(IF(ISBLANK(AI145),AJ145,AI145),IF(ISBLANK(AJ145),AI145,AJ145)))</f>
        <v>5.7870370370370376E-3</v>
      </c>
      <c r="AM145" s="57"/>
      <c r="AN145" s="57"/>
      <c r="AO145" s="59">
        <f>IF(MIN(IF(ISBLANK(AL145),AM145,AL145),IF(ISBLANK(AM145),AL145,AM145))=0,"",MIN(IF(ISBLANK(AL145),AM145,AL145),IF(ISBLANK(AM145),AL145,AM145)))</f>
        <v>5.7870370370370376E-3</v>
      </c>
      <c r="AP145" s="57"/>
      <c r="AQ145" s="59">
        <f t="shared" si="58"/>
        <v>5.7870370370370376E-3</v>
      </c>
      <c r="AR145" s="57"/>
      <c r="AS145" s="57"/>
      <c r="AT145" s="59">
        <f t="shared" si="57"/>
        <v>5.7870370370370376E-3</v>
      </c>
    </row>
    <row r="146" spans="1:46" hidden="1">
      <c r="A146" s="24"/>
      <c r="B146" s="26" t="s">
        <v>59</v>
      </c>
      <c r="C146" s="26" t="s">
        <v>444</v>
      </c>
      <c r="D146" s="50"/>
      <c r="E146" s="51"/>
      <c r="F146" s="50" t="s">
        <v>448</v>
      </c>
      <c r="G146" s="52"/>
      <c r="H146" s="50"/>
      <c r="I146" s="53"/>
      <c r="J146" s="50" t="s">
        <v>448</v>
      </c>
      <c r="K146" s="53"/>
      <c r="L146" s="50"/>
      <c r="M146" s="57"/>
      <c r="N146" s="55" t="s">
        <v>448</v>
      </c>
      <c r="O146" s="57"/>
      <c r="P146" s="57"/>
      <c r="Q146" s="59" t="str">
        <f>IF(MIN(IF(ISBLANK(O146),N146,O146),IF(ISBLANK(N146),O146,N146))=0,"",MIN(IF(ISBLANK(O146),N146,O146),IF(ISBLANK(N146),O146,N146)))</f>
        <v/>
      </c>
      <c r="R146" s="57"/>
      <c r="S146" s="57"/>
      <c r="T146" s="59" t="str">
        <f>IF(MIN(IF(ISBLANK(R146),Q146,R146),IF(ISBLANK(Q146),R146,Q146))=0,"",MIN(IF(ISBLANK(R146),Q146,R146),IF(ISBLANK(Q146),R146,Q146)))</f>
        <v/>
      </c>
      <c r="U146" s="57"/>
      <c r="V146" s="57"/>
      <c r="W146" s="59" t="str">
        <f>IF(MIN(IF(ISBLANK(U146),T146,U146),IF(ISBLANK(T146),U146,T146))=0,"",MIN(IF(ISBLANK(U146),T146,U146),IF(ISBLANK(T146),U146,T146)))</f>
        <v/>
      </c>
      <c r="X146" s="57"/>
      <c r="Y146" s="57"/>
      <c r="Z146" s="59" t="str">
        <f>IF(MIN(IF(ISBLANK(X146),W146,X146),IF(ISBLANK(W146),X146,W146))=0,"",MIN(IF(ISBLANK(X146),W146,X146),IF(ISBLANK(W146),X146,W146)))</f>
        <v/>
      </c>
      <c r="AA146" s="57"/>
      <c r="AB146" s="57"/>
      <c r="AC146" s="59" t="str">
        <f>IF(MIN(IF(ISBLANK(Z146),AA146,Z146),IF(ISBLANK(AA146),Z146,AA146))=0,"",MIN(IF(ISBLANK(Z146),AA146,Z146),IF(ISBLANK(AA146),Z146,AA146)))</f>
        <v/>
      </c>
      <c r="AD146" s="57"/>
      <c r="AE146" s="57"/>
      <c r="AF146" s="59" t="str">
        <f>IF(MIN(IF(ISBLANK(AC146),AD146,AC146),IF(ISBLANK(AD146),AC146,AD146))=0,"",MIN(IF(ISBLANK(AC146),AD146,AC146),IF(ISBLANK(AD146),AC146,AD146)))</f>
        <v/>
      </c>
      <c r="AG146" s="57"/>
      <c r="AH146" s="57"/>
      <c r="AI146" s="59" t="str">
        <f>IF(MIN(IF(ISBLANK(AF146),AG146,AF146),IF(ISBLANK(AG146),AF146,AG146))=0,"",MIN(IF(ISBLANK(AF146),AG146,AF146),IF(ISBLANK(AG146),AF146,AG146)))</f>
        <v/>
      </c>
      <c r="AJ146" s="57"/>
      <c r="AK146" s="57"/>
      <c r="AL146" s="59" t="str">
        <f>IF(MIN(IF(ISBLANK(AI146),AJ146,AI146),IF(ISBLANK(AJ146),AI146,AJ146))=0,"",MIN(IF(ISBLANK(AI146),AJ146,AI146),IF(ISBLANK(AJ146),AI146,AJ146)))</f>
        <v/>
      </c>
      <c r="AM146" s="57"/>
      <c r="AN146" s="57"/>
      <c r="AO146" s="59" t="str">
        <f>IF(MIN(IF(ISBLANK(AL146),AM146,AL146),IF(ISBLANK(AM146),AL146,AM146))=0,"",MIN(IF(ISBLANK(AL146),AM146,AL146),IF(ISBLANK(AM146),AL146,AM146)))</f>
        <v/>
      </c>
      <c r="AP146" s="57"/>
      <c r="AQ146" s="59" t="str">
        <f t="shared" si="58"/>
        <v/>
      </c>
      <c r="AR146" s="57"/>
      <c r="AS146" s="57"/>
      <c r="AT146" s="59" t="str">
        <f t="shared" si="57"/>
        <v/>
      </c>
    </row>
    <row r="147" spans="1:46" hidden="1">
      <c r="A147" s="24"/>
      <c r="B147" s="26" t="s">
        <v>339</v>
      </c>
      <c r="C147" s="26" t="s">
        <v>444</v>
      </c>
      <c r="D147" s="50"/>
      <c r="E147" s="51"/>
      <c r="F147" s="50" t="s">
        <v>448</v>
      </c>
      <c r="G147" s="52"/>
      <c r="H147" s="50"/>
      <c r="I147" s="53"/>
      <c r="J147" s="50" t="s">
        <v>448</v>
      </c>
      <c r="K147" s="57">
        <v>6.3425925925925915E-3</v>
      </c>
      <c r="L147" s="55">
        <v>6.3425925925925915E-3</v>
      </c>
      <c r="M147" s="57">
        <v>6.3541666666666668E-3</v>
      </c>
      <c r="N147" s="55">
        <v>6.3425925925925915E-3</v>
      </c>
      <c r="O147" s="57"/>
      <c r="P147" s="57"/>
      <c r="Q147" s="59">
        <f>IF(MIN(IF(ISBLANK(O147),N147,O147),IF(ISBLANK(N147),O147,N147))=0,"",MIN(IF(ISBLANK(O147),N147,O147),IF(ISBLANK(N147),O147,N147)))</f>
        <v>6.3425925925925915E-3</v>
      </c>
      <c r="R147" s="57"/>
      <c r="S147" s="57"/>
      <c r="T147" s="59">
        <f>IF(MIN(IF(ISBLANK(R147),Q147,R147),IF(ISBLANK(Q147),R147,Q147))=0,"",MIN(IF(ISBLANK(R147),Q147,R147),IF(ISBLANK(Q147),R147,Q147)))</f>
        <v>6.3425925925925915E-3</v>
      </c>
      <c r="U147" s="57"/>
      <c r="V147" s="57"/>
      <c r="W147" s="59">
        <f>IF(MIN(IF(ISBLANK(U147),T147,U147),IF(ISBLANK(T147),U147,T147))=0,"",MIN(IF(ISBLANK(U147),T147,U147),IF(ISBLANK(T147),U147,T147)))</f>
        <v>6.3425925925925915E-3</v>
      </c>
      <c r="X147" s="57"/>
      <c r="Y147" s="57"/>
      <c r="Z147" s="59">
        <f>IF(MIN(IF(ISBLANK(X147),W147,X147),IF(ISBLANK(W147),X147,W147))=0,"",MIN(IF(ISBLANK(X147),W147,X147),IF(ISBLANK(W147),X147,W147)))</f>
        <v>6.3425925925925915E-3</v>
      </c>
      <c r="AA147" s="57"/>
      <c r="AB147" s="57"/>
      <c r="AC147" s="59">
        <f>IF(MIN(IF(ISBLANK(Z147),AA147,Z147),IF(ISBLANK(AA147),Z147,AA147))=0,"",MIN(IF(ISBLANK(Z147),AA147,Z147),IF(ISBLANK(AA147),Z147,AA147)))</f>
        <v>6.3425925925925915E-3</v>
      </c>
      <c r="AD147" s="57"/>
      <c r="AE147" s="57"/>
      <c r="AF147" s="59">
        <f>IF(MIN(IF(ISBLANK(AC147),AD147,AC147),IF(ISBLANK(AD147),AC147,AD147))=0,"",MIN(IF(ISBLANK(AC147),AD147,AC147),IF(ISBLANK(AD147),AC147,AD147)))</f>
        <v>6.3425925925925915E-3</v>
      </c>
      <c r="AG147" s="57"/>
      <c r="AH147" s="57"/>
      <c r="AI147" s="59">
        <f>IF(MIN(IF(ISBLANK(AF147),AG147,AF147),IF(ISBLANK(AG147),AF147,AG147))=0,"",MIN(IF(ISBLANK(AF147),AG147,AF147),IF(ISBLANK(AG147),AF147,AG147)))</f>
        <v>6.3425925925925915E-3</v>
      </c>
      <c r="AJ147" s="57"/>
      <c r="AK147" s="57"/>
      <c r="AL147" s="59">
        <f>IF(MIN(IF(ISBLANK(AI147),AJ147,AI147),IF(ISBLANK(AJ147),AI147,AJ147))=0,"",MIN(IF(ISBLANK(AI147),AJ147,AI147),IF(ISBLANK(AJ147),AI147,AJ147)))</f>
        <v>6.3425925925925915E-3</v>
      </c>
      <c r="AM147" s="57"/>
      <c r="AN147" s="57"/>
      <c r="AO147" s="59">
        <f>IF(MIN(IF(ISBLANK(AL147),AM147,AL147),IF(ISBLANK(AM147),AL147,AM147))=0,"",MIN(IF(ISBLANK(AL147),AM147,AL147),IF(ISBLANK(AM147),AL147,AM147)))</f>
        <v>6.3425925925925915E-3</v>
      </c>
      <c r="AP147" s="57"/>
      <c r="AQ147" s="59">
        <f t="shared" si="58"/>
        <v>6.3425925925925915E-3</v>
      </c>
      <c r="AR147" s="57"/>
      <c r="AS147" s="57"/>
      <c r="AT147" s="59">
        <f t="shared" si="57"/>
        <v>6.3425925925925915E-3</v>
      </c>
    </row>
    <row r="148" spans="1:46" hidden="1">
      <c r="A148" s="24"/>
      <c r="B148" s="26" t="s">
        <v>63</v>
      </c>
      <c r="C148" s="26" t="s">
        <v>444</v>
      </c>
      <c r="D148" s="55">
        <v>5.347222222222222E-3</v>
      </c>
      <c r="E148" s="57">
        <v>5.4398148148148149E-3</v>
      </c>
      <c r="F148" s="55">
        <v>5.347222222222222E-3</v>
      </c>
      <c r="G148" s="57">
        <v>5.4282407407407404E-3</v>
      </c>
      <c r="H148" s="55">
        <v>5.347222222222222E-3</v>
      </c>
      <c r="I148" s="57">
        <v>5.2199074074074066E-3</v>
      </c>
      <c r="J148" s="55">
        <v>5.2199074074074066E-3</v>
      </c>
      <c r="K148" s="53"/>
      <c r="L148" s="55">
        <v>5.2199074074074066E-3</v>
      </c>
      <c r="M148" s="57">
        <v>5.6018518518518518E-3</v>
      </c>
      <c r="N148" s="55">
        <v>5.2199074074074066E-3</v>
      </c>
      <c r="O148" s="57"/>
      <c r="P148" s="57"/>
      <c r="Q148" s="59">
        <f>IF(MIN(IF(ISBLANK(O148),N148,O148),IF(ISBLANK(N148),O148,N148))=0,"",MIN(IF(ISBLANK(O148),N148,O148),IF(ISBLANK(N148),O148,N148)))</f>
        <v>5.2199074074074066E-3</v>
      </c>
      <c r="R148" s="57"/>
      <c r="S148" s="57"/>
      <c r="T148" s="59">
        <f>IF(MIN(IF(ISBLANK(R148),Q148,R148),IF(ISBLANK(Q148),R148,Q148))=0,"",MIN(IF(ISBLANK(R148),Q148,R148),IF(ISBLANK(Q148),R148,Q148)))</f>
        <v>5.2199074074074066E-3</v>
      </c>
      <c r="U148" s="57"/>
      <c r="V148" s="57"/>
      <c r="W148" s="59">
        <f>IF(MIN(IF(ISBLANK(U148),T148,U148),IF(ISBLANK(T148),U148,T148))=0,"",MIN(IF(ISBLANK(U148),T148,U148),IF(ISBLANK(T148),U148,T148)))</f>
        <v>5.2199074074074066E-3</v>
      </c>
      <c r="X148" s="57">
        <v>5.0925925925925921E-3</v>
      </c>
      <c r="Y148" s="57"/>
      <c r="Z148" s="59">
        <f>IF(MIN(IF(ISBLANK(X148),W148,X148),IF(ISBLANK(W148),X148,W148))=0,"",MIN(IF(ISBLANK(X148),W148,X148),IF(ISBLANK(W148),X148,W148)))</f>
        <v>5.0925925925925921E-3</v>
      </c>
      <c r="AA148" s="57"/>
      <c r="AB148" s="57"/>
      <c r="AC148" s="59">
        <f>IF(MIN(IF(ISBLANK(Z148),AA148,Z148),IF(ISBLANK(AA148),Z148,AA148))=0,"",MIN(IF(ISBLANK(Z148),AA148,Z148),IF(ISBLANK(AA148),Z148,AA148)))</f>
        <v>5.0925925925925921E-3</v>
      </c>
      <c r="AD148" s="57"/>
      <c r="AE148" s="57"/>
      <c r="AF148" s="59">
        <f>IF(MIN(IF(ISBLANK(AC148),AD148,AC148),IF(ISBLANK(AD148),AC148,AD148))=0,"",MIN(IF(ISBLANK(AC148),AD148,AC148),IF(ISBLANK(AD148),AC148,AD148)))</f>
        <v>5.0925925925925921E-3</v>
      </c>
      <c r="AG148" s="57"/>
      <c r="AH148" s="57"/>
      <c r="AI148" s="59">
        <f>IF(MIN(IF(ISBLANK(AF148),AG148,AF148),IF(ISBLANK(AG148),AF148,AG148))=0,"",MIN(IF(ISBLANK(AF148),AG148,AF148),IF(ISBLANK(AG148),AF148,AG148)))</f>
        <v>5.0925925925925921E-3</v>
      </c>
      <c r="AJ148" s="57"/>
      <c r="AK148" s="57"/>
      <c r="AL148" s="59">
        <f>IF(MIN(IF(ISBLANK(AI148),AJ148,AI148),IF(ISBLANK(AJ148),AI148,AJ148))=0,"",MIN(IF(ISBLANK(AI148),AJ148,AI148),IF(ISBLANK(AJ148),AI148,AJ148)))</f>
        <v>5.0925925925925921E-3</v>
      </c>
      <c r="AM148" s="57"/>
      <c r="AN148" s="57"/>
      <c r="AO148" s="59">
        <f>IF(MIN(IF(ISBLANK(AL148),AM148,AL148),IF(ISBLANK(AM148),AL148,AM148))=0,"",MIN(IF(ISBLANK(AL148),AM148,AL148),IF(ISBLANK(AM148),AL148,AM148)))</f>
        <v>5.0925925925925921E-3</v>
      </c>
      <c r="AP148" s="57"/>
      <c r="AQ148" s="59">
        <f t="shared" si="58"/>
        <v>5.0925925925925921E-3</v>
      </c>
      <c r="AR148" s="57"/>
      <c r="AS148" s="57"/>
      <c r="AT148" s="59">
        <f t="shared" si="57"/>
        <v>5.0925925925925921E-3</v>
      </c>
    </row>
    <row r="149" spans="1:46" hidden="1">
      <c r="A149" s="24"/>
      <c r="B149" s="26" t="s">
        <v>75</v>
      </c>
      <c r="C149" s="26" t="s">
        <v>444</v>
      </c>
      <c r="D149" s="55">
        <v>6.1111111111111114E-3</v>
      </c>
      <c r="E149" s="51"/>
      <c r="F149" s="55">
        <v>6.1111111111111114E-3</v>
      </c>
      <c r="G149" s="52"/>
      <c r="H149" s="55">
        <v>6.1111111111111114E-3</v>
      </c>
      <c r="I149" s="53"/>
      <c r="J149" s="55">
        <v>6.1111111111111114E-3</v>
      </c>
      <c r="K149" s="53"/>
      <c r="L149" s="55">
        <v>6.1111111111111114E-3</v>
      </c>
      <c r="M149" s="57"/>
      <c r="N149" s="55">
        <v>6.1111111111111114E-3</v>
      </c>
      <c r="O149" s="57"/>
      <c r="P149" s="57"/>
      <c r="Q149" s="59">
        <f>IF(MIN(IF(ISBLANK(O149),N149,O149),IF(ISBLANK(N149),O149,N149))=0,"",MIN(IF(ISBLANK(O149),N149,O149),IF(ISBLANK(N149),O149,N149)))</f>
        <v>6.1111111111111114E-3</v>
      </c>
      <c r="R149" s="57"/>
      <c r="S149" s="57"/>
      <c r="T149" s="59">
        <f>IF(MIN(IF(ISBLANK(R149),Q149,R149),IF(ISBLANK(Q149),R149,Q149))=0,"",MIN(IF(ISBLANK(R149),Q149,R149),IF(ISBLANK(Q149),R149,Q149)))</f>
        <v>6.1111111111111114E-3</v>
      </c>
      <c r="U149" s="57"/>
      <c r="V149" s="57"/>
      <c r="W149" s="59">
        <f>IF(MIN(IF(ISBLANK(U149),T149,U149),IF(ISBLANK(T149),U149,T149))=0,"",MIN(IF(ISBLANK(U149),T149,U149),IF(ISBLANK(T149),U149,T149)))</f>
        <v>6.1111111111111114E-3</v>
      </c>
      <c r="X149" s="57"/>
      <c r="Y149" s="57"/>
      <c r="Z149" s="59">
        <f>IF(MIN(IF(ISBLANK(X149),W149,X149),IF(ISBLANK(W149),X149,W149))=0,"",MIN(IF(ISBLANK(X149),W149,X149),IF(ISBLANK(W149),X149,W149)))</f>
        <v>6.1111111111111114E-3</v>
      </c>
      <c r="AA149" s="57"/>
      <c r="AB149" s="57"/>
      <c r="AC149" s="59">
        <f>IF(MIN(IF(ISBLANK(Z149),AA149,Z149),IF(ISBLANK(AA149),Z149,AA149))=0,"",MIN(IF(ISBLANK(Z149),AA149,Z149),IF(ISBLANK(AA149),Z149,AA149)))</f>
        <v>6.1111111111111114E-3</v>
      </c>
      <c r="AD149" s="57"/>
      <c r="AE149" s="57"/>
      <c r="AF149" s="59">
        <f>IF(MIN(IF(ISBLANK(AC149),AD149,AC149),IF(ISBLANK(AD149),AC149,AD149))=0,"",MIN(IF(ISBLANK(AC149),AD149,AC149),IF(ISBLANK(AD149),AC149,AD149)))</f>
        <v>6.1111111111111114E-3</v>
      </c>
      <c r="AG149" s="57"/>
      <c r="AH149" s="57"/>
      <c r="AI149" s="59">
        <f>IF(MIN(IF(ISBLANK(AF149),AG149,AF149),IF(ISBLANK(AG149),AF149,AG149))=0,"",MIN(IF(ISBLANK(AF149),AG149,AF149),IF(ISBLANK(AG149),AF149,AG149)))</f>
        <v>6.1111111111111114E-3</v>
      </c>
      <c r="AJ149" s="57"/>
      <c r="AK149" s="57"/>
      <c r="AL149" s="59">
        <f>IF(MIN(IF(ISBLANK(AI149),AJ149,AI149),IF(ISBLANK(AJ149),AI149,AJ149))=0,"",MIN(IF(ISBLANK(AI149),AJ149,AI149),IF(ISBLANK(AJ149),AI149,AJ149)))</f>
        <v>6.1111111111111114E-3</v>
      </c>
      <c r="AM149" s="57"/>
      <c r="AN149" s="57"/>
      <c r="AO149" s="59">
        <f>IF(MIN(IF(ISBLANK(AL149),AM149,AL149),IF(ISBLANK(AM149),AL149,AM149))=0,"",MIN(IF(ISBLANK(AL149),AM149,AL149),IF(ISBLANK(AM149),AL149,AM149)))</f>
        <v>6.1111111111111114E-3</v>
      </c>
      <c r="AP149" s="57"/>
      <c r="AQ149" s="59">
        <f t="shared" si="58"/>
        <v>6.1111111111111114E-3</v>
      </c>
      <c r="AR149" s="57"/>
      <c r="AS149" s="57"/>
      <c r="AT149" s="59">
        <f t="shared" si="57"/>
        <v>6.1111111111111114E-3</v>
      </c>
    </row>
    <row r="150" spans="1:46" hidden="1">
      <c r="A150" s="24"/>
      <c r="B150" s="26" t="s">
        <v>826</v>
      </c>
      <c r="C150" s="26"/>
      <c r="D150" s="50"/>
      <c r="E150" s="51"/>
      <c r="F150" s="50"/>
      <c r="G150" s="52"/>
      <c r="H150" s="50"/>
      <c r="I150" s="53"/>
      <c r="J150" s="50"/>
      <c r="K150" s="53"/>
      <c r="L150" s="50"/>
      <c r="M150" s="57"/>
      <c r="N150" s="55"/>
      <c r="O150" s="57"/>
      <c r="P150" s="57"/>
      <c r="Q150" s="59"/>
      <c r="R150" s="57"/>
      <c r="S150" s="57"/>
      <c r="T150" s="59"/>
      <c r="U150" s="57"/>
      <c r="V150" s="57"/>
      <c r="W150" s="59"/>
      <c r="X150" s="57"/>
      <c r="Y150" s="57"/>
      <c r="Z150" s="59"/>
      <c r="AA150" s="57"/>
      <c r="AB150" s="57"/>
      <c r="AC150" s="59"/>
      <c r="AD150" s="57"/>
      <c r="AE150" s="57"/>
      <c r="AF150" s="59"/>
      <c r="AG150" s="57"/>
      <c r="AH150" s="57"/>
      <c r="AI150" s="59"/>
      <c r="AJ150" s="57"/>
      <c r="AK150" s="57"/>
      <c r="AL150" s="59"/>
      <c r="AM150" s="57"/>
      <c r="AN150" s="57"/>
      <c r="AO150" s="59"/>
      <c r="AP150" s="57"/>
      <c r="AQ150" s="59" t="str">
        <f t="shared" si="58"/>
        <v/>
      </c>
      <c r="AR150" s="57"/>
      <c r="AS150" s="57"/>
      <c r="AT150" s="59" t="str">
        <f t="shared" si="57"/>
        <v/>
      </c>
    </row>
    <row r="151" spans="1:46" hidden="1">
      <c r="A151" s="24"/>
      <c r="B151" s="26" t="s">
        <v>265</v>
      </c>
      <c r="C151" s="26"/>
      <c r="D151" s="55">
        <v>4.8842592592592592E-3</v>
      </c>
      <c r="E151" s="51"/>
      <c r="F151" s="55">
        <v>4.8842592592592592E-3</v>
      </c>
      <c r="G151" s="52"/>
      <c r="H151" s="55">
        <v>4.8842592592592592E-3</v>
      </c>
      <c r="I151" s="53"/>
      <c r="J151" s="55">
        <v>4.8842592592592592E-3</v>
      </c>
      <c r="K151" s="53"/>
      <c r="L151" s="55">
        <v>4.8842592592592592E-3</v>
      </c>
      <c r="M151" s="57"/>
      <c r="N151" s="55">
        <v>4.8842592592592592E-3</v>
      </c>
      <c r="O151" s="57"/>
      <c r="P151" s="57"/>
      <c r="Q151" s="59">
        <f>IF(MIN(IF(ISBLANK(O151),N151,O151),IF(ISBLANK(N151),O151,N151))=0,"",MIN(IF(ISBLANK(O151),N151,O151),IF(ISBLANK(N151),O151,N151)))</f>
        <v>4.8842592592592592E-3</v>
      </c>
      <c r="R151" s="57"/>
      <c r="S151" s="57"/>
      <c r="T151" s="59">
        <f>IF(MIN(IF(ISBLANK(R151),Q151,R151),IF(ISBLANK(Q151),R151,Q151))=0,"",MIN(IF(ISBLANK(R151),Q151,R151),IF(ISBLANK(Q151),R151,Q151)))</f>
        <v>4.8842592592592592E-3</v>
      </c>
      <c r="U151" s="57"/>
      <c r="V151" s="57"/>
      <c r="W151" s="59">
        <f>IF(MIN(IF(ISBLANK(U151),T151,U151),IF(ISBLANK(T151),U151,T151))=0,"",MIN(IF(ISBLANK(U151),T151,U151),IF(ISBLANK(T151),U151,T151)))</f>
        <v>4.8842592592592592E-3</v>
      </c>
      <c r="X151" s="57"/>
      <c r="Y151" s="57"/>
      <c r="Z151" s="59">
        <f>IF(MIN(IF(ISBLANK(X151),W151,X151),IF(ISBLANK(W151),X151,W151))=0,"",MIN(IF(ISBLANK(X151),W151,X151),IF(ISBLANK(W151),X151,W151)))</f>
        <v>4.8842592592592592E-3</v>
      </c>
      <c r="AA151" s="57"/>
      <c r="AB151" s="57"/>
      <c r="AC151" s="59">
        <f>IF(MIN(IF(ISBLANK(Z151),AA151,Z151),IF(ISBLANK(AA151),Z151,AA151))=0,"",MIN(IF(ISBLANK(Z151),AA151,Z151),IF(ISBLANK(AA151),Z151,AA151)))</f>
        <v>4.8842592592592592E-3</v>
      </c>
      <c r="AD151" s="57"/>
      <c r="AE151" s="57"/>
      <c r="AF151" s="59">
        <f>IF(MIN(IF(ISBLANK(AC151),AD151,AC151),IF(ISBLANK(AD151),AC151,AD151))=0,"",MIN(IF(ISBLANK(AC151),AD151,AC151),IF(ISBLANK(AD151),AC151,AD151)))</f>
        <v>4.8842592592592592E-3</v>
      </c>
      <c r="AG151" s="57"/>
      <c r="AH151" s="57"/>
      <c r="AI151" s="59">
        <f>IF(MIN(IF(ISBLANK(AF151),AG151,AF151),IF(ISBLANK(AG151),AF151,AG151))=0,"",MIN(IF(ISBLANK(AF151),AG151,AF151),IF(ISBLANK(AG151),AF151,AG151)))</f>
        <v>4.8842592592592592E-3</v>
      </c>
      <c r="AJ151" s="57"/>
      <c r="AK151" s="57"/>
      <c r="AL151" s="59">
        <f t="shared" ref="AL151:AL162" si="59">IF(MIN(IF(ISBLANK(AI151),AJ151,AI151),IF(ISBLANK(AJ151),AI151,AJ151))=0,"",MIN(IF(ISBLANK(AI151),AJ151,AI151),IF(ISBLANK(AJ151),AI151,AJ151)))</f>
        <v>4.8842592592592592E-3</v>
      </c>
      <c r="AM151" s="57"/>
      <c r="AN151" s="57"/>
      <c r="AO151" s="59">
        <f t="shared" ref="AO151:AO162" si="60">IF(MIN(IF(ISBLANK(AL151),AM151,AL151),IF(ISBLANK(AM151),AL151,AM151))=0,"",MIN(IF(ISBLANK(AL151),AM151,AL151),IF(ISBLANK(AM151),AL151,AM151)))</f>
        <v>4.8842592592592592E-3</v>
      </c>
      <c r="AP151" s="57"/>
      <c r="AQ151" s="59">
        <f t="shared" si="58"/>
        <v>4.8842592592592592E-3</v>
      </c>
      <c r="AR151" s="57"/>
      <c r="AS151" s="57"/>
      <c r="AT151" s="59">
        <f t="shared" si="57"/>
        <v>4.8842592592592592E-3</v>
      </c>
    </row>
    <row r="152" spans="1:46" hidden="1">
      <c r="A152" s="24"/>
      <c r="B152" s="26" t="s">
        <v>81</v>
      </c>
      <c r="C152" s="26"/>
      <c r="D152" s="50"/>
      <c r="E152" s="51"/>
      <c r="F152" s="50" t="s">
        <v>448</v>
      </c>
      <c r="G152" s="52"/>
      <c r="H152" s="50"/>
      <c r="I152" s="53"/>
      <c r="J152" s="50" t="s">
        <v>448</v>
      </c>
      <c r="K152" s="53"/>
      <c r="L152" s="50"/>
      <c r="M152" s="57"/>
      <c r="N152" s="55" t="s">
        <v>448</v>
      </c>
      <c r="O152" s="57"/>
      <c r="P152" s="57"/>
      <c r="Q152" s="59" t="str">
        <f>IF(MIN(IF(ISBLANK(O152),N152,O152),IF(ISBLANK(N152),O152,N152))=0,"",MIN(IF(ISBLANK(O152),N152,O152),IF(ISBLANK(N152),O152,N152)))</f>
        <v/>
      </c>
      <c r="R152" s="57"/>
      <c r="S152" s="57"/>
      <c r="T152" s="59" t="str">
        <f>IF(MIN(IF(ISBLANK(R152),Q152,R152),IF(ISBLANK(Q152),R152,Q152))=0,"",MIN(IF(ISBLANK(R152),Q152,R152),IF(ISBLANK(Q152),R152,Q152)))</f>
        <v/>
      </c>
      <c r="U152" s="57"/>
      <c r="V152" s="57"/>
      <c r="W152" s="59" t="str">
        <f>IF(MIN(IF(ISBLANK(U152),T152,U152),IF(ISBLANK(T152),U152,T152))=0,"",MIN(IF(ISBLANK(U152),T152,U152),IF(ISBLANK(T152),U152,T152)))</f>
        <v/>
      </c>
      <c r="X152" s="57"/>
      <c r="Y152" s="57"/>
      <c r="Z152" s="59" t="str">
        <f>IF(MIN(IF(ISBLANK(X152),W152,X152),IF(ISBLANK(W152),X152,W152))=0,"",MIN(IF(ISBLANK(X152),W152,X152),IF(ISBLANK(W152),X152,W152)))</f>
        <v/>
      </c>
      <c r="AA152" s="57"/>
      <c r="AB152" s="57"/>
      <c r="AC152" s="59" t="str">
        <f>IF(MIN(IF(ISBLANK(Z152),AA152,Z152),IF(ISBLANK(AA152),Z152,AA152))=0,"",MIN(IF(ISBLANK(Z152),AA152,Z152),IF(ISBLANK(AA152),Z152,AA152)))</f>
        <v/>
      </c>
      <c r="AD152" s="57"/>
      <c r="AE152" s="57"/>
      <c r="AF152" s="59" t="str">
        <f>IF(MIN(IF(ISBLANK(AC152),AD152,AC152),IF(ISBLANK(AD152),AC152,AD152))=0,"",MIN(IF(ISBLANK(AC152),AD152,AC152),IF(ISBLANK(AD152),AC152,AD152)))</f>
        <v/>
      </c>
      <c r="AG152" s="57"/>
      <c r="AH152" s="57"/>
      <c r="AI152" s="59" t="str">
        <f>IF(MIN(IF(ISBLANK(AF152),AG152,AF152),IF(ISBLANK(AG152),AF152,AG152))=0,"",MIN(IF(ISBLANK(AF152),AG152,AF152),IF(ISBLANK(AG152),AF152,AG152)))</f>
        <v/>
      </c>
      <c r="AJ152" s="57"/>
      <c r="AK152" s="57"/>
      <c r="AL152" s="59" t="str">
        <f t="shared" si="59"/>
        <v/>
      </c>
      <c r="AM152" s="57"/>
      <c r="AN152" s="57"/>
      <c r="AO152" s="59" t="str">
        <f t="shared" si="60"/>
        <v/>
      </c>
      <c r="AP152" s="57"/>
      <c r="AQ152" s="59" t="str">
        <f t="shared" si="58"/>
        <v/>
      </c>
      <c r="AR152" s="57"/>
      <c r="AS152" s="57"/>
      <c r="AT152" s="59" t="str">
        <f t="shared" si="57"/>
        <v/>
      </c>
    </row>
    <row r="153" spans="1:46" hidden="1">
      <c r="A153" s="24"/>
      <c r="B153" s="26" t="s">
        <v>226</v>
      </c>
      <c r="C153" s="26" t="s">
        <v>443</v>
      </c>
      <c r="D153" s="55">
        <v>6.4236111111111117E-3</v>
      </c>
      <c r="E153" s="51"/>
      <c r="F153" s="55">
        <v>6.4236111111111117E-3</v>
      </c>
      <c r="G153" s="52"/>
      <c r="H153" s="55">
        <v>6.4236111111111117E-3</v>
      </c>
      <c r="I153" s="53"/>
      <c r="J153" s="55">
        <v>6.4236111111111117E-3</v>
      </c>
      <c r="K153" s="53"/>
      <c r="L153" s="55">
        <v>6.4236111111111117E-3</v>
      </c>
      <c r="M153" s="57"/>
      <c r="N153" s="55">
        <v>6.4236111111111117E-3</v>
      </c>
      <c r="O153" s="57"/>
      <c r="P153" s="57"/>
      <c r="Q153" s="59">
        <f>IF(MIN(IF(ISBLANK(O153),N153,O153),IF(ISBLANK(N153),O153,N153))=0,"",MIN(IF(ISBLANK(O153),N153,O153),IF(ISBLANK(N153),O153,N153)))</f>
        <v>6.4236111111111117E-3</v>
      </c>
      <c r="R153" s="57"/>
      <c r="S153" s="57"/>
      <c r="T153" s="59">
        <f>IF(MIN(IF(ISBLANK(R153),Q153,R153),IF(ISBLANK(Q153),R153,Q153))=0,"",MIN(IF(ISBLANK(R153),Q153,R153),IF(ISBLANK(Q153),R153,Q153)))</f>
        <v>6.4236111111111117E-3</v>
      </c>
      <c r="U153" s="57"/>
      <c r="V153" s="57"/>
      <c r="W153" s="59">
        <f>IF(MIN(IF(ISBLANK(U153),T153,U153),IF(ISBLANK(T153),U153,T153))=0,"",MIN(IF(ISBLANK(U153),T153,U153),IF(ISBLANK(T153),U153,T153)))</f>
        <v>6.4236111111111117E-3</v>
      </c>
      <c r="X153" s="57"/>
      <c r="Y153" s="57"/>
      <c r="Z153" s="59">
        <f>IF(MIN(IF(ISBLANK(X153),W153,X153),IF(ISBLANK(W153),X153,W153))=0,"",MIN(IF(ISBLANK(X153),W153,X153),IF(ISBLANK(W153),X153,W153)))</f>
        <v>6.4236111111111117E-3</v>
      </c>
      <c r="AA153" s="57"/>
      <c r="AB153" s="57"/>
      <c r="AC153" s="59">
        <f>IF(MIN(IF(ISBLANK(Z153),AA153,Z153),IF(ISBLANK(AA153),Z153,AA153))=0,"",MIN(IF(ISBLANK(Z153),AA153,Z153),IF(ISBLANK(AA153),Z153,AA153)))</f>
        <v>6.4236111111111117E-3</v>
      </c>
      <c r="AD153" s="57"/>
      <c r="AE153" s="57"/>
      <c r="AF153" s="59">
        <f>IF(MIN(IF(ISBLANK(AC153),AD153,AC153),IF(ISBLANK(AD153),AC153,AD153))=0,"",MIN(IF(ISBLANK(AC153),AD153,AC153),IF(ISBLANK(AD153),AC153,AD153)))</f>
        <v>6.4236111111111117E-3</v>
      </c>
      <c r="AG153" s="57"/>
      <c r="AH153" s="57"/>
      <c r="AI153" s="59">
        <f>IF(MIN(IF(ISBLANK(AF153),AG153,AF153),IF(ISBLANK(AG153),AF153,AG153))=0,"",MIN(IF(ISBLANK(AF153),AG153,AF153),IF(ISBLANK(AG153),AF153,AG153)))</f>
        <v>6.4236111111111117E-3</v>
      </c>
      <c r="AJ153" s="57"/>
      <c r="AK153" s="57"/>
      <c r="AL153" s="59">
        <f t="shared" si="59"/>
        <v>6.4236111111111117E-3</v>
      </c>
      <c r="AM153" s="57"/>
      <c r="AN153" s="57"/>
      <c r="AO153" s="59">
        <f t="shared" si="60"/>
        <v>6.4236111111111117E-3</v>
      </c>
      <c r="AP153" s="57"/>
      <c r="AQ153" s="59">
        <f t="shared" si="58"/>
        <v>6.4236111111111117E-3</v>
      </c>
      <c r="AR153" s="57"/>
      <c r="AS153" s="57"/>
      <c r="AT153" s="59">
        <f t="shared" si="57"/>
        <v>6.4236111111111117E-3</v>
      </c>
    </row>
    <row r="154" spans="1:46" hidden="1">
      <c r="A154" s="24"/>
      <c r="B154" s="26" t="s">
        <v>788</v>
      </c>
      <c r="C154" s="26"/>
      <c r="D154" s="50"/>
      <c r="E154" s="51"/>
      <c r="F154" s="50"/>
      <c r="G154" s="52"/>
      <c r="H154" s="50"/>
      <c r="I154" s="53"/>
      <c r="J154" s="50"/>
      <c r="K154" s="53"/>
      <c r="L154" s="50"/>
      <c r="M154" s="57"/>
      <c r="N154" s="55"/>
      <c r="O154" s="57"/>
      <c r="P154" s="57"/>
      <c r="Q154" s="59"/>
      <c r="R154" s="57"/>
      <c r="S154" s="57"/>
      <c r="T154" s="59"/>
      <c r="U154" s="57"/>
      <c r="V154" s="57"/>
      <c r="W154" s="59"/>
      <c r="X154" s="57"/>
      <c r="Y154" s="57"/>
      <c r="Z154" s="59"/>
      <c r="AA154" s="57"/>
      <c r="AB154" s="57"/>
      <c r="AC154" s="59"/>
      <c r="AD154" s="57"/>
      <c r="AE154" s="57"/>
      <c r="AF154" s="59"/>
      <c r="AG154" s="57"/>
      <c r="AH154" s="57"/>
      <c r="AI154" s="59"/>
      <c r="AJ154" s="57"/>
      <c r="AK154" s="57"/>
      <c r="AL154" s="59" t="str">
        <f t="shared" si="59"/>
        <v/>
      </c>
      <c r="AM154" s="57"/>
      <c r="AN154" s="57"/>
      <c r="AO154" s="59" t="str">
        <f t="shared" si="60"/>
        <v/>
      </c>
      <c r="AP154" s="57"/>
      <c r="AQ154" s="59" t="str">
        <f t="shared" si="58"/>
        <v/>
      </c>
      <c r="AR154" s="57"/>
      <c r="AS154" s="57"/>
      <c r="AT154" s="59" t="str">
        <f t="shared" si="57"/>
        <v/>
      </c>
    </row>
    <row r="155" spans="1:46" hidden="1">
      <c r="A155" s="24"/>
      <c r="B155" s="26" t="s">
        <v>86</v>
      </c>
      <c r="C155" s="26" t="s">
        <v>443</v>
      </c>
      <c r="D155" s="55">
        <v>5.7291666666666671E-3</v>
      </c>
      <c r="E155" s="51"/>
      <c r="F155" s="55">
        <v>5.7291666666666671E-3</v>
      </c>
      <c r="G155" s="57">
        <v>5.9722222222222225E-3</v>
      </c>
      <c r="H155" s="55">
        <v>5.7291666666666671E-3</v>
      </c>
      <c r="I155" s="53"/>
      <c r="J155" s="55">
        <v>5.7291666666666671E-3</v>
      </c>
      <c r="K155" s="53"/>
      <c r="L155" s="55">
        <v>5.7291666666666671E-3</v>
      </c>
      <c r="M155" s="57"/>
      <c r="N155" s="55">
        <v>5.7291666666666671E-3</v>
      </c>
      <c r="O155" s="57"/>
      <c r="P155" s="57"/>
      <c r="Q155" s="59">
        <f>IF(MIN(IF(ISBLANK(O155),N155,O155),IF(ISBLANK(N155),O155,N155))=0,"",MIN(IF(ISBLANK(O155),N155,O155),IF(ISBLANK(N155),O155,N155)))</f>
        <v>5.7291666666666671E-3</v>
      </c>
      <c r="R155" s="57"/>
      <c r="S155" s="57"/>
      <c r="T155" s="59">
        <f>IF(MIN(IF(ISBLANK(R155),Q155,R155),IF(ISBLANK(Q155),R155,Q155))=0,"",MIN(IF(ISBLANK(R155),Q155,R155),IF(ISBLANK(Q155),R155,Q155)))</f>
        <v>5.7291666666666671E-3</v>
      </c>
      <c r="U155" s="57"/>
      <c r="V155" s="57"/>
      <c r="W155" s="59">
        <f>IF(MIN(IF(ISBLANK(U155),T155,U155),IF(ISBLANK(T155),U155,T155))=0,"",MIN(IF(ISBLANK(U155),T155,U155),IF(ISBLANK(T155),U155,T155)))</f>
        <v>5.7291666666666671E-3</v>
      </c>
      <c r="X155" s="57"/>
      <c r="Y155" s="57"/>
      <c r="Z155" s="59">
        <f>IF(MIN(IF(ISBLANK(X155),W155,X155),IF(ISBLANK(W155),X155,W155))=0,"",MIN(IF(ISBLANK(X155),W155,X155),IF(ISBLANK(W155),X155,W155)))</f>
        <v>5.7291666666666671E-3</v>
      </c>
      <c r="AA155" s="57"/>
      <c r="AB155" s="57"/>
      <c r="AC155" s="59">
        <f>IF(MIN(IF(ISBLANK(Z155),AA155,Z155),IF(ISBLANK(AA155),Z155,AA155))=0,"",MIN(IF(ISBLANK(Z155),AA155,Z155),IF(ISBLANK(AA155),Z155,AA155)))</f>
        <v>5.7291666666666671E-3</v>
      </c>
      <c r="AD155" s="57"/>
      <c r="AE155" s="57"/>
      <c r="AF155" s="59">
        <f t="shared" ref="AF155:AF162" si="61">IF(MIN(IF(ISBLANK(AC155),AD155,AC155),IF(ISBLANK(AD155),AC155,AD155))=0,"",MIN(IF(ISBLANK(AC155),AD155,AC155),IF(ISBLANK(AD155),AC155,AD155)))</f>
        <v>5.7291666666666671E-3</v>
      </c>
      <c r="AG155" s="57"/>
      <c r="AH155" s="57"/>
      <c r="AI155" s="59">
        <f t="shared" ref="AI155:AI162" si="62">IF(MIN(IF(ISBLANK(AF155),AG155,AF155),IF(ISBLANK(AG155),AF155,AG155))=0,"",MIN(IF(ISBLANK(AF155),AG155,AF155),IF(ISBLANK(AG155),AF155,AG155)))</f>
        <v>5.7291666666666671E-3</v>
      </c>
      <c r="AJ155" s="57"/>
      <c r="AK155" s="57"/>
      <c r="AL155" s="59">
        <f t="shared" si="59"/>
        <v>5.7291666666666671E-3</v>
      </c>
      <c r="AM155" s="57"/>
      <c r="AN155" s="57"/>
      <c r="AO155" s="59">
        <f t="shared" si="60"/>
        <v>5.7291666666666671E-3</v>
      </c>
      <c r="AP155" s="57"/>
      <c r="AQ155" s="59">
        <f t="shared" si="58"/>
        <v>5.7291666666666671E-3</v>
      </c>
      <c r="AR155" s="57"/>
      <c r="AS155" s="57"/>
      <c r="AT155" s="59">
        <f t="shared" si="57"/>
        <v>5.7291666666666671E-3</v>
      </c>
    </row>
    <row r="156" spans="1:46" hidden="1">
      <c r="A156" s="24"/>
      <c r="B156" s="26" t="s">
        <v>381</v>
      </c>
      <c r="C156" s="26" t="s">
        <v>443</v>
      </c>
      <c r="D156" s="50"/>
      <c r="E156" s="51"/>
      <c r="F156" s="50"/>
      <c r="G156" s="52"/>
      <c r="H156" s="50"/>
      <c r="I156" s="53"/>
      <c r="J156" s="50" t="s">
        <v>448</v>
      </c>
      <c r="K156" s="53"/>
      <c r="L156" s="50"/>
      <c r="M156" s="57"/>
      <c r="N156" s="55" t="s">
        <v>448</v>
      </c>
      <c r="O156" s="57"/>
      <c r="P156" s="57"/>
      <c r="Q156" s="59" t="str">
        <f>IF(MIN(IF(ISBLANK(O156),N156,O156),IF(ISBLANK(N156),O156,N156))=0,"",MIN(IF(ISBLANK(O156),N156,O156),IF(ISBLANK(N156),O156,N156)))</f>
        <v/>
      </c>
      <c r="R156" s="57"/>
      <c r="S156" s="57"/>
      <c r="T156" s="59" t="str">
        <f>IF(MIN(IF(ISBLANK(R156),Q156,R156),IF(ISBLANK(Q156),R156,Q156))=0,"",MIN(IF(ISBLANK(R156),Q156,R156),IF(ISBLANK(Q156),R156,Q156)))</f>
        <v/>
      </c>
      <c r="U156" s="57"/>
      <c r="V156" s="57"/>
      <c r="W156" s="59" t="str">
        <f>IF(MIN(IF(ISBLANK(U156),T156,U156),IF(ISBLANK(T156),U156,T156))=0,"",MIN(IF(ISBLANK(U156),T156,U156),IF(ISBLANK(T156),U156,T156)))</f>
        <v/>
      </c>
      <c r="X156" s="57"/>
      <c r="Y156" s="57"/>
      <c r="Z156" s="59" t="str">
        <f>IF(MIN(IF(ISBLANK(X156),W156,X156),IF(ISBLANK(W156),X156,W156))=0,"",MIN(IF(ISBLANK(X156),W156,X156),IF(ISBLANK(W156),X156,W156)))</f>
        <v/>
      </c>
      <c r="AA156" s="57"/>
      <c r="AB156" s="57"/>
      <c r="AC156" s="59" t="str">
        <f>IF(MIN(IF(ISBLANK(Z156),AA156,Z156),IF(ISBLANK(AA156),Z156,AA156))=0,"",MIN(IF(ISBLANK(Z156),AA156,Z156),IF(ISBLANK(AA156),Z156,AA156)))</f>
        <v/>
      </c>
      <c r="AD156" s="57"/>
      <c r="AE156" s="57"/>
      <c r="AF156" s="59" t="str">
        <f t="shared" si="61"/>
        <v/>
      </c>
      <c r="AG156" s="57"/>
      <c r="AH156" s="57"/>
      <c r="AI156" s="59" t="str">
        <f t="shared" si="62"/>
        <v/>
      </c>
      <c r="AJ156" s="57"/>
      <c r="AK156" s="57"/>
      <c r="AL156" s="59" t="str">
        <f t="shared" si="59"/>
        <v/>
      </c>
      <c r="AM156" s="57"/>
      <c r="AN156" s="57"/>
      <c r="AO156" s="59" t="str">
        <f t="shared" si="60"/>
        <v/>
      </c>
      <c r="AP156" s="57"/>
      <c r="AQ156" s="59" t="str">
        <f t="shared" si="58"/>
        <v/>
      </c>
      <c r="AR156" s="57"/>
      <c r="AS156" s="57"/>
      <c r="AT156" s="59" t="str">
        <f t="shared" si="57"/>
        <v/>
      </c>
    </row>
    <row r="157" spans="1:46" hidden="1">
      <c r="A157" s="24"/>
      <c r="B157" s="26" t="s">
        <v>730</v>
      </c>
      <c r="C157" s="26"/>
      <c r="D157" s="50"/>
      <c r="E157" s="51"/>
      <c r="F157" s="50"/>
      <c r="G157" s="52"/>
      <c r="H157" s="50"/>
      <c r="I157" s="53"/>
      <c r="J157" s="50"/>
      <c r="K157" s="53"/>
      <c r="L157" s="50"/>
      <c r="M157" s="57"/>
      <c r="N157" s="55"/>
      <c r="O157" s="57"/>
      <c r="P157" s="57"/>
      <c r="Q157" s="59"/>
      <c r="R157" s="57"/>
      <c r="S157" s="57"/>
      <c r="T157" s="59"/>
      <c r="U157" s="57"/>
      <c r="V157" s="57"/>
      <c r="W157" s="59"/>
      <c r="X157" s="57"/>
      <c r="Y157" s="57"/>
      <c r="Z157" s="59"/>
      <c r="AA157" s="57"/>
      <c r="AB157" s="57"/>
      <c r="AC157" s="59"/>
      <c r="AD157" s="57"/>
      <c r="AE157" s="57"/>
      <c r="AF157" s="59" t="str">
        <f t="shared" si="61"/>
        <v/>
      </c>
      <c r="AG157" s="57"/>
      <c r="AH157" s="57"/>
      <c r="AI157" s="59" t="str">
        <f t="shared" si="62"/>
        <v/>
      </c>
      <c r="AJ157" s="57"/>
      <c r="AK157" s="57"/>
      <c r="AL157" s="59" t="str">
        <f t="shared" si="59"/>
        <v/>
      </c>
      <c r="AM157" s="57"/>
      <c r="AN157" s="57"/>
      <c r="AO157" s="59" t="str">
        <f t="shared" si="60"/>
        <v/>
      </c>
      <c r="AP157" s="57"/>
      <c r="AQ157" s="59" t="str">
        <f t="shared" si="58"/>
        <v/>
      </c>
      <c r="AR157" s="57"/>
      <c r="AS157" s="57"/>
      <c r="AT157" s="59" t="str">
        <f t="shared" si="57"/>
        <v/>
      </c>
    </row>
    <row r="158" spans="1:46" hidden="1">
      <c r="A158" s="24"/>
      <c r="B158" s="26" t="s">
        <v>521</v>
      </c>
      <c r="C158" s="26" t="s">
        <v>443</v>
      </c>
      <c r="D158" s="50"/>
      <c r="E158" s="51"/>
      <c r="F158" s="50"/>
      <c r="G158" s="52"/>
      <c r="H158" s="50"/>
      <c r="I158" s="53"/>
      <c r="J158" s="50"/>
      <c r="K158" s="53"/>
      <c r="L158" s="50"/>
      <c r="M158" s="57">
        <v>6.0185185185185177E-3</v>
      </c>
      <c r="N158" s="55">
        <v>6.0185185185185177E-3</v>
      </c>
      <c r="O158" s="57"/>
      <c r="P158" s="57"/>
      <c r="Q158" s="59">
        <f>IF(MIN(IF(ISBLANK(O158),N158,O158),IF(ISBLANK(N158),O158,N158))=0,"",MIN(IF(ISBLANK(O158),N158,O158),IF(ISBLANK(N158),O158,N158)))</f>
        <v>6.0185185185185177E-3</v>
      </c>
      <c r="R158" s="57"/>
      <c r="S158" s="57"/>
      <c r="T158" s="59">
        <f>IF(MIN(IF(ISBLANK(R158),Q158,R158),IF(ISBLANK(Q158),R158,Q158))=0,"",MIN(IF(ISBLANK(R158),Q158,R158),IF(ISBLANK(Q158),R158,Q158)))</f>
        <v>6.0185185185185177E-3</v>
      </c>
      <c r="U158" s="57"/>
      <c r="V158" s="57"/>
      <c r="W158" s="59">
        <f>IF(MIN(IF(ISBLANK(U158),T158,U158),IF(ISBLANK(T158),U158,T158))=0,"",MIN(IF(ISBLANK(U158),T158,U158),IF(ISBLANK(T158),U158,T158)))</f>
        <v>6.0185185185185177E-3</v>
      </c>
      <c r="X158" s="57"/>
      <c r="Y158" s="57"/>
      <c r="Z158" s="59">
        <f>IF(MIN(IF(ISBLANK(X158),W158,X158),IF(ISBLANK(W158),X158,W158))=0,"",MIN(IF(ISBLANK(X158),W158,X158),IF(ISBLANK(W158),X158,W158)))</f>
        <v>6.0185185185185177E-3</v>
      </c>
      <c r="AA158" s="57"/>
      <c r="AB158" s="57"/>
      <c r="AC158" s="59">
        <f>IF(MIN(IF(ISBLANK(Z158),AA158,Z158),IF(ISBLANK(AA158),Z158,AA158))=0,"",MIN(IF(ISBLANK(Z158),AA158,Z158),IF(ISBLANK(AA158),Z158,AA158)))</f>
        <v>6.0185185185185177E-3</v>
      </c>
      <c r="AD158" s="57"/>
      <c r="AE158" s="57"/>
      <c r="AF158" s="59">
        <f t="shared" si="61"/>
        <v>6.0185185185185177E-3</v>
      </c>
      <c r="AG158" s="57"/>
      <c r="AH158" s="57"/>
      <c r="AI158" s="59">
        <f t="shared" si="62"/>
        <v>6.0185185185185177E-3</v>
      </c>
      <c r="AJ158" s="57"/>
      <c r="AK158" s="57"/>
      <c r="AL158" s="59">
        <f t="shared" si="59"/>
        <v>6.0185185185185177E-3</v>
      </c>
      <c r="AM158" s="57"/>
      <c r="AN158" s="57"/>
      <c r="AO158" s="59">
        <f t="shared" si="60"/>
        <v>6.0185185185185177E-3</v>
      </c>
      <c r="AP158" s="57"/>
      <c r="AQ158" s="59">
        <f t="shared" si="58"/>
        <v>6.0185185185185177E-3</v>
      </c>
      <c r="AR158" s="57"/>
      <c r="AS158" s="57"/>
      <c r="AT158" s="59">
        <f t="shared" si="57"/>
        <v>6.0185185185185177E-3</v>
      </c>
    </row>
    <row r="159" spans="1:46" hidden="1">
      <c r="A159" s="24"/>
      <c r="B159" s="26" t="s">
        <v>250</v>
      </c>
      <c r="C159" s="26" t="s">
        <v>444</v>
      </c>
      <c r="D159" s="55">
        <v>6.3078703703703708E-3</v>
      </c>
      <c r="E159" s="51"/>
      <c r="F159" s="55">
        <v>6.3078703703703708E-3</v>
      </c>
      <c r="G159" s="52"/>
      <c r="H159" s="55">
        <v>6.3078703703703708E-3</v>
      </c>
      <c r="I159" s="53"/>
      <c r="J159" s="55">
        <v>6.3078703703703708E-3</v>
      </c>
      <c r="K159" s="53"/>
      <c r="L159" s="55">
        <v>6.3078703703703708E-3</v>
      </c>
      <c r="M159" s="57"/>
      <c r="N159" s="55">
        <v>6.3078703703703708E-3</v>
      </c>
      <c r="O159" s="57"/>
      <c r="P159" s="57"/>
      <c r="Q159" s="59">
        <f>IF(MIN(IF(ISBLANK(O159),N159,O159),IF(ISBLANK(N159),O159,N159))=0,"",MIN(IF(ISBLANK(O159),N159,O159),IF(ISBLANK(N159),O159,N159)))</f>
        <v>6.3078703703703708E-3</v>
      </c>
      <c r="R159" s="57"/>
      <c r="S159" s="57"/>
      <c r="T159" s="59">
        <f>IF(MIN(IF(ISBLANK(R159),Q159,R159),IF(ISBLANK(Q159),R159,Q159))=0,"",MIN(IF(ISBLANK(R159),Q159,R159),IF(ISBLANK(Q159),R159,Q159)))</f>
        <v>6.3078703703703708E-3</v>
      </c>
      <c r="U159" s="57"/>
      <c r="V159" s="57"/>
      <c r="W159" s="59">
        <f>IF(MIN(IF(ISBLANK(U159),T159,U159),IF(ISBLANK(T159),U159,T159))=0,"",MIN(IF(ISBLANK(U159),T159,U159),IF(ISBLANK(T159),U159,T159)))</f>
        <v>6.3078703703703708E-3</v>
      </c>
      <c r="X159" s="57"/>
      <c r="Y159" s="57"/>
      <c r="Z159" s="59">
        <f>IF(MIN(IF(ISBLANK(X159),W159,X159),IF(ISBLANK(W159),X159,W159))=0,"",MIN(IF(ISBLANK(X159),W159,X159),IF(ISBLANK(W159),X159,W159)))</f>
        <v>6.3078703703703708E-3</v>
      </c>
      <c r="AA159" s="57"/>
      <c r="AB159" s="57"/>
      <c r="AC159" s="59">
        <f>IF(MIN(IF(ISBLANK(Z159),AA159,Z159),IF(ISBLANK(AA159),Z159,AA159))=0,"",MIN(IF(ISBLANK(Z159),AA159,Z159),IF(ISBLANK(AA159),Z159,AA159)))</f>
        <v>6.3078703703703708E-3</v>
      </c>
      <c r="AD159" s="57"/>
      <c r="AE159" s="57"/>
      <c r="AF159" s="59">
        <f t="shared" si="61"/>
        <v>6.3078703703703708E-3</v>
      </c>
      <c r="AG159" s="57"/>
      <c r="AH159" s="57"/>
      <c r="AI159" s="59">
        <f t="shared" si="62"/>
        <v>6.3078703703703708E-3</v>
      </c>
      <c r="AJ159" s="57"/>
      <c r="AK159" s="57"/>
      <c r="AL159" s="59">
        <f t="shared" si="59"/>
        <v>6.3078703703703708E-3</v>
      </c>
      <c r="AM159" s="57"/>
      <c r="AN159" s="57"/>
      <c r="AO159" s="59">
        <f t="shared" si="60"/>
        <v>6.3078703703703708E-3</v>
      </c>
      <c r="AP159" s="57"/>
      <c r="AQ159" s="59">
        <f t="shared" si="58"/>
        <v>6.3078703703703708E-3</v>
      </c>
      <c r="AR159" s="57"/>
      <c r="AS159" s="57"/>
      <c r="AT159" s="59">
        <f t="shared" si="57"/>
        <v>6.3078703703703708E-3</v>
      </c>
    </row>
    <row r="160" spans="1:46" hidden="1">
      <c r="A160" s="24"/>
      <c r="B160" s="26" t="s">
        <v>608</v>
      </c>
      <c r="C160" s="26"/>
      <c r="D160" s="50"/>
      <c r="E160" s="51"/>
      <c r="F160" s="50"/>
      <c r="G160" s="52"/>
      <c r="H160" s="50"/>
      <c r="I160" s="53"/>
      <c r="J160" s="50"/>
      <c r="K160" s="53"/>
      <c r="L160" s="50"/>
      <c r="M160" s="57"/>
      <c r="N160" s="55"/>
      <c r="O160" s="57"/>
      <c r="P160" s="57"/>
      <c r="Q160" s="59"/>
      <c r="R160" s="57"/>
      <c r="S160" s="57"/>
      <c r="T160" s="59" t="str">
        <f>IF(MIN(IF(ISBLANK(R160),Q160,R160),IF(ISBLANK(Q160),R160,Q160))=0,"",MIN(IF(ISBLANK(R160),Q160,R160),IF(ISBLANK(Q160),R160,Q160)))</f>
        <v/>
      </c>
      <c r="U160" s="57"/>
      <c r="V160" s="57"/>
      <c r="W160" s="59" t="str">
        <f>IF(MIN(IF(ISBLANK(U160),T160,U160),IF(ISBLANK(T160),U160,T160))=0,"",MIN(IF(ISBLANK(U160),T160,U160),IF(ISBLANK(T160),U160,T160)))</f>
        <v/>
      </c>
      <c r="X160" s="57"/>
      <c r="Y160" s="57"/>
      <c r="Z160" s="59" t="str">
        <f>IF(MIN(IF(ISBLANK(X160),W160,X160),IF(ISBLANK(W160),X160,W160))=0,"",MIN(IF(ISBLANK(X160),W160,X160),IF(ISBLANK(W160),X160,W160)))</f>
        <v/>
      </c>
      <c r="AA160" s="57"/>
      <c r="AB160" s="57"/>
      <c r="AC160" s="59" t="str">
        <f>IF(MIN(IF(ISBLANK(Z160),AA160,Z160),IF(ISBLANK(AA160),Z160,AA160))=0,"",MIN(IF(ISBLANK(Z160),AA160,Z160),IF(ISBLANK(AA160),Z160,AA160)))</f>
        <v/>
      </c>
      <c r="AD160" s="57"/>
      <c r="AE160" s="57"/>
      <c r="AF160" s="59" t="str">
        <f t="shared" si="61"/>
        <v/>
      </c>
      <c r="AG160" s="57"/>
      <c r="AH160" s="57"/>
      <c r="AI160" s="59" t="str">
        <f t="shared" si="62"/>
        <v/>
      </c>
      <c r="AJ160" s="57"/>
      <c r="AK160" s="57"/>
      <c r="AL160" s="59" t="str">
        <f t="shared" si="59"/>
        <v/>
      </c>
      <c r="AM160" s="57"/>
      <c r="AN160" s="57"/>
      <c r="AO160" s="59" t="str">
        <f t="shared" si="60"/>
        <v/>
      </c>
      <c r="AP160" s="57"/>
      <c r="AQ160" s="59" t="str">
        <f t="shared" si="58"/>
        <v/>
      </c>
      <c r="AR160" s="57"/>
      <c r="AS160" s="57"/>
      <c r="AT160" s="59" t="str">
        <f t="shared" si="57"/>
        <v/>
      </c>
    </row>
    <row r="161" spans="1:46">
      <c r="A161" s="24" t="s">
        <v>792</v>
      </c>
      <c r="B161" s="26" t="s">
        <v>382</v>
      </c>
      <c r="C161" s="26" t="s">
        <v>444</v>
      </c>
      <c r="D161" s="50"/>
      <c r="E161" s="51"/>
      <c r="F161" s="50"/>
      <c r="G161" s="52"/>
      <c r="H161" s="50"/>
      <c r="I161" s="57">
        <v>5.2546296296296299E-3</v>
      </c>
      <c r="J161" s="55">
        <v>5.2546296296296299E-3</v>
      </c>
      <c r="K161" s="57">
        <v>5.0462962962962961E-3</v>
      </c>
      <c r="L161" s="55">
        <v>5.0462962962962961E-3</v>
      </c>
      <c r="M161" s="57"/>
      <c r="N161" s="55">
        <v>5.0462962962962961E-3</v>
      </c>
      <c r="O161" s="57">
        <v>5.1967592592592595E-3</v>
      </c>
      <c r="P161" s="57"/>
      <c r="Q161" s="59">
        <f>IF(MIN(IF(ISBLANK(O161),N161,O161),IF(ISBLANK(N161),O161,N161))=0,"",MIN(IF(ISBLANK(O161),N161,O161),IF(ISBLANK(N161),O161,N161)))</f>
        <v>5.0462962962962961E-3</v>
      </c>
      <c r="R161" s="57"/>
      <c r="S161" s="57"/>
      <c r="T161" s="59">
        <f>IF(MIN(IF(ISBLANK(R161),Q161,R161),IF(ISBLANK(Q161),R161,Q161))=0,"",MIN(IF(ISBLANK(R161),Q161,R161),IF(ISBLANK(Q161),R161,Q161)))</f>
        <v>5.0462962962962961E-3</v>
      </c>
      <c r="U161" s="57"/>
      <c r="V161" s="57"/>
      <c r="W161" s="59">
        <f>IF(MIN(IF(ISBLANK(U161),T161,U161),IF(ISBLANK(T161),U161,T161))=0,"",MIN(IF(ISBLANK(U161),T161,U161),IF(ISBLANK(T161),U161,T161)))</f>
        <v>5.0462962962962961E-3</v>
      </c>
      <c r="X161" s="57">
        <v>5.0578703703703706E-3</v>
      </c>
      <c r="Y161" s="57"/>
      <c r="Z161" s="59">
        <f>IF(MIN(IF(ISBLANK(X161),W161,X161),IF(ISBLANK(W161),X161,W161))=0,"",MIN(IF(ISBLANK(X161),W161,X161),IF(ISBLANK(W161),X161,W161)))</f>
        <v>5.0462962962962961E-3</v>
      </c>
      <c r="AA161" s="57">
        <v>5.162037037037037E-3</v>
      </c>
      <c r="AB161" s="57"/>
      <c r="AC161" s="59">
        <f>IF(MIN(IF(ISBLANK(Z161),AA161,Z161),IF(ISBLANK(AA161),Z161,AA161))=0,"",MIN(IF(ISBLANK(Z161),AA161,Z161),IF(ISBLANK(AA161),Z161,AA161)))</f>
        <v>5.0462962962962961E-3</v>
      </c>
      <c r="AD161" s="57"/>
      <c r="AE161" s="57"/>
      <c r="AF161" s="59">
        <f t="shared" si="61"/>
        <v>5.0462962962962961E-3</v>
      </c>
      <c r="AG161" s="57"/>
      <c r="AH161" s="57"/>
      <c r="AI161" s="59">
        <f t="shared" si="62"/>
        <v>5.0462962962962961E-3</v>
      </c>
      <c r="AJ161" s="57">
        <v>5.0925925925925921E-3</v>
      </c>
      <c r="AK161" s="57"/>
      <c r="AL161" s="59">
        <f t="shared" si="59"/>
        <v>5.0462962962962961E-3</v>
      </c>
      <c r="AM161" s="57"/>
      <c r="AN161" s="57"/>
      <c r="AO161" s="59">
        <f t="shared" si="60"/>
        <v>5.0462962962962961E-3</v>
      </c>
      <c r="AP161" s="57">
        <v>5.0578703703703706E-3</v>
      </c>
      <c r="AQ161" s="59">
        <f t="shared" si="58"/>
        <v>5.0462962962962961E-3</v>
      </c>
      <c r="AR161" s="57"/>
      <c r="AS161" s="57"/>
      <c r="AT161" s="59">
        <f t="shared" si="57"/>
        <v>5.0462962962962961E-3</v>
      </c>
    </row>
    <row r="162" spans="1:46" hidden="1">
      <c r="A162" s="24"/>
      <c r="B162" s="26" t="s">
        <v>527</v>
      </c>
      <c r="C162" s="26"/>
      <c r="D162" s="50"/>
      <c r="E162" s="51"/>
      <c r="F162" s="50"/>
      <c r="G162" s="52"/>
      <c r="H162" s="50"/>
      <c r="I162" s="53"/>
      <c r="J162" s="50"/>
      <c r="K162" s="53"/>
      <c r="L162" s="50"/>
      <c r="M162" s="57"/>
      <c r="N162" s="55" t="s">
        <v>448</v>
      </c>
      <c r="O162" s="57">
        <v>5.9606481481481489E-3</v>
      </c>
      <c r="P162" s="57"/>
      <c r="Q162" s="59">
        <f>IF(MIN(IF(ISBLANK(O162),N162,O162),IF(ISBLANK(N162),O162,N162))=0,"",MIN(IF(ISBLANK(O162),N162,O162),IF(ISBLANK(N162),O162,N162)))</f>
        <v>5.9606481481481489E-3</v>
      </c>
      <c r="R162" s="57"/>
      <c r="S162" s="57"/>
      <c r="T162" s="59">
        <f>IF(MIN(IF(ISBLANK(R162),Q162,R162),IF(ISBLANK(Q162),R162,Q162))=0,"",MIN(IF(ISBLANK(R162),Q162,R162),IF(ISBLANK(Q162),R162,Q162)))</f>
        <v>5.9606481481481489E-3</v>
      </c>
      <c r="U162" s="57"/>
      <c r="V162" s="57"/>
      <c r="W162" s="59">
        <f>IF(MIN(IF(ISBLANK(U162),T162,U162),IF(ISBLANK(T162),U162,T162))=0,"",MIN(IF(ISBLANK(U162),T162,U162),IF(ISBLANK(T162),U162,T162)))</f>
        <v>5.9606481481481489E-3</v>
      </c>
      <c r="X162" s="57"/>
      <c r="Y162" s="57"/>
      <c r="Z162" s="59">
        <f>IF(MIN(IF(ISBLANK(X162),W162,X162),IF(ISBLANK(W162),X162,W162))=0,"",MIN(IF(ISBLANK(X162),W162,X162),IF(ISBLANK(W162),X162,W162)))</f>
        <v>5.9606481481481489E-3</v>
      </c>
      <c r="AA162" s="57"/>
      <c r="AB162" s="57"/>
      <c r="AC162" s="59">
        <f>IF(MIN(IF(ISBLANK(Z162),AA162,Z162),IF(ISBLANK(AA162),Z162,AA162))=0,"",MIN(IF(ISBLANK(Z162),AA162,Z162),IF(ISBLANK(AA162),Z162,AA162)))</f>
        <v>5.9606481481481489E-3</v>
      </c>
      <c r="AD162" s="57"/>
      <c r="AE162" s="57"/>
      <c r="AF162" s="59">
        <f t="shared" si="61"/>
        <v>5.9606481481481489E-3</v>
      </c>
      <c r="AG162" s="57"/>
      <c r="AH162" s="57"/>
      <c r="AI162" s="59">
        <f t="shared" si="62"/>
        <v>5.9606481481481489E-3</v>
      </c>
      <c r="AJ162" s="57"/>
      <c r="AK162" s="57"/>
      <c r="AL162" s="59">
        <f t="shared" si="59"/>
        <v>5.9606481481481489E-3</v>
      </c>
      <c r="AM162" s="57"/>
      <c r="AN162" s="57"/>
      <c r="AO162" s="59">
        <f t="shared" si="60"/>
        <v>5.9606481481481489E-3</v>
      </c>
      <c r="AP162" s="57"/>
      <c r="AQ162" s="59">
        <f t="shared" si="58"/>
        <v>5.9606481481481489E-3</v>
      </c>
      <c r="AR162" s="57"/>
      <c r="AS162" s="57"/>
      <c r="AT162" s="59">
        <f t="shared" si="57"/>
        <v>5.9606481481481489E-3</v>
      </c>
    </row>
    <row r="163" spans="1:46" hidden="1">
      <c r="A163" s="24"/>
      <c r="B163" s="26" t="s">
        <v>830</v>
      </c>
      <c r="C163" s="26"/>
      <c r="D163" s="50"/>
      <c r="E163" s="51"/>
      <c r="F163" s="50"/>
      <c r="G163" s="52"/>
      <c r="H163" s="50"/>
      <c r="I163" s="53"/>
      <c r="J163" s="50"/>
      <c r="K163" s="53"/>
      <c r="L163" s="50"/>
      <c r="M163" s="57"/>
      <c r="N163" s="55"/>
      <c r="O163" s="57"/>
      <c r="P163" s="57"/>
      <c r="Q163" s="59"/>
      <c r="R163" s="57"/>
      <c r="S163" s="57"/>
      <c r="T163" s="59"/>
      <c r="U163" s="57"/>
      <c r="V163" s="57"/>
      <c r="W163" s="59"/>
      <c r="X163" s="57"/>
      <c r="Y163" s="57"/>
      <c r="Z163" s="59"/>
      <c r="AA163" s="57"/>
      <c r="AB163" s="57"/>
      <c r="AC163" s="59"/>
      <c r="AD163" s="57"/>
      <c r="AE163" s="57"/>
      <c r="AF163" s="59"/>
      <c r="AG163" s="57"/>
      <c r="AH163" s="57"/>
      <c r="AI163" s="59"/>
      <c r="AJ163" s="57"/>
      <c r="AK163" s="57"/>
      <c r="AL163" s="59"/>
      <c r="AM163" s="57"/>
      <c r="AN163" s="57"/>
      <c r="AO163" s="59"/>
      <c r="AP163" s="57"/>
      <c r="AQ163" s="59" t="str">
        <f t="shared" si="58"/>
        <v/>
      </c>
      <c r="AR163" s="57"/>
      <c r="AS163" s="57"/>
      <c r="AT163" s="59" t="str">
        <f t="shared" si="57"/>
        <v/>
      </c>
    </row>
    <row r="164" spans="1:46" hidden="1">
      <c r="A164" s="24"/>
      <c r="B164" s="26" t="s">
        <v>553</v>
      </c>
      <c r="C164" s="26"/>
      <c r="D164" s="50"/>
      <c r="E164" s="51"/>
      <c r="F164" s="50"/>
      <c r="G164" s="52"/>
      <c r="H164" s="50"/>
      <c r="I164" s="53"/>
      <c r="J164" s="50"/>
      <c r="K164" s="53"/>
      <c r="L164" s="50"/>
      <c r="M164" s="57"/>
      <c r="N164" s="55" t="s">
        <v>448</v>
      </c>
      <c r="O164" s="57"/>
      <c r="P164" s="57"/>
      <c r="Q164" s="59" t="str">
        <f>IF(MIN(IF(ISBLANK(O164),N164,O164),IF(ISBLANK(N164),O164,N164))=0,"",MIN(IF(ISBLANK(O164),N164,O164),IF(ISBLANK(N164),O164,N164)))</f>
        <v/>
      </c>
      <c r="R164" s="57"/>
      <c r="S164" s="57"/>
      <c r="T164" s="59" t="str">
        <f>IF(MIN(IF(ISBLANK(R164),Q164,R164),IF(ISBLANK(Q164),R164,Q164))=0,"",MIN(IF(ISBLANK(R164),Q164,R164),IF(ISBLANK(Q164),R164,Q164)))</f>
        <v/>
      </c>
      <c r="U164" s="57"/>
      <c r="V164" s="57"/>
      <c r="W164" s="59" t="str">
        <f>IF(MIN(IF(ISBLANK(U164),T164,U164),IF(ISBLANK(T164),U164,T164))=0,"",MIN(IF(ISBLANK(U164),T164,U164),IF(ISBLANK(T164),U164,T164)))</f>
        <v/>
      </c>
      <c r="X164" s="57"/>
      <c r="Y164" s="57"/>
      <c r="Z164" s="59" t="str">
        <f>IF(MIN(IF(ISBLANK(X164),W164,X164),IF(ISBLANK(W164),X164,W164))=0,"",MIN(IF(ISBLANK(X164),W164,X164),IF(ISBLANK(W164),X164,W164)))</f>
        <v/>
      </c>
      <c r="AA164" s="57"/>
      <c r="AB164" s="57"/>
      <c r="AC164" s="59" t="str">
        <f>IF(MIN(IF(ISBLANK(Z164),AA164,Z164),IF(ISBLANK(AA164),Z164,AA164))=0,"",MIN(IF(ISBLANK(Z164),AA164,Z164),IF(ISBLANK(AA164),Z164,AA164)))</f>
        <v/>
      </c>
      <c r="AD164" s="57"/>
      <c r="AE164" s="57"/>
      <c r="AF164" s="59" t="str">
        <f t="shared" ref="AF164:AF171" si="63">IF(MIN(IF(ISBLANK(AC164),AD164,AC164),IF(ISBLANK(AD164),AC164,AD164))=0,"",MIN(IF(ISBLANK(AC164),AD164,AC164),IF(ISBLANK(AD164),AC164,AD164)))</f>
        <v/>
      </c>
      <c r="AG164" s="57"/>
      <c r="AH164" s="57"/>
      <c r="AI164" s="59" t="str">
        <f t="shared" ref="AI164:AI171" si="64">IF(MIN(IF(ISBLANK(AF164),AG164,AF164),IF(ISBLANK(AG164),AF164,AG164))=0,"",MIN(IF(ISBLANK(AF164),AG164,AF164),IF(ISBLANK(AG164),AF164,AG164)))</f>
        <v/>
      </c>
      <c r="AJ164" s="57"/>
      <c r="AK164" s="57"/>
      <c r="AL164" s="59" t="str">
        <f t="shared" ref="AL164:AL171" si="65">IF(MIN(IF(ISBLANK(AI164),AJ164,AI164),IF(ISBLANK(AJ164),AI164,AJ164))=0,"",MIN(IF(ISBLANK(AI164),AJ164,AI164),IF(ISBLANK(AJ164),AI164,AJ164)))</f>
        <v/>
      </c>
      <c r="AM164" s="57"/>
      <c r="AN164" s="57"/>
      <c r="AO164" s="59" t="str">
        <f t="shared" ref="AO164:AO171" si="66">IF(MIN(IF(ISBLANK(AL164),AM164,AL164),IF(ISBLANK(AM164),AL164,AM164))=0,"",MIN(IF(ISBLANK(AL164),AM164,AL164),IF(ISBLANK(AM164),AL164,AM164)))</f>
        <v/>
      </c>
      <c r="AP164" s="57"/>
      <c r="AQ164" s="59" t="str">
        <f t="shared" si="58"/>
        <v/>
      </c>
      <c r="AR164" s="57"/>
      <c r="AS164" s="57"/>
      <c r="AT164" s="59" t="str">
        <f t="shared" si="57"/>
        <v/>
      </c>
    </row>
    <row r="165" spans="1:46">
      <c r="A165" s="24" t="s">
        <v>792</v>
      </c>
      <c r="B165" s="26" t="s">
        <v>103</v>
      </c>
      <c r="C165" s="26" t="s">
        <v>443</v>
      </c>
      <c r="D165" s="55">
        <v>5.9143518518518521E-3</v>
      </c>
      <c r="E165" s="57">
        <v>7.1296296296296307E-3</v>
      </c>
      <c r="F165" s="55">
        <v>5.9143518518518521E-3</v>
      </c>
      <c r="G165" s="57">
        <v>6.4236111111111117E-3</v>
      </c>
      <c r="H165" s="55">
        <v>5.9143518518518521E-3</v>
      </c>
      <c r="I165" s="57">
        <v>6.2037037037037043E-3</v>
      </c>
      <c r="J165" s="55">
        <v>5.9143518518518521E-3</v>
      </c>
      <c r="K165" s="57">
        <v>6.3310185185185197E-3</v>
      </c>
      <c r="L165" s="55">
        <v>5.9143518518518521E-3</v>
      </c>
      <c r="M165" s="57"/>
      <c r="N165" s="55">
        <v>5.9143518518518521E-3</v>
      </c>
      <c r="O165" s="57">
        <v>6.6435185185185182E-3</v>
      </c>
      <c r="P165" s="57"/>
      <c r="Q165" s="59">
        <f>IF(MIN(IF(ISBLANK(O165),N165,O165),IF(ISBLANK(N165),O165,N165))=0,"",MIN(IF(ISBLANK(O165),N165,O165),IF(ISBLANK(N165),O165,N165)))</f>
        <v>5.9143518518518521E-3</v>
      </c>
      <c r="R165" s="57">
        <v>6.3888888888888884E-3</v>
      </c>
      <c r="S165" s="57"/>
      <c r="T165" s="59">
        <f>IF(MIN(IF(ISBLANK(R165),Q165,R165),IF(ISBLANK(Q165),R165,Q165))=0,"",MIN(IF(ISBLANK(R165),Q165,R165),IF(ISBLANK(Q165),R165,Q165)))</f>
        <v>5.9143518518518521E-3</v>
      </c>
      <c r="U165" s="57">
        <v>6.2731481481481484E-3</v>
      </c>
      <c r="V165" s="57"/>
      <c r="W165" s="59">
        <f>IF(MIN(IF(ISBLANK(U165),T165,U165),IF(ISBLANK(T165),U165,T165))=0,"",MIN(IF(ISBLANK(U165),T165,U165),IF(ISBLANK(T165),U165,T165)))</f>
        <v>5.9143518518518521E-3</v>
      </c>
      <c r="X165" s="57">
        <v>6.7476851851851856E-3</v>
      </c>
      <c r="Y165" s="57"/>
      <c r="Z165" s="59">
        <f>IF(MIN(IF(ISBLANK(X165),W165,X165),IF(ISBLANK(W165),X165,W165))=0,"",MIN(IF(ISBLANK(X165),W165,X165),IF(ISBLANK(W165),X165,W165)))</f>
        <v>5.9143518518518521E-3</v>
      </c>
      <c r="AA165" s="57">
        <v>6.4583333333333333E-3</v>
      </c>
      <c r="AB165" s="57"/>
      <c r="AC165" s="59">
        <f>IF(MIN(IF(ISBLANK(Z165),AA165,Z165),IF(ISBLANK(AA165),Z165,AA165))=0,"",MIN(IF(ISBLANK(Z165),AA165,Z165),IF(ISBLANK(AA165),Z165,AA165)))</f>
        <v>5.9143518518518521E-3</v>
      </c>
      <c r="AD165" s="57"/>
      <c r="AE165" s="57"/>
      <c r="AF165" s="59">
        <f t="shared" si="63"/>
        <v>5.9143518518518521E-3</v>
      </c>
      <c r="AG165" s="57"/>
      <c r="AH165" s="57"/>
      <c r="AI165" s="59">
        <f t="shared" si="64"/>
        <v>5.9143518518518521E-3</v>
      </c>
      <c r="AJ165" s="57">
        <v>6.4814814814814813E-3</v>
      </c>
      <c r="AK165" s="57"/>
      <c r="AL165" s="59">
        <f t="shared" si="65"/>
        <v>5.9143518518518521E-3</v>
      </c>
      <c r="AM165" s="57">
        <v>6.3888888888888884E-3</v>
      </c>
      <c r="AN165" s="57"/>
      <c r="AO165" s="59">
        <f t="shared" si="66"/>
        <v>5.9143518518518521E-3</v>
      </c>
      <c r="AP165" s="57"/>
      <c r="AQ165" s="59">
        <f t="shared" si="58"/>
        <v>5.9143518518518521E-3</v>
      </c>
      <c r="AR165" s="57">
        <v>6.2731481481481484E-3</v>
      </c>
      <c r="AS165" s="57"/>
      <c r="AT165" s="59">
        <f t="shared" si="57"/>
        <v>5.9143518518518521E-3</v>
      </c>
    </row>
    <row r="166" spans="1:46" hidden="1">
      <c r="A166" s="24"/>
      <c r="B166" s="26" t="s">
        <v>693</v>
      </c>
      <c r="C166" s="26"/>
      <c r="D166" s="50"/>
      <c r="E166" s="51"/>
      <c r="F166" s="50"/>
      <c r="G166" s="52"/>
      <c r="H166" s="50"/>
      <c r="I166" s="53"/>
      <c r="J166" s="50"/>
      <c r="K166" s="54"/>
      <c r="L166" s="50"/>
      <c r="M166" s="56"/>
      <c r="N166" s="55"/>
      <c r="O166" s="56"/>
      <c r="P166" s="56"/>
      <c r="Q166" s="59"/>
      <c r="R166" s="56"/>
      <c r="S166" s="56"/>
      <c r="T166" s="59"/>
      <c r="U166" s="56"/>
      <c r="V166" s="56"/>
      <c r="W166" s="59"/>
      <c r="X166" s="56"/>
      <c r="Y166" s="56"/>
      <c r="Z166" s="59"/>
      <c r="AA166" s="56"/>
      <c r="AB166" s="56"/>
      <c r="AC166" s="59" t="str">
        <f>IF(MIN(IF(ISBLANK(Z166),AA166,Z166),IF(ISBLANK(AA166),Z166,AA166))=0,"",MIN(IF(ISBLANK(Z166),AA166,Z166),IF(ISBLANK(AA166),Z166,AA166)))</f>
        <v/>
      </c>
      <c r="AD166" s="56"/>
      <c r="AE166" s="56"/>
      <c r="AF166" s="59" t="str">
        <f t="shared" si="63"/>
        <v/>
      </c>
      <c r="AG166" s="56"/>
      <c r="AH166" s="56"/>
      <c r="AI166" s="59" t="str">
        <f t="shared" si="64"/>
        <v/>
      </c>
      <c r="AJ166" s="56"/>
      <c r="AK166" s="56"/>
      <c r="AL166" s="59" t="str">
        <f t="shared" si="65"/>
        <v/>
      </c>
      <c r="AM166" s="56"/>
      <c r="AN166" s="56"/>
      <c r="AO166" s="59" t="str">
        <f t="shared" si="66"/>
        <v/>
      </c>
      <c r="AP166" s="56"/>
      <c r="AQ166" s="59" t="str">
        <f t="shared" si="58"/>
        <v/>
      </c>
      <c r="AR166" s="56"/>
      <c r="AS166" s="56"/>
      <c r="AT166" s="59" t="str">
        <f t="shared" si="57"/>
        <v/>
      </c>
    </row>
    <row r="167" spans="1:46" hidden="1">
      <c r="A167" s="24"/>
      <c r="B167" s="26" t="s">
        <v>110</v>
      </c>
      <c r="C167" s="26" t="s">
        <v>443</v>
      </c>
      <c r="D167" s="55">
        <v>6.3310185185185197E-3</v>
      </c>
      <c r="E167" s="51"/>
      <c r="F167" s="55">
        <v>6.3310185185185197E-3</v>
      </c>
      <c r="G167" s="52"/>
      <c r="H167" s="55">
        <v>6.3310185185185197E-3</v>
      </c>
      <c r="I167" s="53"/>
      <c r="J167" s="55">
        <v>6.3310185185185197E-3</v>
      </c>
      <c r="K167" s="53"/>
      <c r="L167" s="55">
        <v>6.3310185185185197E-3</v>
      </c>
      <c r="M167" s="57"/>
      <c r="N167" s="55">
        <v>6.3310185185185197E-3</v>
      </c>
      <c r="O167" s="57"/>
      <c r="P167" s="57"/>
      <c r="Q167" s="59">
        <f>IF(MIN(IF(ISBLANK(O167),N167,O167),IF(ISBLANK(N167),O167,N167))=0,"",MIN(IF(ISBLANK(O167),N167,O167),IF(ISBLANK(N167),O167,N167)))</f>
        <v>6.3310185185185197E-3</v>
      </c>
      <c r="R167" s="57"/>
      <c r="S167" s="57"/>
      <c r="T167" s="59">
        <f>IF(MIN(IF(ISBLANK(R167),Q167,R167),IF(ISBLANK(Q167),R167,Q167))=0,"",MIN(IF(ISBLANK(R167),Q167,R167),IF(ISBLANK(Q167),R167,Q167)))</f>
        <v>6.3310185185185197E-3</v>
      </c>
      <c r="U167" s="57"/>
      <c r="V167" s="57"/>
      <c r="W167" s="59">
        <f>IF(MIN(IF(ISBLANK(U167),T167,U167),IF(ISBLANK(T167),U167,T167))=0,"",MIN(IF(ISBLANK(U167),T167,U167),IF(ISBLANK(T167),U167,T167)))</f>
        <v>6.3310185185185197E-3</v>
      </c>
      <c r="X167" s="57"/>
      <c r="Y167" s="57"/>
      <c r="Z167" s="59">
        <f>IF(MIN(IF(ISBLANK(X167),W167,X167),IF(ISBLANK(W167),X167,W167))=0,"",MIN(IF(ISBLANK(X167),W167,X167),IF(ISBLANK(W167),X167,W167)))</f>
        <v>6.3310185185185197E-3</v>
      </c>
      <c r="AA167" s="57"/>
      <c r="AB167" s="57"/>
      <c r="AC167" s="59">
        <f>IF(MIN(IF(ISBLANK(Z167),AA167,Z167),IF(ISBLANK(AA167),Z167,AA167))=0,"",MIN(IF(ISBLANK(Z167),AA167,Z167),IF(ISBLANK(AA167),Z167,AA167)))</f>
        <v>6.3310185185185197E-3</v>
      </c>
      <c r="AD167" s="57"/>
      <c r="AE167" s="57"/>
      <c r="AF167" s="59">
        <f t="shared" si="63"/>
        <v>6.3310185185185197E-3</v>
      </c>
      <c r="AG167" s="57"/>
      <c r="AH167" s="57"/>
      <c r="AI167" s="59">
        <f t="shared" si="64"/>
        <v>6.3310185185185197E-3</v>
      </c>
      <c r="AJ167" s="57"/>
      <c r="AK167" s="57"/>
      <c r="AL167" s="59">
        <f t="shared" si="65"/>
        <v>6.3310185185185197E-3</v>
      </c>
      <c r="AM167" s="57"/>
      <c r="AN167" s="57"/>
      <c r="AO167" s="59">
        <f t="shared" si="66"/>
        <v>6.3310185185185197E-3</v>
      </c>
      <c r="AP167" s="57"/>
      <c r="AQ167" s="59">
        <f t="shared" si="58"/>
        <v>6.3310185185185197E-3</v>
      </c>
      <c r="AR167" s="57"/>
      <c r="AS167" s="57"/>
      <c r="AT167" s="59">
        <f t="shared" si="57"/>
        <v>6.3310185185185197E-3</v>
      </c>
    </row>
    <row r="168" spans="1:46" hidden="1">
      <c r="A168" s="24"/>
      <c r="B168" s="26" t="s">
        <v>116</v>
      </c>
      <c r="C168" s="26" t="s">
        <v>443</v>
      </c>
      <c r="D168" s="55">
        <v>4.8032407407407407E-3</v>
      </c>
      <c r="E168" s="51"/>
      <c r="F168" s="55">
        <v>4.8032407407407407E-3</v>
      </c>
      <c r="G168" s="52"/>
      <c r="H168" s="55">
        <v>4.8032407407407407E-3</v>
      </c>
      <c r="I168" s="57">
        <v>4.8032407407407407E-3</v>
      </c>
      <c r="J168" s="55">
        <v>4.8032407407407407E-3</v>
      </c>
      <c r="K168" s="53"/>
      <c r="L168" s="55">
        <v>4.8032407407407407E-3</v>
      </c>
      <c r="M168" s="57"/>
      <c r="N168" s="55">
        <v>4.8032407407407407E-3</v>
      </c>
      <c r="O168" s="57">
        <v>4.8495370370370368E-3</v>
      </c>
      <c r="P168" s="57"/>
      <c r="Q168" s="59">
        <f>IF(MIN(IF(ISBLANK(O168),N168,O168),IF(ISBLANK(N168),O168,N168))=0,"",MIN(IF(ISBLANK(O168),N168,O168),IF(ISBLANK(N168),O168,N168)))</f>
        <v>4.8032407407407407E-3</v>
      </c>
      <c r="R168" s="57"/>
      <c r="S168" s="57"/>
      <c r="T168" s="59">
        <f>IF(MIN(IF(ISBLANK(R168),Q168,R168),IF(ISBLANK(Q168),R168,Q168))=0,"",MIN(IF(ISBLANK(R168),Q168,R168),IF(ISBLANK(Q168),R168,Q168)))</f>
        <v>4.8032407407407407E-3</v>
      </c>
      <c r="U168" s="57"/>
      <c r="V168" s="57"/>
      <c r="W168" s="59">
        <f>IF(MIN(IF(ISBLANK(U168),T168,U168),IF(ISBLANK(T168),U168,T168))=0,"",MIN(IF(ISBLANK(U168),T168,U168),IF(ISBLANK(T168),U168,T168)))</f>
        <v>4.8032407407407407E-3</v>
      </c>
      <c r="X168" s="57"/>
      <c r="Y168" s="57"/>
      <c r="Z168" s="59">
        <f>IF(MIN(IF(ISBLANK(X168),W168,X168),IF(ISBLANK(W168),X168,W168))=0,"",MIN(IF(ISBLANK(X168),W168,X168),IF(ISBLANK(W168),X168,W168)))</f>
        <v>4.8032407407407407E-3</v>
      </c>
      <c r="AA168" s="57"/>
      <c r="AB168" s="57"/>
      <c r="AC168" s="59">
        <f>IF(MIN(IF(ISBLANK(Z168),AA168,Z168),IF(ISBLANK(AA168),Z168,AA168))=0,"",MIN(IF(ISBLANK(Z168),AA168,Z168),IF(ISBLANK(AA168),Z168,AA168)))</f>
        <v>4.8032407407407407E-3</v>
      </c>
      <c r="AD168" s="57"/>
      <c r="AE168" s="57"/>
      <c r="AF168" s="59">
        <f t="shared" si="63"/>
        <v>4.8032407407407407E-3</v>
      </c>
      <c r="AG168" s="57"/>
      <c r="AH168" s="57"/>
      <c r="AI168" s="59">
        <f t="shared" si="64"/>
        <v>4.8032407407407407E-3</v>
      </c>
      <c r="AJ168" s="57"/>
      <c r="AK168" s="57"/>
      <c r="AL168" s="59">
        <f t="shared" si="65"/>
        <v>4.8032407407407407E-3</v>
      </c>
      <c r="AM168" s="57"/>
      <c r="AN168" s="57"/>
      <c r="AO168" s="59">
        <f t="shared" si="66"/>
        <v>4.8032407407407407E-3</v>
      </c>
      <c r="AP168" s="57"/>
      <c r="AQ168" s="59">
        <f t="shared" si="58"/>
        <v>4.8032407407407407E-3</v>
      </c>
      <c r="AR168" s="57"/>
      <c r="AS168" s="57"/>
      <c r="AT168" s="59">
        <f t="shared" si="57"/>
        <v>4.8032407407407407E-3</v>
      </c>
    </row>
    <row r="169" spans="1:46">
      <c r="A169" s="24" t="s">
        <v>792</v>
      </c>
      <c r="B169" s="26" t="s">
        <v>731</v>
      </c>
      <c r="C169" s="26"/>
      <c r="D169" s="50"/>
      <c r="E169" s="51"/>
      <c r="F169" s="50"/>
      <c r="G169" s="52"/>
      <c r="H169" s="50"/>
      <c r="I169" s="53"/>
      <c r="J169" s="50"/>
      <c r="K169" s="54"/>
      <c r="L169" s="50"/>
      <c r="M169" s="56"/>
      <c r="N169" s="55"/>
      <c r="O169" s="56"/>
      <c r="P169" s="56"/>
      <c r="Q169" s="59"/>
      <c r="R169" s="56"/>
      <c r="S169" s="56"/>
      <c r="T169" s="59"/>
      <c r="U169" s="56"/>
      <c r="V169" s="56"/>
      <c r="W169" s="59"/>
      <c r="X169" s="56"/>
      <c r="Y169" s="56"/>
      <c r="Z169" s="59"/>
      <c r="AA169" s="56"/>
      <c r="AB169" s="56"/>
      <c r="AC169" s="59"/>
      <c r="AD169" s="56"/>
      <c r="AE169" s="56"/>
      <c r="AF169" s="59" t="str">
        <f t="shared" si="63"/>
        <v/>
      </c>
      <c r="AG169" s="57">
        <v>5.1273148148148146E-3</v>
      </c>
      <c r="AH169" s="56"/>
      <c r="AI169" s="59">
        <f t="shared" si="64"/>
        <v>5.1273148148148146E-3</v>
      </c>
      <c r="AJ169" s="57"/>
      <c r="AK169" s="56"/>
      <c r="AL169" s="59">
        <f t="shared" si="65"/>
        <v>5.1273148148148146E-3</v>
      </c>
      <c r="AM169" s="57"/>
      <c r="AN169" s="56"/>
      <c r="AO169" s="59">
        <f t="shared" si="66"/>
        <v>5.1273148148148146E-3</v>
      </c>
      <c r="AP169" s="57"/>
      <c r="AQ169" s="59">
        <f t="shared" si="58"/>
        <v>5.1273148148148146E-3</v>
      </c>
      <c r="AR169" s="57"/>
      <c r="AS169" s="57"/>
      <c r="AT169" s="59">
        <f t="shared" si="57"/>
        <v>5.1273148148148146E-3</v>
      </c>
    </row>
    <row r="170" spans="1:46">
      <c r="A170" s="24" t="s">
        <v>792</v>
      </c>
      <c r="B170" s="26" t="s">
        <v>127</v>
      </c>
      <c r="C170" s="26" t="s">
        <v>443</v>
      </c>
      <c r="D170" s="55">
        <v>5.3125000000000004E-3</v>
      </c>
      <c r="E170" s="57">
        <v>5.6712962962962958E-3</v>
      </c>
      <c r="F170" s="55">
        <v>5.3125000000000004E-3</v>
      </c>
      <c r="G170" s="52"/>
      <c r="H170" s="55">
        <v>5.3125000000000004E-3</v>
      </c>
      <c r="I170" s="53"/>
      <c r="J170" s="55">
        <v>5.3125000000000004E-3</v>
      </c>
      <c r="K170" s="53"/>
      <c r="L170" s="55">
        <v>5.3125000000000004E-3</v>
      </c>
      <c r="M170" s="57"/>
      <c r="N170" s="55">
        <v>6.0069444444444441E-3</v>
      </c>
      <c r="O170" s="57"/>
      <c r="P170" s="57"/>
      <c r="Q170" s="59">
        <f>IF(MIN(IF(ISBLANK(O170),N170,O170),IF(ISBLANK(N170),O170,N170))=0,"",MIN(IF(ISBLANK(O170),N170,O170),IF(ISBLANK(N170),O170,N170)))</f>
        <v>6.0069444444444441E-3</v>
      </c>
      <c r="R170" s="57"/>
      <c r="S170" s="57"/>
      <c r="T170" s="59">
        <f>IF(MIN(IF(ISBLANK(R170),Q170,R170),IF(ISBLANK(Q170),R170,Q170))=0,"",MIN(IF(ISBLANK(R170),Q170,R170),IF(ISBLANK(Q170),R170,Q170)))</f>
        <v>6.0069444444444441E-3</v>
      </c>
      <c r="U170" s="57"/>
      <c r="V170" s="57"/>
      <c r="W170" s="59">
        <f>IF(MIN(IF(ISBLANK(U170),T170,U170),IF(ISBLANK(T170),U170,T170))=0,"",MIN(IF(ISBLANK(U170),T170,U170),IF(ISBLANK(T170),U170,T170)))</f>
        <v>6.0069444444444441E-3</v>
      </c>
      <c r="X170" s="57"/>
      <c r="Y170" s="57"/>
      <c r="Z170" s="59">
        <f>IF(MIN(IF(ISBLANK(X170),W170,X170),IF(ISBLANK(W170),X170,W170))=0,"",MIN(IF(ISBLANK(X170),W170,X170),IF(ISBLANK(W170),X170,W170)))</f>
        <v>6.0069444444444441E-3</v>
      </c>
      <c r="AA170" s="57"/>
      <c r="AB170" s="57"/>
      <c r="AC170" s="59">
        <f>IF(MIN(IF(ISBLANK(Z170),AA170,Z170),IF(ISBLANK(AA170),Z170,AA170))=0,"",MIN(IF(ISBLANK(Z170),AA170,Z170),IF(ISBLANK(AA170),Z170,AA170)))</f>
        <v>6.0069444444444441E-3</v>
      </c>
      <c r="AD170" s="57">
        <v>6.238425925925925E-3</v>
      </c>
      <c r="AE170" s="57"/>
      <c r="AF170" s="59">
        <f t="shared" si="63"/>
        <v>6.0069444444444441E-3</v>
      </c>
      <c r="AG170" s="57">
        <v>6.1342592592592594E-3</v>
      </c>
      <c r="AH170" s="57"/>
      <c r="AI170" s="59">
        <f t="shared" si="64"/>
        <v>6.0069444444444441E-3</v>
      </c>
      <c r="AJ170" s="57"/>
      <c r="AK170" s="57"/>
      <c r="AL170" s="59">
        <f t="shared" si="65"/>
        <v>6.0069444444444441E-3</v>
      </c>
      <c r="AM170" s="57">
        <v>6.076388888888889E-3</v>
      </c>
      <c r="AN170" s="57"/>
      <c r="AO170" s="59">
        <f t="shared" si="66"/>
        <v>6.0069444444444441E-3</v>
      </c>
      <c r="AP170" s="57">
        <v>5.9606481481481489E-3</v>
      </c>
      <c r="AQ170" s="59">
        <f t="shared" si="58"/>
        <v>5.9606481481481489E-3</v>
      </c>
      <c r="AR170" s="57">
        <v>5.9837962962962961E-3</v>
      </c>
      <c r="AS170" s="57"/>
      <c r="AT170" s="59">
        <f t="shared" si="57"/>
        <v>5.9606481481481489E-3</v>
      </c>
    </row>
    <row r="171" spans="1:46">
      <c r="A171" s="24" t="s">
        <v>792</v>
      </c>
      <c r="B171" s="26" t="s">
        <v>133</v>
      </c>
      <c r="C171" s="26" t="s">
        <v>443</v>
      </c>
      <c r="D171" s="55">
        <v>7.2337962962962963E-3</v>
      </c>
      <c r="E171" s="51"/>
      <c r="F171" s="55">
        <v>7.2337962962962963E-3</v>
      </c>
      <c r="G171" s="57">
        <v>8.7615740740740744E-3</v>
      </c>
      <c r="H171" s="55">
        <v>7.2337962962962963E-3</v>
      </c>
      <c r="I171" s="53"/>
      <c r="J171" s="55">
        <v>7.2337962962962963E-3</v>
      </c>
      <c r="K171" s="57">
        <v>8.7037037037037031E-3</v>
      </c>
      <c r="L171" s="55">
        <v>7.2337962962962963E-3</v>
      </c>
      <c r="M171" s="57"/>
      <c r="N171" s="55">
        <v>7.2337962962962963E-3</v>
      </c>
      <c r="O171" s="57">
        <v>8.6689814814814806E-3</v>
      </c>
      <c r="P171" s="57"/>
      <c r="Q171" s="59">
        <f>IF(MIN(IF(ISBLANK(O171),N171,O171),IF(ISBLANK(N171),O171,N171))=0,"",MIN(IF(ISBLANK(O171),N171,O171),IF(ISBLANK(N171),O171,N171)))</f>
        <v>7.2337962962962963E-3</v>
      </c>
      <c r="R171" s="57"/>
      <c r="S171" s="57"/>
      <c r="T171" s="59">
        <f>IF(MIN(IF(ISBLANK(R171),Q171,R171),IF(ISBLANK(Q171),R171,Q171))=0,"",MIN(IF(ISBLANK(R171),Q171,R171),IF(ISBLANK(Q171),R171,Q171)))</f>
        <v>7.2337962962962963E-3</v>
      </c>
      <c r="U171" s="57"/>
      <c r="V171" s="57"/>
      <c r="W171" s="59">
        <f>IF(MIN(IF(ISBLANK(U171),T171,U171),IF(ISBLANK(T171),U171,T171))=0,"",MIN(IF(ISBLANK(U171),T171,U171),IF(ISBLANK(T171),U171,T171)))</f>
        <v>7.2337962962962963E-3</v>
      </c>
      <c r="X171" s="57"/>
      <c r="Y171" s="57"/>
      <c r="Z171" s="59">
        <f>IF(MIN(IF(ISBLANK(X171),W171,X171),IF(ISBLANK(W171),X171,W171))=0,"",MIN(IF(ISBLANK(X171),W171,X171),IF(ISBLANK(W171),X171,W171)))</f>
        <v>7.2337962962962963E-3</v>
      </c>
      <c r="AA171" s="57"/>
      <c r="AB171" s="57"/>
      <c r="AC171" s="59">
        <f>IF(MIN(IF(ISBLANK(Z171),AA171,Z171),IF(ISBLANK(AA171),Z171,AA171))=0,"",MIN(IF(ISBLANK(Z171),AA171,Z171),IF(ISBLANK(AA171),Z171,AA171)))</f>
        <v>7.2337962962962963E-3</v>
      </c>
      <c r="AD171" s="57">
        <v>9.6759259259259264E-3</v>
      </c>
      <c r="AE171" s="57"/>
      <c r="AF171" s="59">
        <f t="shared" si="63"/>
        <v>7.2337962962962963E-3</v>
      </c>
      <c r="AG171" s="57">
        <v>9.0740740740740729E-3</v>
      </c>
      <c r="AH171" s="57"/>
      <c r="AI171" s="59">
        <f t="shared" si="64"/>
        <v>7.2337962962962963E-3</v>
      </c>
      <c r="AJ171" s="57"/>
      <c r="AK171" s="57"/>
      <c r="AL171" s="59">
        <f t="shared" si="65"/>
        <v>7.2337962962962963E-3</v>
      </c>
      <c r="AM171" s="57"/>
      <c r="AN171" s="57"/>
      <c r="AO171" s="59">
        <f t="shared" si="66"/>
        <v>7.2337962962962963E-3</v>
      </c>
      <c r="AP171" s="57"/>
      <c r="AQ171" s="59">
        <f t="shared" si="58"/>
        <v>7.2337962962962963E-3</v>
      </c>
      <c r="AR171" s="57"/>
      <c r="AS171" s="57"/>
      <c r="AT171" s="59">
        <f t="shared" si="57"/>
        <v>7.2337962962962963E-3</v>
      </c>
    </row>
    <row r="172" spans="1:46">
      <c r="A172" s="24" t="s">
        <v>792</v>
      </c>
      <c r="B172" s="26" t="s">
        <v>839</v>
      </c>
      <c r="C172" s="26"/>
      <c r="D172" s="50"/>
      <c r="E172" s="51"/>
      <c r="F172" s="50"/>
      <c r="G172" s="52"/>
      <c r="H172" s="50"/>
      <c r="I172" s="53"/>
      <c r="J172" s="50"/>
      <c r="K172" s="53"/>
      <c r="L172" s="50"/>
      <c r="M172" s="57"/>
      <c r="N172" s="55"/>
      <c r="O172" s="57"/>
      <c r="P172" s="57"/>
      <c r="Q172" s="59"/>
      <c r="R172" s="57"/>
      <c r="S172" s="57"/>
      <c r="T172" s="59"/>
      <c r="U172" s="57"/>
      <c r="V172" s="57"/>
      <c r="W172" s="59"/>
      <c r="X172" s="57"/>
      <c r="Y172" s="57"/>
      <c r="Z172" s="59"/>
      <c r="AA172" s="57"/>
      <c r="AB172" s="57"/>
      <c r="AC172" s="59"/>
      <c r="AD172" s="57"/>
      <c r="AE172" s="57"/>
      <c r="AF172" s="59"/>
      <c r="AG172" s="57"/>
      <c r="AH172" s="57"/>
      <c r="AI172" s="59"/>
      <c r="AJ172" s="57"/>
      <c r="AK172" s="57"/>
      <c r="AL172" s="59"/>
      <c r="AM172" s="57"/>
      <c r="AN172" s="57"/>
      <c r="AO172" s="59"/>
      <c r="AP172" s="57">
        <v>5.6597222222222222E-3</v>
      </c>
      <c r="AQ172" s="59">
        <f t="shared" si="58"/>
        <v>5.6597222222222222E-3</v>
      </c>
      <c r="AR172" s="57"/>
      <c r="AS172" s="57"/>
      <c r="AT172" s="59">
        <f t="shared" si="57"/>
        <v>5.6597222222222222E-3</v>
      </c>
    </row>
    <row r="173" spans="1:46" hidden="1">
      <c r="A173" s="24"/>
      <c r="B173" s="26" t="s">
        <v>146</v>
      </c>
      <c r="C173" s="26" t="s">
        <v>443</v>
      </c>
      <c r="D173" s="55">
        <v>7.5810185185185182E-3</v>
      </c>
      <c r="E173" s="51"/>
      <c r="F173" s="55">
        <v>7.5810185185185182E-3</v>
      </c>
      <c r="G173" s="52"/>
      <c r="H173" s="55">
        <v>7.5810185185185182E-3</v>
      </c>
      <c r="I173" s="53"/>
      <c r="J173" s="55">
        <v>7.5810185185185182E-3</v>
      </c>
      <c r="K173" s="53"/>
      <c r="L173" s="55">
        <v>7.5810185185185182E-3</v>
      </c>
      <c r="M173" s="57"/>
      <c r="N173" s="55">
        <v>7.5810185185185182E-3</v>
      </c>
      <c r="O173" s="57"/>
      <c r="P173" s="57"/>
      <c r="Q173" s="59">
        <f>IF(MIN(IF(ISBLANK(O173),N173,O173),IF(ISBLANK(N173),O173,N173))=0,"",MIN(IF(ISBLANK(O173),N173,O173),IF(ISBLANK(N173),O173,N173)))</f>
        <v>7.5810185185185182E-3</v>
      </c>
      <c r="R173" s="57"/>
      <c r="S173" s="57"/>
      <c r="T173" s="59">
        <f>IF(MIN(IF(ISBLANK(R173),Q173,R173),IF(ISBLANK(Q173),R173,Q173))=0,"",MIN(IF(ISBLANK(R173),Q173,R173),IF(ISBLANK(Q173),R173,Q173)))</f>
        <v>7.5810185185185182E-3</v>
      </c>
      <c r="U173" s="57"/>
      <c r="V173" s="57"/>
      <c r="W173" s="59">
        <f>IF(MIN(IF(ISBLANK(U173),T173,U173),IF(ISBLANK(T173),U173,T173))=0,"",MIN(IF(ISBLANK(U173),T173,U173),IF(ISBLANK(T173),U173,T173)))</f>
        <v>7.5810185185185182E-3</v>
      </c>
      <c r="X173" s="57"/>
      <c r="Y173" s="57"/>
      <c r="Z173" s="59">
        <f>IF(MIN(IF(ISBLANK(X173),W173,X173),IF(ISBLANK(W173),X173,W173))=0,"",MIN(IF(ISBLANK(X173),W173,X173),IF(ISBLANK(W173),X173,W173)))</f>
        <v>7.5810185185185182E-3</v>
      </c>
      <c r="AA173" s="57"/>
      <c r="AB173" s="57"/>
      <c r="AC173" s="59">
        <f>IF(MIN(IF(ISBLANK(Z173),AA173,Z173),IF(ISBLANK(AA173),Z173,AA173))=0,"",MIN(IF(ISBLANK(Z173),AA173,Z173),IF(ISBLANK(AA173),Z173,AA173)))</f>
        <v>7.5810185185185182E-3</v>
      </c>
      <c r="AD173" s="57"/>
      <c r="AE173" s="57"/>
      <c r="AF173" s="59">
        <f>IF(MIN(IF(ISBLANK(AC173),AD173,AC173),IF(ISBLANK(AD173),AC173,AD173))=0,"",MIN(IF(ISBLANK(AC173),AD173,AC173),IF(ISBLANK(AD173),AC173,AD173)))</f>
        <v>7.5810185185185182E-3</v>
      </c>
      <c r="AG173" s="57"/>
      <c r="AH173" s="57"/>
      <c r="AI173" s="59">
        <f>IF(MIN(IF(ISBLANK(AF173),AG173,AF173),IF(ISBLANK(AG173),AF173,AG173))=0,"",MIN(IF(ISBLANK(AF173),AG173,AF173),IF(ISBLANK(AG173),AF173,AG173)))</f>
        <v>7.5810185185185182E-3</v>
      </c>
      <c r="AJ173" s="57"/>
      <c r="AK173" s="57"/>
      <c r="AL173" s="59">
        <f>IF(MIN(IF(ISBLANK(AI173),AJ173,AI173),IF(ISBLANK(AJ173),AI173,AJ173))=0,"",MIN(IF(ISBLANK(AI173),AJ173,AI173),IF(ISBLANK(AJ173),AI173,AJ173)))</f>
        <v>7.5810185185185182E-3</v>
      </c>
      <c r="AM173" s="57"/>
      <c r="AN173" s="57"/>
      <c r="AO173" s="59">
        <f>IF(MIN(IF(ISBLANK(AL173),AM173,AL173),IF(ISBLANK(AM173),AL173,AM173))=0,"",MIN(IF(ISBLANK(AL173),AM173,AL173),IF(ISBLANK(AM173),AL173,AM173)))</f>
        <v>7.5810185185185182E-3</v>
      </c>
      <c r="AP173" s="57"/>
      <c r="AQ173" s="59">
        <f t="shared" si="58"/>
        <v>7.5810185185185182E-3</v>
      </c>
      <c r="AR173" s="57"/>
      <c r="AS173" s="57"/>
      <c r="AT173" s="59">
        <f t="shared" si="57"/>
        <v>7.5810185185185182E-3</v>
      </c>
    </row>
    <row r="174" spans="1:46">
      <c r="A174" s="24" t="s">
        <v>792</v>
      </c>
      <c r="B174" s="26" t="s">
        <v>841</v>
      </c>
      <c r="C174" s="26"/>
      <c r="D174" s="50"/>
      <c r="E174" s="51"/>
      <c r="F174" s="50"/>
      <c r="G174" s="52"/>
      <c r="H174" s="50"/>
      <c r="I174" s="53"/>
      <c r="J174" s="50"/>
      <c r="K174" s="53"/>
      <c r="L174" s="50"/>
      <c r="M174" s="57"/>
      <c r="N174" s="55"/>
      <c r="O174" s="57"/>
      <c r="P174" s="57"/>
      <c r="Q174" s="59"/>
      <c r="R174" s="57"/>
      <c r="S174" s="57"/>
      <c r="T174" s="59"/>
      <c r="U174" s="57"/>
      <c r="V174" s="57"/>
      <c r="W174" s="59"/>
      <c r="X174" s="57"/>
      <c r="Y174" s="57"/>
      <c r="Z174" s="59"/>
      <c r="AA174" s="57"/>
      <c r="AB174" s="57"/>
      <c r="AC174" s="59"/>
      <c r="AD174" s="57"/>
      <c r="AE174" s="57"/>
      <c r="AF174" s="59"/>
      <c r="AG174" s="57"/>
      <c r="AH174" s="57"/>
      <c r="AI174" s="59"/>
      <c r="AJ174" s="57"/>
      <c r="AK174" s="57"/>
      <c r="AL174" s="59"/>
      <c r="AM174" s="57"/>
      <c r="AN174" s="57"/>
      <c r="AO174" s="59"/>
      <c r="AP174" s="57"/>
      <c r="AQ174" s="59" t="str">
        <f t="shared" si="58"/>
        <v/>
      </c>
      <c r="AR174" s="57"/>
      <c r="AS174" s="57"/>
      <c r="AT174" s="59" t="str">
        <f t="shared" si="57"/>
        <v/>
      </c>
    </row>
    <row r="175" spans="1:46" hidden="1">
      <c r="A175" s="24"/>
      <c r="B175" s="26" t="s">
        <v>139</v>
      </c>
      <c r="C175" s="26" t="s">
        <v>443</v>
      </c>
      <c r="D175" s="50"/>
      <c r="E175" s="51"/>
      <c r="F175" s="50" t="s">
        <v>448</v>
      </c>
      <c r="G175" s="52"/>
      <c r="H175" s="50"/>
      <c r="I175" s="53"/>
      <c r="J175" s="50" t="s">
        <v>448</v>
      </c>
      <c r="K175" s="53"/>
      <c r="L175" s="50"/>
      <c r="M175" s="57"/>
      <c r="N175" s="55" t="s">
        <v>448</v>
      </c>
      <c r="O175" s="57"/>
      <c r="P175" s="57"/>
      <c r="Q175" s="59" t="str">
        <f>IF(MIN(IF(ISBLANK(O175),N175,O175),IF(ISBLANK(N175),O175,N175))=0,"",MIN(IF(ISBLANK(O175),N175,O175),IF(ISBLANK(N175),O175,N175)))</f>
        <v/>
      </c>
      <c r="R175" s="57"/>
      <c r="S175" s="57"/>
      <c r="T175" s="59" t="str">
        <f>IF(MIN(IF(ISBLANK(R175),Q175,R175),IF(ISBLANK(Q175),R175,Q175))=0,"",MIN(IF(ISBLANK(R175),Q175,R175),IF(ISBLANK(Q175),R175,Q175)))</f>
        <v/>
      </c>
      <c r="U175" s="57"/>
      <c r="V175" s="57"/>
      <c r="W175" s="59" t="str">
        <f>IF(MIN(IF(ISBLANK(U175),T175,U175),IF(ISBLANK(T175),U175,T175))=0,"",MIN(IF(ISBLANK(U175),T175,U175),IF(ISBLANK(T175),U175,T175)))</f>
        <v/>
      </c>
      <c r="X175" s="57"/>
      <c r="Y175" s="57"/>
      <c r="Z175" s="59" t="str">
        <f t="shared" ref="Z175:Z193" si="67">IF(MIN(IF(ISBLANK(X175),W175,X175),IF(ISBLANK(W175),X175,W175))=0,"",MIN(IF(ISBLANK(X175),W175,X175),IF(ISBLANK(W175),X175,W175)))</f>
        <v/>
      </c>
      <c r="AA175" s="57"/>
      <c r="AB175" s="57"/>
      <c r="AC175" s="59" t="str">
        <f t="shared" ref="AC175:AC193" si="68">IF(MIN(IF(ISBLANK(Z175),AA175,Z175),IF(ISBLANK(AA175),Z175,AA175))=0,"",MIN(IF(ISBLANK(Z175),AA175,Z175),IF(ISBLANK(AA175),Z175,AA175)))</f>
        <v/>
      </c>
      <c r="AD175" s="57"/>
      <c r="AE175" s="57"/>
      <c r="AF175" s="59" t="str">
        <f t="shared" ref="AF175:AF207" si="69">IF(MIN(IF(ISBLANK(AC175),AD175,AC175),IF(ISBLANK(AD175),AC175,AD175))=0,"",MIN(IF(ISBLANK(AC175),AD175,AC175),IF(ISBLANK(AD175),AC175,AD175)))</f>
        <v/>
      </c>
      <c r="AG175" s="57"/>
      <c r="AH175" s="57"/>
      <c r="AI175" s="59" t="str">
        <f t="shared" ref="AI175:AI207" si="70">IF(MIN(IF(ISBLANK(AF175),AG175,AF175),IF(ISBLANK(AG175),AF175,AG175))=0,"",MIN(IF(ISBLANK(AF175),AG175,AF175),IF(ISBLANK(AG175),AF175,AG175)))</f>
        <v/>
      </c>
      <c r="AJ175" s="57"/>
      <c r="AK175" s="57"/>
      <c r="AL175" s="59" t="str">
        <f t="shared" ref="AL175:AL207" si="71">IF(MIN(IF(ISBLANK(AI175),AJ175,AI175),IF(ISBLANK(AJ175),AI175,AJ175))=0,"",MIN(IF(ISBLANK(AI175),AJ175,AI175),IF(ISBLANK(AJ175),AI175,AJ175)))</f>
        <v/>
      </c>
      <c r="AM175" s="57"/>
      <c r="AN175" s="57"/>
      <c r="AO175" s="59" t="str">
        <f t="shared" ref="AO175:AO207" si="72">IF(MIN(IF(ISBLANK(AL175),AM175,AL175),IF(ISBLANK(AM175),AL175,AM175))=0,"",MIN(IF(ISBLANK(AL175),AM175,AL175),IF(ISBLANK(AM175),AL175,AM175)))</f>
        <v/>
      </c>
      <c r="AP175" s="57"/>
      <c r="AQ175" s="59" t="str">
        <f t="shared" si="58"/>
        <v/>
      </c>
      <c r="AR175" s="57"/>
      <c r="AS175" s="57"/>
      <c r="AT175" s="59" t="str">
        <f t="shared" si="57"/>
        <v/>
      </c>
    </row>
    <row r="176" spans="1:46" hidden="1">
      <c r="A176" s="24"/>
      <c r="B176" s="26" t="s">
        <v>595</v>
      </c>
      <c r="C176" s="26" t="s">
        <v>443</v>
      </c>
      <c r="D176" s="50"/>
      <c r="E176" s="51"/>
      <c r="F176" s="50"/>
      <c r="G176" s="52"/>
      <c r="H176" s="50"/>
      <c r="I176" s="53"/>
      <c r="J176" s="50"/>
      <c r="K176" s="53"/>
      <c r="L176" s="50"/>
      <c r="M176" s="57"/>
      <c r="N176" s="55"/>
      <c r="O176" s="57"/>
      <c r="P176" s="57"/>
      <c r="Q176" s="59"/>
      <c r="R176" s="57">
        <v>5.2199074074074066E-3</v>
      </c>
      <c r="S176" s="57"/>
      <c r="T176" s="59">
        <f>IF(MIN(IF(ISBLANK(R176),Q176,R176),IF(ISBLANK(Q176),R176,Q176))=0,"",MIN(IF(ISBLANK(R176),Q176,R176),IF(ISBLANK(Q176),R176,Q176)))</f>
        <v>5.2199074074074066E-3</v>
      </c>
      <c r="U176" s="57"/>
      <c r="V176" s="57"/>
      <c r="W176" s="59">
        <f>IF(MIN(IF(ISBLANK(U176),T176,U176),IF(ISBLANK(T176),U176,T176))=0,"",MIN(IF(ISBLANK(U176),T176,U176),IF(ISBLANK(T176),U176,T176)))</f>
        <v>5.2199074074074066E-3</v>
      </c>
      <c r="X176" s="57"/>
      <c r="Y176" s="57"/>
      <c r="Z176" s="59">
        <f t="shared" si="67"/>
        <v>5.2199074074074066E-3</v>
      </c>
      <c r="AA176" s="57"/>
      <c r="AB176" s="57"/>
      <c r="AC176" s="59">
        <f t="shared" si="68"/>
        <v>5.2199074074074066E-3</v>
      </c>
      <c r="AD176" s="57"/>
      <c r="AE176" s="57"/>
      <c r="AF176" s="59">
        <f t="shared" si="69"/>
        <v>5.2199074074074066E-3</v>
      </c>
      <c r="AG176" s="57"/>
      <c r="AH176" s="57"/>
      <c r="AI176" s="59">
        <f t="shared" si="70"/>
        <v>5.2199074074074066E-3</v>
      </c>
      <c r="AJ176" s="57"/>
      <c r="AK176" s="57"/>
      <c r="AL176" s="59">
        <f t="shared" si="71"/>
        <v>5.2199074074074066E-3</v>
      </c>
      <c r="AM176" s="57"/>
      <c r="AN176" s="57"/>
      <c r="AO176" s="59">
        <f t="shared" si="72"/>
        <v>5.2199074074074066E-3</v>
      </c>
      <c r="AP176" s="57"/>
      <c r="AQ176" s="59">
        <f t="shared" si="58"/>
        <v>5.2199074074074066E-3</v>
      </c>
      <c r="AR176" s="57"/>
      <c r="AS176" s="57"/>
      <c r="AT176" s="59">
        <f t="shared" si="57"/>
        <v>5.2199074074074066E-3</v>
      </c>
    </row>
    <row r="177" spans="1:46" hidden="1">
      <c r="A177" s="24"/>
      <c r="B177" s="26" t="s">
        <v>501</v>
      </c>
      <c r="C177" s="26" t="s">
        <v>443</v>
      </c>
      <c r="D177" s="50"/>
      <c r="E177" s="51"/>
      <c r="F177" s="50"/>
      <c r="G177" s="52"/>
      <c r="H177" s="50"/>
      <c r="I177" s="53"/>
      <c r="J177" s="50"/>
      <c r="K177" s="53"/>
      <c r="L177" s="50"/>
      <c r="M177" s="57"/>
      <c r="N177" s="55" t="s">
        <v>448</v>
      </c>
      <c r="O177" s="57"/>
      <c r="P177" s="57"/>
      <c r="Q177" s="59" t="str">
        <f>IF(MIN(IF(ISBLANK(O177),N177,O177),IF(ISBLANK(N177),O177,N177))=0,"",MIN(IF(ISBLANK(O177),N177,O177),IF(ISBLANK(N177),O177,N177)))</f>
        <v/>
      </c>
      <c r="R177" s="57"/>
      <c r="S177" s="57"/>
      <c r="T177" s="59" t="str">
        <f>IF(MIN(IF(ISBLANK(R177),Q177,R177),IF(ISBLANK(Q177),R177,Q177))=0,"",MIN(IF(ISBLANK(R177),Q177,R177),IF(ISBLANK(Q177),R177,Q177)))</f>
        <v/>
      </c>
      <c r="U177" s="57"/>
      <c r="V177" s="57"/>
      <c r="W177" s="59" t="str">
        <f>IF(MIN(IF(ISBLANK(U177),T177,U177),IF(ISBLANK(T177),U177,T177))=0,"",MIN(IF(ISBLANK(U177),T177,U177),IF(ISBLANK(T177),U177,T177)))</f>
        <v/>
      </c>
      <c r="X177" s="57"/>
      <c r="Y177" s="57"/>
      <c r="Z177" s="59" t="str">
        <f t="shared" si="67"/>
        <v/>
      </c>
      <c r="AA177" s="57"/>
      <c r="AB177" s="57"/>
      <c r="AC177" s="59" t="str">
        <f t="shared" si="68"/>
        <v/>
      </c>
      <c r="AD177" s="57"/>
      <c r="AE177" s="57"/>
      <c r="AF177" s="59" t="str">
        <f t="shared" si="69"/>
        <v/>
      </c>
      <c r="AG177" s="57"/>
      <c r="AH177" s="57"/>
      <c r="AI177" s="59" t="str">
        <f t="shared" si="70"/>
        <v/>
      </c>
      <c r="AJ177" s="57"/>
      <c r="AK177" s="57"/>
      <c r="AL177" s="59" t="str">
        <f t="shared" si="71"/>
        <v/>
      </c>
      <c r="AM177" s="57"/>
      <c r="AN177" s="57"/>
      <c r="AO177" s="59" t="str">
        <f t="shared" si="72"/>
        <v/>
      </c>
      <c r="AP177" s="57"/>
      <c r="AQ177" s="59" t="str">
        <f t="shared" si="58"/>
        <v/>
      </c>
      <c r="AR177" s="57"/>
      <c r="AS177" s="57"/>
      <c r="AT177" s="59" t="str">
        <f t="shared" si="57"/>
        <v/>
      </c>
    </row>
    <row r="178" spans="1:46">
      <c r="A178" s="24" t="s">
        <v>792</v>
      </c>
      <c r="B178" s="26" t="s">
        <v>151</v>
      </c>
      <c r="C178" s="26" t="s">
        <v>443</v>
      </c>
      <c r="D178" s="50">
        <v>8.16</v>
      </c>
      <c r="E178" s="51" t="s">
        <v>287</v>
      </c>
      <c r="F178" s="50">
        <v>8.16</v>
      </c>
      <c r="G178" s="52">
        <v>8.3699999999999992</v>
      </c>
      <c r="H178" s="50">
        <v>8.16</v>
      </c>
      <c r="I178" s="53">
        <v>8.25</v>
      </c>
      <c r="J178" s="50">
        <v>8.16</v>
      </c>
      <c r="K178" s="53">
        <v>8.23</v>
      </c>
      <c r="L178" s="50">
        <v>8.16</v>
      </c>
      <c r="M178" s="57"/>
      <c r="N178" s="55">
        <v>5.7407407407407416E-3</v>
      </c>
      <c r="O178" s="57">
        <v>5.9606481481481489E-3</v>
      </c>
      <c r="P178" s="57"/>
      <c r="Q178" s="59">
        <f>IF(MIN(IF(ISBLANK(O178),N178,O178),IF(ISBLANK(N178),O178,N178))=0,"",MIN(IF(ISBLANK(O178),N178,O178),IF(ISBLANK(N178),O178,N178)))</f>
        <v>5.7407407407407416E-3</v>
      </c>
      <c r="R178" s="57"/>
      <c r="S178" s="57" t="s">
        <v>594</v>
      </c>
      <c r="T178" s="59">
        <f>IF(MIN(IF(ISBLANK(R178),Q178,R178),IF(ISBLANK(Q178),R178,Q178))=0,"",MIN(IF(ISBLANK(R178),Q178,R178),IF(ISBLANK(Q178),R178,Q178)))</f>
        <v>5.7407407407407416E-3</v>
      </c>
      <c r="U178" s="57"/>
      <c r="V178" s="57"/>
      <c r="W178" s="59">
        <f>IF(MIN(IF(ISBLANK(U178),T178,U178),IF(ISBLANK(T178),U178,T178))=0,"",MIN(IF(ISBLANK(U178),T178,U178),IF(ISBLANK(T178),U178,T178)))</f>
        <v>5.7407407407407416E-3</v>
      </c>
      <c r="X178" s="57"/>
      <c r="Y178" s="57"/>
      <c r="Z178" s="59">
        <f t="shared" si="67"/>
        <v>5.7407407407407416E-3</v>
      </c>
      <c r="AA178" s="57"/>
      <c r="AB178" s="57"/>
      <c r="AC178" s="59">
        <f t="shared" si="68"/>
        <v>5.7407407407407416E-3</v>
      </c>
      <c r="AD178" s="57">
        <v>6.1342592592592594E-3</v>
      </c>
      <c r="AE178" s="57"/>
      <c r="AF178" s="59">
        <f t="shared" si="69"/>
        <v>5.7407407407407416E-3</v>
      </c>
      <c r="AG178" s="57">
        <v>6.168981481481481E-3</v>
      </c>
      <c r="AH178" s="57"/>
      <c r="AI178" s="59">
        <f t="shared" si="70"/>
        <v>5.7407407407407416E-3</v>
      </c>
      <c r="AJ178" s="57"/>
      <c r="AK178" s="57"/>
      <c r="AL178" s="59">
        <f t="shared" si="71"/>
        <v>5.7407407407407416E-3</v>
      </c>
      <c r="AM178" s="57">
        <v>5.9027777777777776E-3</v>
      </c>
      <c r="AN178" s="57"/>
      <c r="AO178" s="59">
        <f t="shared" si="72"/>
        <v>5.7407407407407416E-3</v>
      </c>
      <c r="AP178" s="57">
        <v>5.9722222222222225E-3</v>
      </c>
      <c r="AQ178" s="59">
        <f t="shared" si="58"/>
        <v>5.7407407407407416E-3</v>
      </c>
      <c r="AR178" s="57">
        <v>6.1805555555555563E-3</v>
      </c>
      <c r="AS178" s="57"/>
      <c r="AT178" s="59">
        <f t="shared" si="57"/>
        <v>5.7407407407407416E-3</v>
      </c>
    </row>
    <row r="179" spans="1:46" hidden="1">
      <c r="A179" s="24"/>
      <c r="B179" s="26" t="s">
        <v>530</v>
      </c>
      <c r="C179" s="26"/>
      <c r="D179" s="50"/>
      <c r="E179" s="51"/>
      <c r="F179" s="50"/>
      <c r="G179" s="52"/>
      <c r="H179" s="50"/>
      <c r="I179" s="53"/>
      <c r="J179" s="50"/>
      <c r="K179" s="53"/>
      <c r="L179" s="50"/>
      <c r="M179" s="57"/>
      <c r="N179" s="55" t="s">
        <v>448</v>
      </c>
      <c r="O179" s="57"/>
      <c r="P179" s="57"/>
      <c r="Q179" s="59" t="str">
        <f>IF(MIN(IF(ISBLANK(O179),N179,O179),IF(ISBLANK(N179),O179,N179))=0,"",MIN(IF(ISBLANK(O179),N179,O179),IF(ISBLANK(N179),O179,N179)))</f>
        <v/>
      </c>
      <c r="R179" s="57"/>
      <c r="S179" s="57"/>
      <c r="T179" s="59" t="str">
        <f>IF(MIN(IF(ISBLANK(R179),Q179,R179),IF(ISBLANK(Q179),R179,Q179))=0,"",MIN(IF(ISBLANK(R179),Q179,R179),IF(ISBLANK(Q179),R179,Q179)))</f>
        <v/>
      </c>
      <c r="U179" s="57"/>
      <c r="V179" s="57"/>
      <c r="W179" s="59" t="str">
        <f>IF(MIN(IF(ISBLANK(U179),T179,U179),IF(ISBLANK(T179),U179,T179))=0,"",MIN(IF(ISBLANK(U179),T179,U179),IF(ISBLANK(T179),U179,T179)))</f>
        <v/>
      </c>
      <c r="X179" s="57"/>
      <c r="Y179" s="57"/>
      <c r="Z179" s="59" t="str">
        <f t="shared" si="67"/>
        <v/>
      </c>
      <c r="AA179" s="57"/>
      <c r="AB179" s="57"/>
      <c r="AC179" s="59" t="str">
        <f t="shared" si="68"/>
        <v/>
      </c>
      <c r="AD179" s="57"/>
      <c r="AE179" s="57"/>
      <c r="AF179" s="59" t="str">
        <f t="shared" si="69"/>
        <v/>
      </c>
      <c r="AG179" s="57"/>
      <c r="AH179" s="57"/>
      <c r="AI179" s="59" t="str">
        <f t="shared" si="70"/>
        <v/>
      </c>
      <c r="AJ179" s="57"/>
      <c r="AK179" s="57"/>
      <c r="AL179" s="59" t="str">
        <f t="shared" si="71"/>
        <v/>
      </c>
      <c r="AM179" s="57"/>
      <c r="AN179" s="57"/>
      <c r="AO179" s="59" t="str">
        <f t="shared" si="72"/>
        <v/>
      </c>
      <c r="AP179" s="57"/>
      <c r="AQ179" s="59" t="str">
        <f t="shared" si="58"/>
        <v/>
      </c>
      <c r="AR179" s="57"/>
      <c r="AS179" s="57"/>
      <c r="AT179" s="59" t="str">
        <f t="shared" si="57"/>
        <v/>
      </c>
    </row>
    <row r="180" spans="1:46">
      <c r="A180" s="24" t="s">
        <v>792</v>
      </c>
      <c r="B180" s="26" t="s">
        <v>625</v>
      </c>
      <c r="C180" s="26"/>
      <c r="D180" s="50"/>
      <c r="E180" s="51"/>
      <c r="F180" s="50"/>
      <c r="G180" s="52"/>
      <c r="H180" s="50"/>
      <c r="I180" s="53"/>
      <c r="J180" s="50"/>
      <c r="K180" s="53"/>
      <c r="L180" s="50"/>
      <c r="M180" s="57"/>
      <c r="N180" s="55"/>
      <c r="O180" s="57"/>
      <c r="P180" s="57"/>
      <c r="Q180" s="59"/>
      <c r="R180" s="57"/>
      <c r="S180" s="57"/>
      <c r="T180" s="59"/>
      <c r="U180" s="57"/>
      <c r="V180" s="57"/>
      <c r="W180" s="59"/>
      <c r="X180" s="57">
        <v>5.7754629629629623E-3</v>
      </c>
      <c r="Y180" s="57"/>
      <c r="Z180" s="59">
        <f t="shared" si="67"/>
        <v>5.7754629629629623E-3</v>
      </c>
      <c r="AA180" s="57"/>
      <c r="AB180" s="57"/>
      <c r="AC180" s="59">
        <f t="shared" si="68"/>
        <v>5.7754629629629623E-3</v>
      </c>
      <c r="AD180" s="57"/>
      <c r="AE180" s="57"/>
      <c r="AF180" s="59">
        <f t="shared" si="69"/>
        <v>5.7754629629629623E-3</v>
      </c>
      <c r="AG180" s="57"/>
      <c r="AH180" s="57"/>
      <c r="AI180" s="59">
        <f t="shared" si="70"/>
        <v>5.7754629629629623E-3</v>
      </c>
      <c r="AJ180" s="57"/>
      <c r="AK180" s="57"/>
      <c r="AL180" s="59">
        <f t="shared" si="71"/>
        <v>5.7754629629629623E-3</v>
      </c>
      <c r="AM180" s="57"/>
      <c r="AN180" s="57"/>
      <c r="AO180" s="59">
        <f t="shared" si="72"/>
        <v>5.7754629629629623E-3</v>
      </c>
      <c r="AP180" s="57"/>
      <c r="AQ180" s="59">
        <f t="shared" si="58"/>
        <v>5.7754629629629623E-3</v>
      </c>
      <c r="AR180" s="57"/>
      <c r="AS180" s="57"/>
      <c r="AT180" s="59">
        <f t="shared" si="57"/>
        <v>5.7754629629629623E-3</v>
      </c>
    </row>
    <row r="181" spans="1:46" hidden="1">
      <c r="A181" s="24"/>
      <c r="B181" s="26" t="s">
        <v>478</v>
      </c>
      <c r="C181" s="26" t="s">
        <v>443</v>
      </c>
      <c r="D181" s="50"/>
      <c r="E181" s="51"/>
      <c r="F181" s="50"/>
      <c r="G181" s="52"/>
      <c r="H181" s="50"/>
      <c r="I181" s="53"/>
      <c r="J181" s="50"/>
      <c r="K181" s="53">
        <v>9.31</v>
      </c>
      <c r="L181" s="50">
        <v>9.31</v>
      </c>
      <c r="M181" s="57"/>
      <c r="N181" s="55">
        <v>6.6087962962962966E-3</v>
      </c>
      <c r="O181" s="57"/>
      <c r="P181" s="57"/>
      <c r="Q181" s="59">
        <f t="shared" ref="Q181:Q193" si="73">IF(MIN(IF(ISBLANK(O181),N181,O181),IF(ISBLANK(N181),O181,N181))=0,"",MIN(IF(ISBLANK(O181),N181,O181),IF(ISBLANK(N181),O181,N181)))</f>
        <v>6.6087962962962966E-3</v>
      </c>
      <c r="R181" s="57">
        <v>6.2037037037037043E-3</v>
      </c>
      <c r="S181" s="57"/>
      <c r="T181" s="59">
        <f t="shared" ref="T181:T193" si="74">IF(MIN(IF(ISBLANK(R181),Q181,R181),IF(ISBLANK(Q181),R181,Q181))=0,"",MIN(IF(ISBLANK(R181),Q181,R181),IF(ISBLANK(Q181),R181,Q181)))</f>
        <v>6.2037037037037043E-3</v>
      </c>
      <c r="U181" s="57"/>
      <c r="V181" s="57"/>
      <c r="W181" s="59">
        <f t="shared" ref="W181:W193" si="75">IF(MIN(IF(ISBLANK(U181),T181,U181),IF(ISBLANK(T181),U181,T181))=0,"",MIN(IF(ISBLANK(U181),T181,U181),IF(ISBLANK(T181),U181,T181)))</f>
        <v>6.2037037037037043E-3</v>
      </c>
      <c r="X181" s="57"/>
      <c r="Y181" s="57"/>
      <c r="Z181" s="59">
        <f t="shared" si="67"/>
        <v>6.2037037037037043E-3</v>
      </c>
      <c r="AA181" s="57"/>
      <c r="AB181" s="57"/>
      <c r="AC181" s="59">
        <f t="shared" si="68"/>
        <v>6.2037037037037043E-3</v>
      </c>
      <c r="AD181" s="57"/>
      <c r="AE181" s="57"/>
      <c r="AF181" s="59">
        <f t="shared" si="69"/>
        <v>6.2037037037037043E-3</v>
      </c>
      <c r="AG181" s="57"/>
      <c r="AH181" s="57"/>
      <c r="AI181" s="59">
        <f t="shared" si="70"/>
        <v>6.2037037037037043E-3</v>
      </c>
      <c r="AJ181" s="57"/>
      <c r="AK181" s="57"/>
      <c r="AL181" s="59">
        <f t="shared" si="71"/>
        <v>6.2037037037037043E-3</v>
      </c>
      <c r="AM181" s="57"/>
      <c r="AN181" s="57"/>
      <c r="AO181" s="59">
        <f t="shared" si="72"/>
        <v>6.2037037037037043E-3</v>
      </c>
      <c r="AP181" s="57"/>
      <c r="AQ181" s="59">
        <f t="shared" si="58"/>
        <v>6.2037037037037043E-3</v>
      </c>
      <c r="AR181" s="57"/>
      <c r="AS181" s="57"/>
      <c r="AT181" s="59">
        <f t="shared" si="57"/>
        <v>6.2037037037037043E-3</v>
      </c>
    </row>
    <row r="182" spans="1:46" hidden="1">
      <c r="A182" s="24"/>
      <c r="B182" s="26" t="s">
        <v>763</v>
      </c>
      <c r="C182" s="26" t="s">
        <v>444</v>
      </c>
      <c r="D182" s="50"/>
      <c r="E182" s="51"/>
      <c r="F182" s="50" t="s">
        <v>448</v>
      </c>
      <c r="G182" s="52"/>
      <c r="H182" s="50"/>
      <c r="I182" s="53"/>
      <c r="J182" s="50" t="s">
        <v>448</v>
      </c>
      <c r="K182" s="53"/>
      <c r="L182" s="50"/>
      <c r="M182" s="57"/>
      <c r="N182" s="55" t="s">
        <v>448</v>
      </c>
      <c r="O182" s="57">
        <v>7.4768518518518526E-3</v>
      </c>
      <c r="P182" s="57"/>
      <c r="Q182" s="59">
        <f t="shared" si="73"/>
        <v>7.4768518518518526E-3</v>
      </c>
      <c r="R182" s="57"/>
      <c r="S182" s="57" t="s">
        <v>592</v>
      </c>
      <c r="T182" s="59">
        <f t="shared" si="74"/>
        <v>7.4768518518518526E-3</v>
      </c>
      <c r="U182" s="57"/>
      <c r="V182" s="57"/>
      <c r="W182" s="59">
        <f t="shared" si="75"/>
        <v>7.4768518518518526E-3</v>
      </c>
      <c r="X182" s="57">
        <v>7.2916666666666659E-3</v>
      </c>
      <c r="Y182" s="57"/>
      <c r="Z182" s="59">
        <f t="shared" si="67"/>
        <v>7.2916666666666659E-3</v>
      </c>
      <c r="AA182" s="57">
        <v>7.4421296296296293E-3</v>
      </c>
      <c r="AB182" s="57"/>
      <c r="AC182" s="59">
        <f t="shared" si="68"/>
        <v>7.2916666666666659E-3</v>
      </c>
      <c r="AD182" s="57"/>
      <c r="AE182" s="57"/>
      <c r="AF182" s="59">
        <f t="shared" si="69"/>
        <v>7.2916666666666659E-3</v>
      </c>
      <c r="AG182" s="57"/>
      <c r="AH182" s="57"/>
      <c r="AI182" s="59">
        <f t="shared" si="70"/>
        <v>7.2916666666666659E-3</v>
      </c>
      <c r="AJ182" s="57"/>
      <c r="AK182" s="57"/>
      <c r="AL182" s="59">
        <f t="shared" si="71"/>
        <v>7.2916666666666659E-3</v>
      </c>
      <c r="AM182" s="57"/>
      <c r="AN182" s="57"/>
      <c r="AO182" s="59">
        <f t="shared" si="72"/>
        <v>7.2916666666666659E-3</v>
      </c>
      <c r="AP182" s="57"/>
      <c r="AQ182" s="59">
        <f t="shared" si="58"/>
        <v>7.2916666666666659E-3</v>
      </c>
      <c r="AR182" s="57"/>
      <c r="AS182" s="57"/>
      <c r="AT182" s="59">
        <f t="shared" si="57"/>
        <v>7.2916666666666659E-3</v>
      </c>
    </row>
    <row r="183" spans="1:46" hidden="1">
      <c r="A183" s="24"/>
      <c r="B183" s="26" t="s">
        <v>469</v>
      </c>
      <c r="C183" s="26" t="s">
        <v>443</v>
      </c>
      <c r="D183" s="50"/>
      <c r="E183" s="51"/>
      <c r="F183" s="50"/>
      <c r="G183" s="52"/>
      <c r="H183" s="50"/>
      <c r="I183" s="53"/>
      <c r="J183" s="50"/>
      <c r="K183" s="53"/>
      <c r="L183" s="50"/>
      <c r="M183" s="57"/>
      <c r="N183" s="55" t="s">
        <v>448</v>
      </c>
      <c r="O183" s="57"/>
      <c r="P183" s="57"/>
      <c r="Q183" s="59" t="str">
        <f t="shared" si="73"/>
        <v/>
      </c>
      <c r="R183" s="57"/>
      <c r="S183" s="57"/>
      <c r="T183" s="59" t="str">
        <f t="shared" si="74"/>
        <v/>
      </c>
      <c r="U183" s="57"/>
      <c r="V183" s="57"/>
      <c r="W183" s="59" t="str">
        <f t="shared" si="75"/>
        <v/>
      </c>
      <c r="X183" s="57"/>
      <c r="Y183" s="57"/>
      <c r="Z183" s="59" t="str">
        <f t="shared" si="67"/>
        <v/>
      </c>
      <c r="AA183" s="57"/>
      <c r="AB183" s="57"/>
      <c r="AC183" s="59" t="str">
        <f t="shared" si="68"/>
        <v/>
      </c>
      <c r="AD183" s="57"/>
      <c r="AE183" s="57"/>
      <c r="AF183" s="59" t="str">
        <f t="shared" si="69"/>
        <v/>
      </c>
      <c r="AG183" s="57"/>
      <c r="AH183" s="57"/>
      <c r="AI183" s="59" t="str">
        <f t="shared" si="70"/>
        <v/>
      </c>
      <c r="AJ183" s="57"/>
      <c r="AK183" s="57"/>
      <c r="AL183" s="59" t="str">
        <f t="shared" si="71"/>
        <v/>
      </c>
      <c r="AM183" s="57"/>
      <c r="AN183" s="57"/>
      <c r="AO183" s="59" t="str">
        <f t="shared" si="72"/>
        <v/>
      </c>
      <c r="AP183" s="57"/>
      <c r="AQ183" s="59" t="str">
        <f t="shared" si="58"/>
        <v/>
      </c>
      <c r="AR183" s="57"/>
      <c r="AS183" s="57"/>
      <c r="AT183" s="59" t="str">
        <f t="shared" si="57"/>
        <v/>
      </c>
    </row>
    <row r="184" spans="1:46">
      <c r="A184" s="24" t="s">
        <v>792</v>
      </c>
      <c r="B184" s="26" t="s">
        <v>164</v>
      </c>
      <c r="C184" s="26" t="s">
        <v>443</v>
      </c>
      <c r="D184" s="55">
        <v>5.4629629629629637E-3</v>
      </c>
      <c r="E184" s="57">
        <v>5.8564814814814825E-3</v>
      </c>
      <c r="F184" s="55">
        <v>5.4629629629629637E-3</v>
      </c>
      <c r="G184" s="57">
        <v>5.6134259259259271E-3</v>
      </c>
      <c r="H184" s="55">
        <v>5.4629629629629637E-3</v>
      </c>
      <c r="I184" s="57">
        <v>5.4513888888888884E-3</v>
      </c>
      <c r="J184" s="55">
        <v>5.4513888888888884E-3</v>
      </c>
      <c r="K184" s="57">
        <v>5.6134259259259271E-3</v>
      </c>
      <c r="L184" s="55">
        <v>5.4513888888888884E-3</v>
      </c>
      <c r="M184" s="57">
        <v>5.9143518518518521E-3</v>
      </c>
      <c r="N184" s="55">
        <v>5.4513888888888884E-3</v>
      </c>
      <c r="O184" s="57">
        <v>5.6712962962962958E-3</v>
      </c>
      <c r="P184" s="57"/>
      <c r="Q184" s="59">
        <f t="shared" si="73"/>
        <v>5.4513888888888884E-3</v>
      </c>
      <c r="R184" s="57">
        <v>5.6134259259259271E-3</v>
      </c>
      <c r="S184" s="57"/>
      <c r="T184" s="59">
        <f t="shared" si="74"/>
        <v>5.4513888888888884E-3</v>
      </c>
      <c r="U184" s="57">
        <v>5.7754629629629623E-3</v>
      </c>
      <c r="V184" s="57"/>
      <c r="W184" s="59">
        <f t="shared" si="75"/>
        <v>5.4513888888888884E-3</v>
      </c>
      <c r="X184" s="57">
        <v>5.6712962962962958E-3</v>
      </c>
      <c r="Y184" s="57"/>
      <c r="Z184" s="59">
        <f t="shared" si="67"/>
        <v>5.4513888888888884E-3</v>
      </c>
      <c r="AA184" s="57">
        <v>5.8680555555555543E-3</v>
      </c>
      <c r="AB184" s="57"/>
      <c r="AC184" s="59">
        <f t="shared" si="68"/>
        <v>5.4513888888888884E-3</v>
      </c>
      <c r="AD184" s="57">
        <v>5.9375000000000009E-3</v>
      </c>
      <c r="AE184" s="57"/>
      <c r="AF184" s="59">
        <f t="shared" si="69"/>
        <v>5.4513888888888884E-3</v>
      </c>
      <c r="AG184" s="57">
        <v>5.7986111111111112E-3</v>
      </c>
      <c r="AH184" s="57"/>
      <c r="AI184" s="59">
        <f t="shared" si="70"/>
        <v>5.4513888888888884E-3</v>
      </c>
      <c r="AJ184" s="57">
        <v>5.9143518518518521E-3</v>
      </c>
      <c r="AK184" s="57"/>
      <c r="AL184" s="59">
        <f t="shared" si="71"/>
        <v>5.4513888888888884E-3</v>
      </c>
      <c r="AM184" s="57"/>
      <c r="AN184" s="57"/>
      <c r="AO184" s="59">
        <f t="shared" si="72"/>
        <v>5.4513888888888884E-3</v>
      </c>
      <c r="AP184" s="57"/>
      <c r="AQ184" s="59">
        <f t="shared" si="58"/>
        <v>5.4513888888888884E-3</v>
      </c>
      <c r="AR184" s="57">
        <v>6.2268518518518515E-3</v>
      </c>
      <c r="AS184" s="57"/>
      <c r="AT184" s="59">
        <f t="shared" si="57"/>
        <v>5.4513888888888884E-3</v>
      </c>
    </row>
    <row r="185" spans="1:46">
      <c r="A185" s="24" t="s">
        <v>792</v>
      </c>
      <c r="B185" s="26" t="s">
        <v>383</v>
      </c>
      <c r="C185" s="26" t="s">
        <v>443</v>
      </c>
      <c r="D185" s="50"/>
      <c r="E185" s="51"/>
      <c r="F185" s="50"/>
      <c r="G185" s="52"/>
      <c r="H185" s="50"/>
      <c r="I185" s="53">
        <v>6.08</v>
      </c>
      <c r="J185" s="50">
        <v>6.08</v>
      </c>
      <c r="K185" s="53"/>
      <c r="L185" s="50">
        <v>6.08</v>
      </c>
      <c r="M185" s="57"/>
      <c r="N185" s="55">
        <v>4.2592592592592595E-3</v>
      </c>
      <c r="O185" s="57"/>
      <c r="P185" s="57"/>
      <c r="Q185" s="59">
        <f t="shared" si="73"/>
        <v>4.2592592592592595E-3</v>
      </c>
      <c r="R185" s="57"/>
      <c r="S185" s="57"/>
      <c r="T185" s="59">
        <f t="shared" si="74"/>
        <v>4.2592592592592595E-3</v>
      </c>
      <c r="U185" s="57"/>
      <c r="V185" s="57"/>
      <c r="W185" s="59">
        <f t="shared" si="75"/>
        <v>4.2592592592592595E-3</v>
      </c>
      <c r="X185" s="57">
        <v>4.4560185185185189E-3</v>
      </c>
      <c r="Y185" s="57"/>
      <c r="Z185" s="59">
        <f t="shared" si="67"/>
        <v>4.2592592592592595E-3</v>
      </c>
      <c r="AA185" s="57">
        <v>4.340277777777778E-3</v>
      </c>
      <c r="AB185" s="57"/>
      <c r="AC185" s="59">
        <f t="shared" si="68"/>
        <v>4.2592592592592595E-3</v>
      </c>
      <c r="AD185" s="57"/>
      <c r="AE185" s="57"/>
      <c r="AF185" s="59">
        <f t="shared" si="69"/>
        <v>4.2592592592592595E-3</v>
      </c>
      <c r="AG185" s="57">
        <v>4.31712962962963E-3</v>
      </c>
      <c r="AH185" s="57"/>
      <c r="AI185" s="59">
        <f t="shared" si="70"/>
        <v>4.2592592592592595E-3</v>
      </c>
      <c r="AJ185" s="57">
        <v>4.386574074074074E-3</v>
      </c>
      <c r="AK185" s="57"/>
      <c r="AL185" s="59">
        <f t="shared" si="71"/>
        <v>4.2592592592592595E-3</v>
      </c>
      <c r="AM185" s="57">
        <v>4.2824074074074075E-3</v>
      </c>
      <c r="AN185" s="57"/>
      <c r="AO185" s="59">
        <f t="shared" si="72"/>
        <v>4.2592592592592595E-3</v>
      </c>
      <c r="AP185" s="57"/>
      <c r="AQ185" s="59">
        <f t="shared" si="58"/>
        <v>4.2592592592592595E-3</v>
      </c>
      <c r="AR185" s="57"/>
      <c r="AS185" s="57"/>
      <c r="AT185" s="59">
        <f t="shared" si="57"/>
        <v>4.2592592592592595E-3</v>
      </c>
    </row>
    <row r="186" spans="1:46" hidden="1">
      <c r="A186" s="24"/>
      <c r="B186" s="26" t="s">
        <v>437</v>
      </c>
      <c r="C186" s="26" t="s">
        <v>444</v>
      </c>
      <c r="D186" s="50"/>
      <c r="E186" s="51"/>
      <c r="F186" s="50"/>
      <c r="G186" s="52"/>
      <c r="H186" s="50"/>
      <c r="I186" s="53">
        <v>11.21</v>
      </c>
      <c r="J186" s="50">
        <v>11.21</v>
      </c>
      <c r="K186" s="53">
        <v>12.12</v>
      </c>
      <c r="L186" s="50" t="s">
        <v>480</v>
      </c>
      <c r="M186" s="57"/>
      <c r="N186" s="55">
        <v>7.8819444444444432E-3</v>
      </c>
      <c r="O186" s="57"/>
      <c r="P186" s="57"/>
      <c r="Q186" s="59">
        <f t="shared" si="73"/>
        <v>7.8819444444444432E-3</v>
      </c>
      <c r="R186" s="57"/>
      <c r="S186" s="57"/>
      <c r="T186" s="59">
        <f t="shared" si="74"/>
        <v>7.8819444444444432E-3</v>
      </c>
      <c r="U186" s="57"/>
      <c r="V186" s="57"/>
      <c r="W186" s="59">
        <f t="shared" si="75"/>
        <v>7.8819444444444432E-3</v>
      </c>
      <c r="X186" s="57"/>
      <c r="Y186" s="57"/>
      <c r="Z186" s="59">
        <f t="shared" si="67"/>
        <v>7.8819444444444432E-3</v>
      </c>
      <c r="AA186" s="57"/>
      <c r="AB186" s="57"/>
      <c r="AC186" s="59">
        <f t="shared" si="68"/>
        <v>7.8819444444444432E-3</v>
      </c>
      <c r="AD186" s="57"/>
      <c r="AE186" s="57"/>
      <c r="AF186" s="59">
        <f t="shared" si="69"/>
        <v>7.8819444444444432E-3</v>
      </c>
      <c r="AG186" s="57"/>
      <c r="AH186" s="57"/>
      <c r="AI186" s="59">
        <f t="shared" si="70"/>
        <v>7.8819444444444432E-3</v>
      </c>
      <c r="AJ186" s="57"/>
      <c r="AK186" s="57"/>
      <c r="AL186" s="59">
        <f t="shared" si="71"/>
        <v>7.8819444444444432E-3</v>
      </c>
      <c r="AM186" s="57"/>
      <c r="AN186" s="57"/>
      <c r="AO186" s="59">
        <f t="shared" si="72"/>
        <v>7.8819444444444432E-3</v>
      </c>
      <c r="AP186" s="57"/>
      <c r="AQ186" s="59">
        <f t="shared" si="58"/>
        <v>7.8819444444444432E-3</v>
      </c>
      <c r="AR186" s="57"/>
      <c r="AS186" s="57"/>
      <c r="AT186" s="59">
        <f t="shared" si="57"/>
        <v>7.8819444444444432E-3</v>
      </c>
    </row>
    <row r="187" spans="1:46" hidden="1">
      <c r="A187" s="24"/>
      <c r="B187" s="26" t="s">
        <v>236</v>
      </c>
      <c r="C187" s="26" t="s">
        <v>444</v>
      </c>
      <c r="D187" s="50"/>
      <c r="E187" s="51"/>
      <c r="F187" s="50" t="s">
        <v>448</v>
      </c>
      <c r="G187" s="52"/>
      <c r="H187" s="50"/>
      <c r="I187" s="53"/>
      <c r="J187" s="50" t="s">
        <v>448</v>
      </c>
      <c r="K187" s="53"/>
      <c r="L187" s="50"/>
      <c r="M187" s="57"/>
      <c r="N187" s="55" t="s">
        <v>448</v>
      </c>
      <c r="O187" s="57"/>
      <c r="P187" s="57"/>
      <c r="Q187" s="59" t="str">
        <f t="shared" si="73"/>
        <v/>
      </c>
      <c r="R187" s="57"/>
      <c r="S187" s="57"/>
      <c r="T187" s="59" t="str">
        <f t="shared" si="74"/>
        <v/>
      </c>
      <c r="U187" s="57"/>
      <c r="V187" s="57"/>
      <c r="W187" s="59" t="str">
        <f t="shared" si="75"/>
        <v/>
      </c>
      <c r="X187" s="57"/>
      <c r="Y187" s="57"/>
      <c r="Z187" s="59" t="str">
        <f t="shared" si="67"/>
        <v/>
      </c>
      <c r="AA187" s="57"/>
      <c r="AB187" s="57"/>
      <c r="AC187" s="59" t="str">
        <f t="shared" si="68"/>
        <v/>
      </c>
      <c r="AD187" s="57"/>
      <c r="AE187" s="57"/>
      <c r="AF187" s="59" t="str">
        <f t="shared" si="69"/>
        <v/>
      </c>
      <c r="AG187" s="57"/>
      <c r="AH187" s="57"/>
      <c r="AI187" s="59" t="str">
        <f t="shared" si="70"/>
        <v/>
      </c>
      <c r="AJ187" s="57"/>
      <c r="AK187" s="57"/>
      <c r="AL187" s="59" t="str">
        <f t="shared" si="71"/>
        <v/>
      </c>
      <c r="AM187" s="57"/>
      <c r="AN187" s="57"/>
      <c r="AO187" s="59" t="str">
        <f t="shared" si="72"/>
        <v/>
      </c>
      <c r="AP187" s="57"/>
      <c r="AQ187" s="59" t="str">
        <f t="shared" si="58"/>
        <v/>
      </c>
      <c r="AR187" s="57"/>
      <c r="AS187" s="57"/>
      <c r="AT187" s="59" t="str">
        <f t="shared" si="57"/>
        <v/>
      </c>
    </row>
    <row r="188" spans="1:46" hidden="1">
      <c r="A188" s="24"/>
      <c r="B188" s="26" t="s">
        <v>515</v>
      </c>
      <c r="C188" s="26" t="s">
        <v>444</v>
      </c>
      <c r="D188" s="50"/>
      <c r="E188" s="51"/>
      <c r="F188" s="50"/>
      <c r="G188" s="52"/>
      <c r="H188" s="50"/>
      <c r="I188" s="53"/>
      <c r="J188" s="50"/>
      <c r="K188" s="53"/>
      <c r="L188" s="50"/>
      <c r="M188" s="57"/>
      <c r="N188" s="55" t="s">
        <v>448</v>
      </c>
      <c r="O188" s="57"/>
      <c r="P188" s="57"/>
      <c r="Q188" s="59" t="str">
        <f t="shared" si="73"/>
        <v/>
      </c>
      <c r="R188" s="57"/>
      <c r="S188" s="57"/>
      <c r="T188" s="59" t="str">
        <f t="shared" si="74"/>
        <v/>
      </c>
      <c r="U188" s="57"/>
      <c r="V188" s="57"/>
      <c r="W188" s="59" t="str">
        <f t="shared" si="75"/>
        <v/>
      </c>
      <c r="X188" s="57"/>
      <c r="Y188" s="57"/>
      <c r="Z188" s="59" t="str">
        <f t="shared" si="67"/>
        <v/>
      </c>
      <c r="AA188" s="57"/>
      <c r="AB188" s="57"/>
      <c r="AC188" s="59" t="str">
        <f t="shared" si="68"/>
        <v/>
      </c>
      <c r="AD188" s="57"/>
      <c r="AE188" s="57"/>
      <c r="AF188" s="59" t="str">
        <f t="shared" si="69"/>
        <v/>
      </c>
      <c r="AG188" s="57"/>
      <c r="AH188" s="57"/>
      <c r="AI188" s="59" t="str">
        <f t="shared" si="70"/>
        <v/>
      </c>
      <c r="AJ188" s="57"/>
      <c r="AK188" s="57"/>
      <c r="AL188" s="59" t="str">
        <f t="shared" si="71"/>
        <v/>
      </c>
      <c r="AM188" s="57"/>
      <c r="AN188" s="57"/>
      <c r="AO188" s="59" t="str">
        <f t="shared" si="72"/>
        <v/>
      </c>
      <c r="AP188" s="57"/>
      <c r="AQ188" s="59" t="str">
        <f t="shared" si="58"/>
        <v/>
      </c>
      <c r="AR188" s="57"/>
      <c r="AS188" s="57"/>
      <c r="AT188" s="59" t="str">
        <f t="shared" si="57"/>
        <v/>
      </c>
    </row>
    <row r="189" spans="1:46" hidden="1">
      <c r="A189" s="24"/>
      <c r="B189" s="26" t="s">
        <v>157</v>
      </c>
      <c r="C189" s="26"/>
      <c r="D189" s="50"/>
      <c r="E189" s="51"/>
      <c r="F189" s="50" t="s">
        <v>448</v>
      </c>
      <c r="G189" s="52"/>
      <c r="H189" s="50"/>
      <c r="I189" s="53"/>
      <c r="J189" s="50" t="s">
        <v>448</v>
      </c>
      <c r="K189" s="53"/>
      <c r="L189" s="50"/>
      <c r="M189" s="57"/>
      <c r="N189" s="55" t="s">
        <v>448</v>
      </c>
      <c r="O189" s="57"/>
      <c r="P189" s="57"/>
      <c r="Q189" s="59" t="str">
        <f t="shared" si="73"/>
        <v/>
      </c>
      <c r="R189" s="57"/>
      <c r="S189" s="57"/>
      <c r="T189" s="59" t="str">
        <f t="shared" si="74"/>
        <v/>
      </c>
      <c r="U189" s="57"/>
      <c r="V189" s="57"/>
      <c r="W189" s="59" t="str">
        <f t="shared" si="75"/>
        <v/>
      </c>
      <c r="X189" s="57"/>
      <c r="Y189" s="57"/>
      <c r="Z189" s="59" t="str">
        <f t="shared" si="67"/>
        <v/>
      </c>
      <c r="AA189" s="57"/>
      <c r="AB189" s="57"/>
      <c r="AC189" s="59" t="str">
        <f t="shared" si="68"/>
        <v/>
      </c>
      <c r="AD189" s="57"/>
      <c r="AE189" s="57"/>
      <c r="AF189" s="59" t="str">
        <f t="shared" si="69"/>
        <v/>
      </c>
      <c r="AG189" s="57"/>
      <c r="AH189" s="57"/>
      <c r="AI189" s="59" t="str">
        <f t="shared" si="70"/>
        <v/>
      </c>
      <c r="AJ189" s="57"/>
      <c r="AK189" s="57"/>
      <c r="AL189" s="59" t="str">
        <f t="shared" si="71"/>
        <v/>
      </c>
      <c r="AM189" s="57"/>
      <c r="AN189" s="57"/>
      <c r="AO189" s="59" t="str">
        <f t="shared" si="72"/>
        <v/>
      </c>
      <c r="AP189" s="57"/>
      <c r="AQ189" s="59" t="str">
        <f t="shared" si="58"/>
        <v/>
      </c>
      <c r="AR189" s="57"/>
      <c r="AS189" s="57"/>
      <c r="AT189" s="59" t="str">
        <f t="shared" si="57"/>
        <v/>
      </c>
    </row>
    <row r="190" spans="1:46">
      <c r="A190" s="24" t="s">
        <v>792</v>
      </c>
      <c r="B190" s="26" t="s">
        <v>384</v>
      </c>
      <c r="C190" s="26" t="s">
        <v>443</v>
      </c>
      <c r="D190" s="50"/>
      <c r="E190" s="51"/>
      <c r="F190" s="50"/>
      <c r="G190" s="52"/>
      <c r="H190" s="50"/>
      <c r="I190" s="53">
        <v>9.3000000000000007</v>
      </c>
      <c r="J190" s="50" t="s">
        <v>225</v>
      </c>
      <c r="K190" s="53"/>
      <c r="L190" s="50" t="s">
        <v>225</v>
      </c>
      <c r="M190" s="57"/>
      <c r="N190" s="55">
        <v>6.5972222222222222E-3</v>
      </c>
      <c r="O190" s="57">
        <v>6.5856481481481469E-3</v>
      </c>
      <c r="P190" s="57"/>
      <c r="Q190" s="59">
        <f t="shared" si="73"/>
        <v>6.5856481481481469E-3</v>
      </c>
      <c r="R190" s="57">
        <v>6.4699074074074069E-3</v>
      </c>
      <c r="S190" s="57"/>
      <c r="T190" s="59">
        <f t="shared" si="74"/>
        <v>6.4699074074074069E-3</v>
      </c>
      <c r="U190" s="57"/>
      <c r="V190" s="57"/>
      <c r="W190" s="59">
        <f t="shared" si="75"/>
        <v>6.4699074074074069E-3</v>
      </c>
      <c r="X190" s="57">
        <v>6.168981481481481E-3</v>
      </c>
      <c r="Y190" s="57"/>
      <c r="Z190" s="59">
        <f t="shared" si="67"/>
        <v>6.168981481481481E-3</v>
      </c>
      <c r="AA190" s="57"/>
      <c r="AB190" s="57"/>
      <c r="AC190" s="59">
        <f t="shared" si="68"/>
        <v>6.168981481481481E-3</v>
      </c>
      <c r="AD190" s="57"/>
      <c r="AE190" s="57"/>
      <c r="AF190" s="59">
        <f t="shared" si="69"/>
        <v>6.168981481481481E-3</v>
      </c>
      <c r="AG190" s="57"/>
      <c r="AH190" s="57"/>
      <c r="AI190" s="59">
        <f t="shared" si="70"/>
        <v>6.168981481481481E-3</v>
      </c>
      <c r="AJ190" s="57">
        <v>6.6319444444444446E-3</v>
      </c>
      <c r="AK190" s="57"/>
      <c r="AL190" s="59">
        <f t="shared" si="71"/>
        <v>6.168981481481481E-3</v>
      </c>
      <c r="AM190" s="57">
        <v>6.3425925925925915E-3</v>
      </c>
      <c r="AN190" s="57"/>
      <c r="AO190" s="59">
        <f t="shared" si="72"/>
        <v>6.168981481481481E-3</v>
      </c>
      <c r="AP190" s="57"/>
      <c r="AQ190" s="59">
        <f t="shared" si="58"/>
        <v>6.168981481481481E-3</v>
      </c>
      <c r="AR190" s="57"/>
      <c r="AS190" s="57"/>
      <c r="AT190" s="59">
        <f t="shared" si="57"/>
        <v>6.168981481481481E-3</v>
      </c>
    </row>
    <row r="191" spans="1:46" hidden="1">
      <c r="A191" s="24"/>
      <c r="B191" s="26" t="s">
        <v>171</v>
      </c>
      <c r="C191" s="26"/>
      <c r="D191" s="50">
        <v>10.35</v>
      </c>
      <c r="E191" s="51"/>
      <c r="F191" s="50">
        <v>10.35</v>
      </c>
      <c r="G191" s="52"/>
      <c r="H191" s="50">
        <v>10.35</v>
      </c>
      <c r="I191" s="53"/>
      <c r="J191" s="50">
        <v>10.35</v>
      </c>
      <c r="K191" s="53"/>
      <c r="L191" s="50">
        <v>10.35</v>
      </c>
      <c r="M191" s="57"/>
      <c r="N191" s="55">
        <v>7.3495370370370372E-3</v>
      </c>
      <c r="O191" s="57"/>
      <c r="P191" s="57"/>
      <c r="Q191" s="59">
        <f t="shared" si="73"/>
        <v>7.3495370370370372E-3</v>
      </c>
      <c r="R191" s="57"/>
      <c r="S191" s="57"/>
      <c r="T191" s="59">
        <f t="shared" si="74"/>
        <v>7.3495370370370372E-3</v>
      </c>
      <c r="U191" s="57"/>
      <c r="V191" s="57"/>
      <c r="W191" s="59">
        <f t="shared" si="75"/>
        <v>7.3495370370370372E-3</v>
      </c>
      <c r="X191" s="57"/>
      <c r="Y191" s="57"/>
      <c r="Z191" s="59">
        <f t="shared" si="67"/>
        <v>7.3495370370370372E-3</v>
      </c>
      <c r="AA191" s="57"/>
      <c r="AB191" s="57"/>
      <c r="AC191" s="59">
        <f t="shared" si="68"/>
        <v>7.3495370370370372E-3</v>
      </c>
      <c r="AD191" s="57"/>
      <c r="AE191" s="57"/>
      <c r="AF191" s="59">
        <f t="shared" si="69"/>
        <v>7.3495370370370372E-3</v>
      </c>
      <c r="AG191" s="57"/>
      <c r="AH191" s="57"/>
      <c r="AI191" s="59">
        <f t="shared" si="70"/>
        <v>7.3495370370370372E-3</v>
      </c>
      <c r="AJ191" s="57"/>
      <c r="AK191" s="57"/>
      <c r="AL191" s="59">
        <f t="shared" si="71"/>
        <v>7.3495370370370372E-3</v>
      </c>
      <c r="AM191" s="57"/>
      <c r="AN191" s="57"/>
      <c r="AO191" s="59">
        <f t="shared" si="72"/>
        <v>7.3495370370370372E-3</v>
      </c>
      <c r="AP191" s="57"/>
      <c r="AQ191" s="59">
        <f t="shared" si="58"/>
        <v>7.3495370370370372E-3</v>
      </c>
      <c r="AR191" s="57"/>
      <c r="AS191" s="57"/>
      <c r="AT191" s="59">
        <f t="shared" si="57"/>
        <v>7.3495370370370372E-3</v>
      </c>
    </row>
    <row r="192" spans="1:46" hidden="1">
      <c r="A192" s="24"/>
      <c r="B192" s="26" t="s">
        <v>768</v>
      </c>
      <c r="C192" s="26"/>
      <c r="D192" s="50"/>
      <c r="E192" s="51"/>
      <c r="F192" s="50"/>
      <c r="G192" s="52"/>
      <c r="H192" s="50"/>
      <c r="I192" s="53"/>
      <c r="J192" s="50"/>
      <c r="K192" s="53"/>
      <c r="L192" s="50"/>
      <c r="M192" s="57"/>
      <c r="N192" s="55" t="s">
        <v>448</v>
      </c>
      <c r="O192" s="57"/>
      <c r="P192" s="57"/>
      <c r="Q192" s="59" t="str">
        <f t="shared" si="73"/>
        <v/>
      </c>
      <c r="R192" s="57"/>
      <c r="S192" s="57"/>
      <c r="T192" s="59" t="str">
        <f t="shared" si="74"/>
        <v/>
      </c>
      <c r="U192" s="57"/>
      <c r="V192" s="57"/>
      <c r="W192" s="59" t="str">
        <f t="shared" si="75"/>
        <v/>
      </c>
      <c r="X192" s="57"/>
      <c r="Y192" s="57"/>
      <c r="Z192" s="59" t="str">
        <f t="shared" si="67"/>
        <v/>
      </c>
      <c r="AA192" s="57"/>
      <c r="AB192" s="57"/>
      <c r="AC192" s="59" t="str">
        <f t="shared" si="68"/>
        <v/>
      </c>
      <c r="AD192" s="57">
        <v>6.3078703703703708E-3</v>
      </c>
      <c r="AE192" s="57"/>
      <c r="AF192" s="59">
        <f t="shared" si="69"/>
        <v>6.3078703703703708E-3</v>
      </c>
      <c r="AG192" s="57"/>
      <c r="AH192" s="57"/>
      <c r="AI192" s="59">
        <f t="shared" si="70"/>
        <v>6.3078703703703708E-3</v>
      </c>
      <c r="AJ192" s="57"/>
      <c r="AK192" s="57"/>
      <c r="AL192" s="59">
        <f t="shared" si="71"/>
        <v>6.3078703703703708E-3</v>
      </c>
      <c r="AM192" s="57"/>
      <c r="AN192" s="57"/>
      <c r="AO192" s="59">
        <f t="shared" si="72"/>
        <v>6.3078703703703708E-3</v>
      </c>
      <c r="AP192" s="57"/>
      <c r="AQ192" s="59">
        <f t="shared" si="58"/>
        <v>6.3078703703703708E-3</v>
      </c>
      <c r="AR192" s="57"/>
      <c r="AS192" s="57"/>
      <c r="AT192" s="59">
        <f t="shared" si="57"/>
        <v>6.3078703703703708E-3</v>
      </c>
    </row>
    <row r="193" spans="1:46" hidden="1">
      <c r="A193" s="24"/>
      <c r="B193" s="26" t="s">
        <v>178</v>
      </c>
      <c r="C193" s="26" t="s">
        <v>443</v>
      </c>
      <c r="D193" s="50"/>
      <c r="E193" s="51"/>
      <c r="F193" s="50" t="s">
        <v>448</v>
      </c>
      <c r="G193" s="52"/>
      <c r="H193" s="50"/>
      <c r="I193" s="53"/>
      <c r="J193" s="50" t="s">
        <v>448</v>
      </c>
      <c r="K193" s="53"/>
      <c r="L193" s="50"/>
      <c r="M193" s="57"/>
      <c r="N193" s="55" t="s">
        <v>448</v>
      </c>
      <c r="O193" s="57"/>
      <c r="P193" s="57"/>
      <c r="Q193" s="59" t="str">
        <f t="shared" si="73"/>
        <v/>
      </c>
      <c r="R193" s="57"/>
      <c r="S193" s="57"/>
      <c r="T193" s="59" t="str">
        <f t="shared" si="74"/>
        <v/>
      </c>
      <c r="U193" s="57"/>
      <c r="V193" s="57"/>
      <c r="W193" s="59" t="str">
        <f t="shared" si="75"/>
        <v/>
      </c>
      <c r="X193" s="57"/>
      <c r="Y193" s="57"/>
      <c r="Z193" s="59" t="str">
        <f t="shared" si="67"/>
        <v/>
      </c>
      <c r="AA193" s="57"/>
      <c r="AB193" s="57"/>
      <c r="AC193" s="59" t="str">
        <f t="shared" si="68"/>
        <v/>
      </c>
      <c r="AD193" s="57"/>
      <c r="AE193" s="57"/>
      <c r="AF193" s="59" t="str">
        <f t="shared" si="69"/>
        <v/>
      </c>
      <c r="AG193" s="57"/>
      <c r="AH193" s="57"/>
      <c r="AI193" s="59" t="str">
        <f t="shared" si="70"/>
        <v/>
      </c>
      <c r="AJ193" s="57"/>
      <c r="AK193" s="57"/>
      <c r="AL193" s="59" t="str">
        <f t="shared" si="71"/>
        <v/>
      </c>
      <c r="AM193" s="57"/>
      <c r="AN193" s="57"/>
      <c r="AO193" s="59" t="str">
        <f t="shared" si="72"/>
        <v/>
      </c>
      <c r="AP193" s="57"/>
      <c r="AQ193" s="59" t="str">
        <f t="shared" si="58"/>
        <v/>
      </c>
      <c r="AR193" s="57"/>
      <c r="AS193" s="57"/>
      <c r="AT193" s="59" t="str">
        <f t="shared" si="57"/>
        <v/>
      </c>
    </row>
    <row r="194" spans="1:46">
      <c r="A194" s="24" t="s">
        <v>792</v>
      </c>
      <c r="B194" s="26" t="s">
        <v>732</v>
      </c>
      <c r="C194" s="26"/>
      <c r="D194" s="50"/>
      <c r="E194" s="51"/>
      <c r="F194" s="50"/>
      <c r="G194" s="52"/>
      <c r="H194" s="50"/>
      <c r="I194" s="53"/>
      <c r="J194" s="50"/>
      <c r="K194" s="54"/>
      <c r="L194" s="50"/>
      <c r="M194" s="56"/>
      <c r="N194" s="55"/>
      <c r="O194" s="56"/>
      <c r="P194" s="56"/>
      <c r="Q194" s="59"/>
      <c r="R194" s="56"/>
      <c r="S194" s="56"/>
      <c r="T194" s="59"/>
      <c r="U194" s="56"/>
      <c r="V194" s="56"/>
      <c r="W194" s="59"/>
      <c r="X194" s="56"/>
      <c r="Y194" s="56"/>
      <c r="Z194" s="59"/>
      <c r="AA194" s="56"/>
      <c r="AB194" s="56"/>
      <c r="AC194" s="59"/>
      <c r="AD194" s="56"/>
      <c r="AE194" s="56"/>
      <c r="AF194" s="59" t="str">
        <f t="shared" si="69"/>
        <v/>
      </c>
      <c r="AG194" s="57">
        <v>7.3379629629629628E-3</v>
      </c>
      <c r="AH194" s="56"/>
      <c r="AI194" s="59">
        <f t="shared" si="70"/>
        <v>7.3379629629629628E-3</v>
      </c>
      <c r="AJ194" s="57"/>
      <c r="AK194" s="56"/>
      <c r="AL194" s="59">
        <f t="shared" si="71"/>
        <v>7.3379629629629628E-3</v>
      </c>
      <c r="AM194" s="57"/>
      <c r="AN194" s="56"/>
      <c r="AO194" s="59">
        <f t="shared" si="72"/>
        <v>7.3379629629629628E-3</v>
      </c>
      <c r="AP194" s="57">
        <v>7.8240740740740753E-3</v>
      </c>
      <c r="AQ194" s="59">
        <f t="shared" si="58"/>
        <v>7.3379629629629628E-3</v>
      </c>
      <c r="AR194" s="57"/>
      <c r="AS194" s="57"/>
      <c r="AT194" s="59">
        <f t="shared" si="57"/>
        <v>7.3379629629629628E-3</v>
      </c>
    </row>
    <row r="195" spans="1:46" hidden="1">
      <c r="A195" s="24"/>
      <c r="B195" s="26" t="s">
        <v>183</v>
      </c>
      <c r="C195" s="26"/>
      <c r="D195" s="50"/>
      <c r="E195" s="51"/>
      <c r="F195" s="50" t="s">
        <v>448</v>
      </c>
      <c r="G195" s="52"/>
      <c r="H195" s="50"/>
      <c r="I195" s="53"/>
      <c r="J195" s="50" t="s">
        <v>448</v>
      </c>
      <c r="K195" s="53"/>
      <c r="L195" s="50"/>
      <c r="M195" s="57"/>
      <c r="N195" s="55" t="s">
        <v>448</v>
      </c>
      <c r="O195" s="57"/>
      <c r="P195" s="57"/>
      <c r="Q195" s="59" t="str">
        <f>IF(MIN(IF(ISBLANK(O195),N195,O195),IF(ISBLANK(N195),O195,N195))=0,"",MIN(IF(ISBLANK(O195),N195,O195),IF(ISBLANK(N195),O195,N195)))</f>
        <v/>
      </c>
      <c r="R195" s="57"/>
      <c r="S195" s="57"/>
      <c r="T195" s="59" t="str">
        <f>IF(MIN(IF(ISBLANK(R195),Q195,R195),IF(ISBLANK(Q195),R195,Q195))=0,"",MIN(IF(ISBLANK(R195),Q195,R195),IF(ISBLANK(Q195),R195,Q195)))</f>
        <v/>
      </c>
      <c r="U195" s="57"/>
      <c r="V195" s="57"/>
      <c r="W195" s="59" t="str">
        <f>IF(MIN(IF(ISBLANK(U195),T195,U195),IF(ISBLANK(T195),U195,T195))=0,"",MIN(IF(ISBLANK(U195),T195,U195),IF(ISBLANK(T195),U195,T195)))</f>
        <v/>
      </c>
      <c r="X195" s="57"/>
      <c r="Y195" s="57"/>
      <c r="Z195" s="59" t="str">
        <f t="shared" ref="Z195:Z207" si="76">IF(MIN(IF(ISBLANK(X195),W195,X195),IF(ISBLANK(W195),X195,W195))=0,"",MIN(IF(ISBLANK(X195),W195,X195),IF(ISBLANK(W195),X195,W195)))</f>
        <v/>
      </c>
      <c r="AA195" s="57"/>
      <c r="AB195" s="57"/>
      <c r="AC195" s="59" t="str">
        <f t="shared" ref="AC195:AC207" si="77">IF(MIN(IF(ISBLANK(Z195),AA195,Z195),IF(ISBLANK(AA195),Z195,AA195))=0,"",MIN(IF(ISBLANK(Z195),AA195,Z195),IF(ISBLANK(AA195),Z195,AA195)))</f>
        <v/>
      </c>
      <c r="AD195" s="57"/>
      <c r="AE195" s="57"/>
      <c r="AF195" s="59" t="str">
        <f t="shared" si="69"/>
        <v/>
      </c>
      <c r="AG195" s="57"/>
      <c r="AH195" s="57"/>
      <c r="AI195" s="59" t="str">
        <f t="shared" si="70"/>
        <v/>
      </c>
      <c r="AJ195" s="57"/>
      <c r="AK195" s="57"/>
      <c r="AL195" s="59" t="str">
        <f t="shared" si="71"/>
        <v/>
      </c>
      <c r="AM195" s="57"/>
      <c r="AN195" s="57"/>
      <c r="AO195" s="59" t="str">
        <f t="shared" si="72"/>
        <v/>
      </c>
      <c r="AP195" s="57"/>
      <c r="AQ195" s="59" t="str">
        <f t="shared" si="58"/>
        <v/>
      </c>
      <c r="AR195" s="57"/>
      <c r="AS195" s="57"/>
      <c r="AT195" s="59" t="str">
        <f t="shared" si="57"/>
        <v/>
      </c>
    </row>
    <row r="196" spans="1:46" hidden="1">
      <c r="A196" s="24"/>
      <c r="B196" s="26" t="s">
        <v>251</v>
      </c>
      <c r="C196" s="26" t="s">
        <v>443</v>
      </c>
      <c r="D196" s="50"/>
      <c r="E196" s="51"/>
      <c r="F196" s="50" t="s">
        <v>448</v>
      </c>
      <c r="G196" s="52"/>
      <c r="H196" s="50"/>
      <c r="I196" s="53"/>
      <c r="J196" s="50" t="s">
        <v>448</v>
      </c>
      <c r="K196" s="53"/>
      <c r="L196" s="50"/>
      <c r="M196" s="57"/>
      <c r="N196" s="55" t="s">
        <v>448</v>
      </c>
      <c r="O196" s="57"/>
      <c r="P196" s="57"/>
      <c r="Q196" s="59" t="str">
        <f>IF(MIN(IF(ISBLANK(O196),N196,O196),IF(ISBLANK(N196),O196,N196))=0,"",MIN(IF(ISBLANK(O196),N196,O196),IF(ISBLANK(N196),O196,N196)))</f>
        <v/>
      </c>
      <c r="R196" s="57"/>
      <c r="S196" s="57"/>
      <c r="T196" s="59" t="str">
        <f>IF(MIN(IF(ISBLANK(R196),Q196,R196),IF(ISBLANK(Q196),R196,Q196))=0,"",MIN(IF(ISBLANK(R196),Q196,R196),IF(ISBLANK(Q196),R196,Q196)))</f>
        <v/>
      </c>
      <c r="U196" s="57"/>
      <c r="V196" s="57"/>
      <c r="W196" s="59" t="str">
        <f>IF(MIN(IF(ISBLANK(U196),T196,U196),IF(ISBLANK(T196),U196,T196))=0,"",MIN(IF(ISBLANK(U196),T196,U196),IF(ISBLANK(T196),U196,T196)))</f>
        <v/>
      </c>
      <c r="X196" s="57"/>
      <c r="Y196" s="57"/>
      <c r="Z196" s="59" t="str">
        <f t="shared" si="76"/>
        <v/>
      </c>
      <c r="AA196" s="57"/>
      <c r="AB196" s="57"/>
      <c r="AC196" s="59" t="str">
        <f t="shared" si="77"/>
        <v/>
      </c>
      <c r="AD196" s="57"/>
      <c r="AE196" s="57"/>
      <c r="AF196" s="59" t="str">
        <f t="shared" si="69"/>
        <v/>
      </c>
      <c r="AG196" s="57"/>
      <c r="AH196" s="57"/>
      <c r="AI196" s="59" t="str">
        <f t="shared" si="70"/>
        <v/>
      </c>
      <c r="AJ196" s="57"/>
      <c r="AK196" s="57"/>
      <c r="AL196" s="59" t="str">
        <f t="shared" si="71"/>
        <v/>
      </c>
      <c r="AM196" s="57"/>
      <c r="AN196" s="57"/>
      <c r="AO196" s="59" t="str">
        <f t="shared" si="72"/>
        <v/>
      </c>
      <c r="AP196" s="57"/>
      <c r="AQ196" s="59" t="str">
        <f t="shared" si="58"/>
        <v/>
      </c>
      <c r="AR196" s="57"/>
      <c r="AS196" s="57"/>
      <c r="AT196" s="59" t="str">
        <f t="shared" si="57"/>
        <v/>
      </c>
    </row>
    <row r="197" spans="1:46" hidden="1">
      <c r="A197" s="24"/>
      <c r="B197" s="26" t="s">
        <v>626</v>
      </c>
      <c r="C197" s="26"/>
      <c r="D197" s="50"/>
      <c r="E197" s="51"/>
      <c r="F197" s="50"/>
      <c r="G197" s="52"/>
      <c r="H197" s="50"/>
      <c r="I197" s="53"/>
      <c r="J197" s="50"/>
      <c r="K197" s="53"/>
      <c r="L197" s="50"/>
      <c r="M197" s="57"/>
      <c r="N197" s="55"/>
      <c r="O197" s="57"/>
      <c r="P197" s="57"/>
      <c r="Q197" s="59"/>
      <c r="R197" s="57"/>
      <c r="S197" s="57"/>
      <c r="T197" s="59"/>
      <c r="U197" s="57"/>
      <c r="V197" s="57"/>
      <c r="W197" s="59"/>
      <c r="X197" s="57"/>
      <c r="Y197" s="57"/>
      <c r="Z197" s="59" t="str">
        <f t="shared" si="76"/>
        <v/>
      </c>
      <c r="AA197" s="57"/>
      <c r="AB197" s="57"/>
      <c r="AC197" s="59" t="str">
        <f t="shared" si="77"/>
        <v/>
      </c>
      <c r="AD197" s="57"/>
      <c r="AE197" s="57"/>
      <c r="AF197" s="59" t="str">
        <f t="shared" si="69"/>
        <v/>
      </c>
      <c r="AG197" s="57"/>
      <c r="AH197" s="57"/>
      <c r="AI197" s="59" t="str">
        <f t="shared" si="70"/>
        <v/>
      </c>
      <c r="AJ197" s="57"/>
      <c r="AK197" s="57"/>
      <c r="AL197" s="59" t="str">
        <f t="shared" si="71"/>
        <v/>
      </c>
      <c r="AM197" s="57"/>
      <c r="AN197" s="57"/>
      <c r="AO197" s="59" t="str">
        <f t="shared" si="72"/>
        <v/>
      </c>
      <c r="AP197" s="57"/>
      <c r="AQ197" s="59" t="str">
        <f t="shared" si="58"/>
        <v/>
      </c>
      <c r="AR197" s="57"/>
      <c r="AS197" s="57"/>
      <c r="AT197" s="59" t="str">
        <f t="shared" si="57"/>
        <v/>
      </c>
    </row>
    <row r="198" spans="1:46" hidden="1">
      <c r="A198" s="24"/>
      <c r="B198" s="26" t="s">
        <v>189</v>
      </c>
      <c r="C198" s="26" t="s">
        <v>443</v>
      </c>
      <c r="D198" s="50">
        <v>6.58</v>
      </c>
      <c r="E198" s="51" t="s">
        <v>288</v>
      </c>
      <c r="F198" s="50">
        <v>6.58</v>
      </c>
      <c r="G198" s="52"/>
      <c r="H198" s="50">
        <v>6.58</v>
      </c>
      <c r="I198" s="53"/>
      <c r="J198" s="50">
        <v>6.58</v>
      </c>
      <c r="K198" s="53"/>
      <c r="L198" s="50">
        <v>6.58</v>
      </c>
      <c r="M198" s="57"/>
      <c r="N198" s="55">
        <v>4.8379629629629632E-3</v>
      </c>
      <c r="O198" s="57"/>
      <c r="P198" s="57"/>
      <c r="Q198" s="59">
        <f t="shared" ref="Q198:Q204" si="78">IF(MIN(IF(ISBLANK(O198),N198,O198),IF(ISBLANK(N198),O198,N198))=0,"",MIN(IF(ISBLANK(O198),N198,O198),IF(ISBLANK(N198),O198,N198)))</f>
        <v>4.8379629629629632E-3</v>
      </c>
      <c r="R198" s="57"/>
      <c r="S198" s="57"/>
      <c r="T198" s="59">
        <f t="shared" ref="T198:T204" si="79">IF(MIN(IF(ISBLANK(R198),Q198,R198),IF(ISBLANK(Q198),R198,Q198))=0,"",MIN(IF(ISBLANK(R198),Q198,R198),IF(ISBLANK(Q198),R198,Q198)))</f>
        <v>4.8379629629629632E-3</v>
      </c>
      <c r="U198" s="57">
        <v>5.3240740740740748E-3</v>
      </c>
      <c r="V198" s="57"/>
      <c r="W198" s="59">
        <f t="shared" ref="W198:W204" si="80">IF(MIN(IF(ISBLANK(U198),T198,U198),IF(ISBLANK(T198),U198,T198))=0,"",MIN(IF(ISBLANK(U198),T198,U198),IF(ISBLANK(T198),U198,T198)))</f>
        <v>4.8379629629629632E-3</v>
      </c>
      <c r="X198" s="57">
        <v>5.3240740740740748E-3</v>
      </c>
      <c r="Y198" s="57"/>
      <c r="Z198" s="59">
        <f t="shared" si="76"/>
        <v>4.8379629629629632E-3</v>
      </c>
      <c r="AA198" s="57"/>
      <c r="AB198" s="57"/>
      <c r="AC198" s="59">
        <f t="shared" si="77"/>
        <v>4.8379629629629632E-3</v>
      </c>
      <c r="AD198" s="57">
        <v>5.3009259259259251E-3</v>
      </c>
      <c r="AE198" s="57"/>
      <c r="AF198" s="59">
        <f t="shared" si="69"/>
        <v>4.8379629629629632E-3</v>
      </c>
      <c r="AG198" s="57"/>
      <c r="AH198" s="57"/>
      <c r="AI198" s="59">
        <f t="shared" si="70"/>
        <v>4.8379629629629632E-3</v>
      </c>
      <c r="AJ198" s="57">
        <v>5.7175925925925927E-3</v>
      </c>
      <c r="AK198" s="57"/>
      <c r="AL198" s="59">
        <f t="shared" si="71"/>
        <v>4.8379629629629632E-3</v>
      </c>
      <c r="AM198" s="57"/>
      <c r="AN198" s="57"/>
      <c r="AO198" s="59">
        <f t="shared" si="72"/>
        <v>4.8379629629629632E-3</v>
      </c>
      <c r="AP198" s="57"/>
      <c r="AQ198" s="59">
        <f t="shared" si="58"/>
        <v>4.8379629629629632E-3</v>
      </c>
      <c r="AR198" s="57"/>
      <c r="AS198" s="57"/>
      <c r="AT198" s="59">
        <f t="shared" si="57"/>
        <v>4.8379629629629632E-3</v>
      </c>
    </row>
    <row r="199" spans="1:46" hidden="1">
      <c r="A199" s="24"/>
      <c r="B199" s="26" t="s">
        <v>502</v>
      </c>
      <c r="C199" s="26"/>
      <c r="D199" s="50"/>
      <c r="E199" s="51"/>
      <c r="F199" s="50"/>
      <c r="G199" s="52"/>
      <c r="H199" s="50"/>
      <c r="I199" s="53"/>
      <c r="J199" s="50"/>
      <c r="K199" s="53"/>
      <c r="L199" s="50"/>
      <c r="M199" s="57"/>
      <c r="N199" s="55" t="s">
        <v>448</v>
      </c>
      <c r="O199" s="57"/>
      <c r="P199" s="57"/>
      <c r="Q199" s="59" t="str">
        <f t="shared" si="78"/>
        <v/>
      </c>
      <c r="R199" s="57"/>
      <c r="S199" s="57"/>
      <c r="T199" s="59" t="str">
        <f t="shared" si="79"/>
        <v/>
      </c>
      <c r="U199" s="57"/>
      <c r="V199" s="57"/>
      <c r="W199" s="59" t="str">
        <f t="shared" si="80"/>
        <v/>
      </c>
      <c r="X199" s="57"/>
      <c r="Y199" s="57"/>
      <c r="Z199" s="59" t="str">
        <f t="shared" si="76"/>
        <v/>
      </c>
      <c r="AA199" s="57"/>
      <c r="AB199" s="57"/>
      <c r="AC199" s="59" t="str">
        <f t="shared" si="77"/>
        <v/>
      </c>
      <c r="AD199" s="57"/>
      <c r="AE199" s="57"/>
      <c r="AF199" s="59" t="str">
        <f t="shared" si="69"/>
        <v/>
      </c>
      <c r="AG199" s="57"/>
      <c r="AH199" s="57"/>
      <c r="AI199" s="59" t="str">
        <f t="shared" si="70"/>
        <v/>
      </c>
      <c r="AJ199" s="57"/>
      <c r="AK199" s="57"/>
      <c r="AL199" s="59" t="str">
        <f t="shared" si="71"/>
        <v/>
      </c>
      <c r="AM199" s="57"/>
      <c r="AN199" s="57"/>
      <c r="AO199" s="59" t="str">
        <f t="shared" si="72"/>
        <v/>
      </c>
      <c r="AP199" s="57"/>
      <c r="AQ199" s="59" t="str">
        <f t="shared" si="58"/>
        <v/>
      </c>
      <c r="AR199" s="57"/>
      <c r="AS199" s="57"/>
      <c r="AT199" s="59" t="str">
        <f t="shared" si="57"/>
        <v/>
      </c>
    </row>
    <row r="200" spans="1:46" hidden="1">
      <c r="A200" s="24"/>
      <c r="B200" s="26" t="s">
        <v>273</v>
      </c>
      <c r="C200" s="26" t="s">
        <v>443</v>
      </c>
      <c r="D200" s="50"/>
      <c r="E200" s="51"/>
      <c r="F200" s="50" t="s">
        <v>448</v>
      </c>
      <c r="G200" s="52"/>
      <c r="H200" s="50"/>
      <c r="I200" s="53"/>
      <c r="J200" s="50" t="s">
        <v>448</v>
      </c>
      <c r="K200" s="53"/>
      <c r="L200" s="50"/>
      <c r="M200" s="57"/>
      <c r="N200" s="55" t="s">
        <v>448</v>
      </c>
      <c r="O200" s="57"/>
      <c r="P200" s="57"/>
      <c r="Q200" s="59" t="str">
        <f t="shared" si="78"/>
        <v/>
      </c>
      <c r="R200" s="57"/>
      <c r="S200" s="57"/>
      <c r="T200" s="59" t="str">
        <f t="shared" si="79"/>
        <v/>
      </c>
      <c r="U200" s="57"/>
      <c r="V200" s="57"/>
      <c r="W200" s="59" t="str">
        <f t="shared" si="80"/>
        <v/>
      </c>
      <c r="X200" s="57"/>
      <c r="Y200" s="57"/>
      <c r="Z200" s="59" t="str">
        <f t="shared" si="76"/>
        <v/>
      </c>
      <c r="AA200" s="57"/>
      <c r="AB200" s="57"/>
      <c r="AC200" s="59" t="str">
        <f t="shared" si="77"/>
        <v/>
      </c>
      <c r="AD200" s="57"/>
      <c r="AE200" s="57"/>
      <c r="AF200" s="59" t="str">
        <f t="shared" si="69"/>
        <v/>
      </c>
      <c r="AG200" s="57"/>
      <c r="AH200" s="57"/>
      <c r="AI200" s="59" t="str">
        <f t="shared" si="70"/>
        <v/>
      </c>
      <c r="AJ200" s="57"/>
      <c r="AK200" s="57"/>
      <c r="AL200" s="59" t="str">
        <f t="shared" si="71"/>
        <v/>
      </c>
      <c r="AM200" s="57"/>
      <c r="AN200" s="57"/>
      <c r="AO200" s="59" t="str">
        <f t="shared" si="72"/>
        <v/>
      </c>
      <c r="AP200" s="57"/>
      <c r="AQ200" s="59" t="str">
        <f t="shared" si="58"/>
        <v/>
      </c>
      <c r="AR200" s="57"/>
      <c r="AS200" s="57"/>
      <c r="AT200" s="59" t="str">
        <f t="shared" si="57"/>
        <v/>
      </c>
    </row>
    <row r="201" spans="1:46" hidden="1">
      <c r="A201" s="24"/>
      <c r="B201" s="26" t="s">
        <v>196</v>
      </c>
      <c r="C201" s="26" t="s">
        <v>443</v>
      </c>
      <c r="D201" s="50">
        <v>8.09</v>
      </c>
      <c r="E201" s="51"/>
      <c r="F201" s="50">
        <v>8.09</v>
      </c>
      <c r="G201" s="52"/>
      <c r="H201" s="50">
        <v>8.09</v>
      </c>
      <c r="I201" s="53"/>
      <c r="J201" s="50">
        <v>8.09</v>
      </c>
      <c r="K201" s="53"/>
      <c r="L201" s="50">
        <v>8.09</v>
      </c>
      <c r="M201" s="57"/>
      <c r="N201" s="55">
        <v>5.6597222222222222E-3</v>
      </c>
      <c r="O201" s="57"/>
      <c r="P201" s="57"/>
      <c r="Q201" s="59">
        <f t="shared" si="78"/>
        <v>5.6597222222222222E-3</v>
      </c>
      <c r="R201" s="57"/>
      <c r="S201" s="57"/>
      <c r="T201" s="59">
        <f t="shared" si="79"/>
        <v>5.6597222222222222E-3</v>
      </c>
      <c r="U201" s="57"/>
      <c r="V201" s="57"/>
      <c r="W201" s="59">
        <f t="shared" si="80"/>
        <v>5.6597222222222222E-3</v>
      </c>
      <c r="X201" s="57"/>
      <c r="Y201" s="57"/>
      <c r="Z201" s="59">
        <f t="shared" si="76"/>
        <v>5.6597222222222222E-3</v>
      </c>
      <c r="AA201" s="57"/>
      <c r="AB201" s="57"/>
      <c r="AC201" s="59">
        <f t="shared" si="77"/>
        <v>5.6597222222222222E-3</v>
      </c>
      <c r="AD201" s="57"/>
      <c r="AE201" s="57"/>
      <c r="AF201" s="59">
        <f t="shared" si="69"/>
        <v>5.6597222222222222E-3</v>
      </c>
      <c r="AG201" s="57"/>
      <c r="AH201" s="57"/>
      <c r="AI201" s="59">
        <f t="shared" si="70"/>
        <v>5.6597222222222222E-3</v>
      </c>
      <c r="AJ201" s="57"/>
      <c r="AK201" s="57"/>
      <c r="AL201" s="59">
        <f t="shared" si="71"/>
        <v>5.6597222222222222E-3</v>
      </c>
      <c r="AM201" s="57"/>
      <c r="AN201" s="57"/>
      <c r="AO201" s="59">
        <f t="shared" si="72"/>
        <v>5.6597222222222222E-3</v>
      </c>
      <c r="AP201" s="57"/>
      <c r="AQ201" s="59">
        <f t="shared" si="58"/>
        <v>5.6597222222222222E-3</v>
      </c>
      <c r="AR201" s="57"/>
      <c r="AS201" s="57"/>
      <c r="AT201" s="59">
        <f t="shared" si="57"/>
        <v>5.6597222222222222E-3</v>
      </c>
    </row>
    <row r="202" spans="1:46" hidden="1">
      <c r="A202" s="24"/>
      <c r="B202" s="26" t="s">
        <v>246</v>
      </c>
      <c r="C202" s="26" t="s">
        <v>443</v>
      </c>
      <c r="D202" s="50"/>
      <c r="E202" s="51"/>
      <c r="F202" s="50"/>
      <c r="G202" s="52"/>
      <c r="H202" s="50"/>
      <c r="I202" s="53"/>
      <c r="J202" s="50"/>
      <c r="K202" s="53"/>
      <c r="L202" s="50"/>
      <c r="M202" s="57">
        <v>5.6944444444444438E-3</v>
      </c>
      <c r="N202" s="55">
        <v>5.6944444444444438E-3</v>
      </c>
      <c r="O202" s="57"/>
      <c r="P202" s="57"/>
      <c r="Q202" s="59">
        <f t="shared" si="78"/>
        <v>5.6944444444444438E-3</v>
      </c>
      <c r="R202" s="57"/>
      <c r="S202" s="57"/>
      <c r="T202" s="59">
        <f t="shared" si="79"/>
        <v>5.6944444444444438E-3</v>
      </c>
      <c r="U202" s="57"/>
      <c r="V202" s="57"/>
      <c r="W202" s="59">
        <f t="shared" si="80"/>
        <v>5.6944444444444438E-3</v>
      </c>
      <c r="X202" s="57"/>
      <c r="Y202" s="57"/>
      <c r="Z202" s="59">
        <f t="shared" si="76"/>
        <v>5.6944444444444438E-3</v>
      </c>
      <c r="AA202" s="57"/>
      <c r="AB202" s="57"/>
      <c r="AC202" s="59">
        <f t="shared" si="77"/>
        <v>5.6944444444444438E-3</v>
      </c>
      <c r="AD202" s="57"/>
      <c r="AE202" s="57"/>
      <c r="AF202" s="59">
        <f t="shared" si="69"/>
        <v>5.6944444444444438E-3</v>
      </c>
      <c r="AG202" s="57"/>
      <c r="AH202" s="57"/>
      <c r="AI202" s="59">
        <f t="shared" si="70"/>
        <v>5.6944444444444438E-3</v>
      </c>
      <c r="AJ202" s="57"/>
      <c r="AK202" s="57"/>
      <c r="AL202" s="59">
        <f t="shared" si="71"/>
        <v>5.6944444444444438E-3</v>
      </c>
      <c r="AM202" s="57"/>
      <c r="AN202" s="57"/>
      <c r="AO202" s="59">
        <f t="shared" si="72"/>
        <v>5.6944444444444438E-3</v>
      </c>
      <c r="AP202" s="57"/>
      <c r="AQ202" s="59">
        <f t="shared" si="58"/>
        <v>5.6944444444444438E-3</v>
      </c>
      <c r="AR202" s="57"/>
      <c r="AS202" s="57"/>
      <c r="AT202" s="59">
        <f t="shared" si="57"/>
        <v>5.6944444444444438E-3</v>
      </c>
    </row>
    <row r="203" spans="1:46" hidden="1">
      <c r="A203" s="24"/>
      <c r="B203" s="26" t="s">
        <v>201</v>
      </c>
      <c r="C203" s="26" t="s">
        <v>444</v>
      </c>
      <c r="D203" s="50">
        <v>8.43</v>
      </c>
      <c r="E203" s="51" t="s">
        <v>290</v>
      </c>
      <c r="F203" s="50">
        <v>8.32</v>
      </c>
      <c r="G203" s="52"/>
      <c r="H203" s="50">
        <v>8.32</v>
      </c>
      <c r="I203" s="53">
        <v>8.0399999999999991</v>
      </c>
      <c r="J203" s="50">
        <v>8.0399999999999991</v>
      </c>
      <c r="K203" s="53"/>
      <c r="L203" s="50">
        <v>8.0399999999999991</v>
      </c>
      <c r="M203" s="57"/>
      <c r="N203" s="55">
        <v>5.6018518518518518E-3</v>
      </c>
      <c r="O203" s="57"/>
      <c r="P203" s="57"/>
      <c r="Q203" s="59">
        <f t="shared" si="78"/>
        <v>5.6018518518518518E-3</v>
      </c>
      <c r="R203" s="57"/>
      <c r="S203" s="57"/>
      <c r="T203" s="59">
        <f t="shared" si="79"/>
        <v>5.6018518518518518E-3</v>
      </c>
      <c r="U203" s="57"/>
      <c r="V203" s="57"/>
      <c r="W203" s="59">
        <f t="shared" si="80"/>
        <v>5.6018518518518518E-3</v>
      </c>
      <c r="X203" s="57"/>
      <c r="Y203" s="57"/>
      <c r="Z203" s="59">
        <f t="shared" si="76"/>
        <v>5.6018518518518518E-3</v>
      </c>
      <c r="AA203" s="57"/>
      <c r="AB203" s="57"/>
      <c r="AC203" s="59">
        <f t="shared" si="77"/>
        <v>5.6018518518518518E-3</v>
      </c>
      <c r="AD203" s="57"/>
      <c r="AE203" s="57"/>
      <c r="AF203" s="59">
        <f t="shared" si="69"/>
        <v>5.6018518518518518E-3</v>
      </c>
      <c r="AG203" s="57"/>
      <c r="AH203" s="57"/>
      <c r="AI203" s="59">
        <f t="shared" si="70"/>
        <v>5.6018518518518518E-3</v>
      </c>
      <c r="AJ203" s="57"/>
      <c r="AK203" s="57"/>
      <c r="AL203" s="59">
        <f t="shared" si="71"/>
        <v>5.6018518518518518E-3</v>
      </c>
      <c r="AM203" s="57"/>
      <c r="AN203" s="57"/>
      <c r="AO203" s="59">
        <f t="shared" si="72"/>
        <v>5.6018518518518518E-3</v>
      </c>
      <c r="AP203" s="57"/>
      <c r="AQ203" s="59">
        <f t="shared" si="58"/>
        <v>5.6018518518518518E-3</v>
      </c>
      <c r="AR203" s="57"/>
      <c r="AS203" s="57"/>
      <c r="AT203" s="59">
        <f t="shared" ref="AT203:AT266" si="81">IF(MIN(IF(ISBLANK(AQ203),AR203,AQ203),IF(ISBLANK(AR203),AQ203,AR203))=0,"",MIN(IF(ISBLANK(AQ203),AR203,AQ203),IF(ISBLANK(AR203),AQ203,AR203)))</f>
        <v>5.6018518518518518E-3</v>
      </c>
    </row>
    <row r="204" spans="1:46" hidden="1">
      <c r="A204" s="24"/>
      <c r="B204" s="26" t="s">
        <v>385</v>
      </c>
      <c r="C204" s="26" t="s">
        <v>444</v>
      </c>
      <c r="D204" s="50"/>
      <c r="E204" s="51"/>
      <c r="F204" s="50"/>
      <c r="G204" s="52"/>
      <c r="H204" s="50"/>
      <c r="I204" s="53"/>
      <c r="J204" s="50" t="s">
        <v>448</v>
      </c>
      <c r="K204" s="53"/>
      <c r="L204" s="50"/>
      <c r="M204" s="57"/>
      <c r="N204" s="55" t="s">
        <v>448</v>
      </c>
      <c r="O204" s="57"/>
      <c r="P204" s="57"/>
      <c r="Q204" s="59" t="str">
        <f t="shared" si="78"/>
        <v/>
      </c>
      <c r="R204" s="57"/>
      <c r="S204" s="57"/>
      <c r="T204" s="59" t="str">
        <f t="shared" si="79"/>
        <v/>
      </c>
      <c r="U204" s="57"/>
      <c r="V204" s="57"/>
      <c r="W204" s="59" t="str">
        <f t="shared" si="80"/>
        <v/>
      </c>
      <c r="X204" s="57"/>
      <c r="Y204" s="57"/>
      <c r="Z204" s="59" t="str">
        <f t="shared" si="76"/>
        <v/>
      </c>
      <c r="AA204" s="57"/>
      <c r="AB204" s="57"/>
      <c r="AC204" s="59" t="str">
        <f t="shared" si="77"/>
        <v/>
      </c>
      <c r="AD204" s="57"/>
      <c r="AE204" s="57"/>
      <c r="AF204" s="59" t="str">
        <f t="shared" si="69"/>
        <v/>
      </c>
      <c r="AG204" s="57"/>
      <c r="AH204" s="57"/>
      <c r="AI204" s="59" t="str">
        <f t="shared" si="70"/>
        <v/>
      </c>
      <c r="AJ204" s="57"/>
      <c r="AK204" s="57"/>
      <c r="AL204" s="59" t="str">
        <f t="shared" si="71"/>
        <v/>
      </c>
      <c r="AM204" s="57"/>
      <c r="AN204" s="57"/>
      <c r="AO204" s="59" t="str">
        <f t="shared" si="72"/>
        <v/>
      </c>
      <c r="AP204" s="57"/>
      <c r="AQ204" s="59" t="str">
        <f t="shared" ref="AQ204:AQ266" si="82">IF(MIN(IF(ISBLANK(AO204),AP204,AO204),IF(ISBLANK(AP204),AO204,AP204))=0,"",MIN(IF(ISBLANK(AO204),AP204,AO204),IF(ISBLANK(AP204),AO204,AP204)))</f>
        <v/>
      </c>
      <c r="AR204" s="57"/>
      <c r="AS204" s="57"/>
      <c r="AT204" s="59" t="str">
        <f t="shared" si="81"/>
        <v/>
      </c>
    </row>
    <row r="205" spans="1:46">
      <c r="A205" s="24" t="s">
        <v>792</v>
      </c>
      <c r="B205" s="26" t="s">
        <v>627</v>
      </c>
      <c r="C205" s="26"/>
      <c r="D205" s="50"/>
      <c r="E205" s="51"/>
      <c r="F205" s="50"/>
      <c r="G205" s="52"/>
      <c r="H205" s="50"/>
      <c r="I205" s="53"/>
      <c r="J205" s="50"/>
      <c r="K205" s="53"/>
      <c r="L205" s="50"/>
      <c r="M205" s="57"/>
      <c r="N205" s="55"/>
      <c r="O205" s="57"/>
      <c r="P205" s="57"/>
      <c r="Q205" s="59"/>
      <c r="R205" s="57"/>
      <c r="S205" s="57"/>
      <c r="T205" s="59"/>
      <c r="U205" s="57"/>
      <c r="V205" s="57"/>
      <c r="W205" s="59"/>
      <c r="X205" s="57">
        <v>6.2037037037037043E-3</v>
      </c>
      <c r="Y205" s="57"/>
      <c r="Z205" s="59">
        <f t="shared" si="76"/>
        <v>6.2037037037037043E-3</v>
      </c>
      <c r="AA205" s="57">
        <v>6.2731481481481484E-3</v>
      </c>
      <c r="AB205" s="57"/>
      <c r="AC205" s="59">
        <f t="shared" si="77"/>
        <v>6.2037037037037043E-3</v>
      </c>
      <c r="AD205" s="57">
        <v>6.3425925925925915E-3</v>
      </c>
      <c r="AE205" s="57"/>
      <c r="AF205" s="59">
        <f t="shared" si="69"/>
        <v>6.2037037037037043E-3</v>
      </c>
      <c r="AG205" s="57">
        <v>6.2037037037037043E-3</v>
      </c>
      <c r="AH205" s="57"/>
      <c r="AI205" s="59">
        <f t="shared" si="70"/>
        <v>6.2037037037037043E-3</v>
      </c>
      <c r="AJ205" s="57">
        <v>7.3495370370370372E-3</v>
      </c>
      <c r="AK205" s="57"/>
      <c r="AL205" s="59">
        <f t="shared" si="71"/>
        <v>6.2037037037037043E-3</v>
      </c>
      <c r="AM205" s="57"/>
      <c r="AN205" s="57"/>
      <c r="AO205" s="59">
        <f t="shared" si="72"/>
        <v>6.2037037037037043E-3</v>
      </c>
      <c r="AP205" s="57"/>
      <c r="AQ205" s="59">
        <f t="shared" si="82"/>
        <v>6.2037037037037043E-3</v>
      </c>
      <c r="AR205" s="57"/>
      <c r="AS205" s="57"/>
      <c r="AT205" s="59">
        <f t="shared" si="81"/>
        <v>6.2037037037037043E-3</v>
      </c>
    </row>
    <row r="206" spans="1:46" hidden="1">
      <c r="A206" s="24"/>
      <c r="B206" s="26" t="s">
        <v>433</v>
      </c>
      <c r="C206" s="26" t="s">
        <v>444</v>
      </c>
      <c r="D206" s="50"/>
      <c r="E206" s="51"/>
      <c r="F206" s="50"/>
      <c r="G206" s="52"/>
      <c r="H206" s="50"/>
      <c r="I206" s="53">
        <v>9.5299999999999994</v>
      </c>
      <c r="J206" s="50">
        <v>9.5299999999999994</v>
      </c>
      <c r="K206" s="53">
        <v>9.1999999999999993</v>
      </c>
      <c r="L206" s="50" t="s">
        <v>491</v>
      </c>
      <c r="M206" s="57"/>
      <c r="N206" s="55">
        <v>6.4814814814814813E-3</v>
      </c>
      <c r="O206" s="57"/>
      <c r="P206" s="57"/>
      <c r="Q206" s="59">
        <f>IF(MIN(IF(ISBLANK(O206),N206,O206),IF(ISBLANK(N206),O206,N206))=0,"",MIN(IF(ISBLANK(O206),N206,O206),IF(ISBLANK(N206),O206,N206)))</f>
        <v>6.4814814814814813E-3</v>
      </c>
      <c r="R206" s="57"/>
      <c r="S206" s="57"/>
      <c r="T206" s="59">
        <f>IF(MIN(IF(ISBLANK(R206),Q206,R206),IF(ISBLANK(Q206),R206,Q206))=0,"",MIN(IF(ISBLANK(R206),Q206,R206),IF(ISBLANK(Q206),R206,Q206)))</f>
        <v>6.4814814814814813E-3</v>
      </c>
      <c r="U206" s="57"/>
      <c r="V206" s="57"/>
      <c r="W206" s="59">
        <f>IF(MIN(IF(ISBLANK(U206),T206,U206),IF(ISBLANK(T206),U206,T206))=0,"",MIN(IF(ISBLANK(U206),T206,U206),IF(ISBLANK(T206),U206,T206)))</f>
        <v>6.4814814814814813E-3</v>
      </c>
      <c r="X206" s="57"/>
      <c r="Y206" s="57"/>
      <c r="Z206" s="59">
        <f t="shared" si="76"/>
        <v>6.4814814814814813E-3</v>
      </c>
      <c r="AA206" s="57"/>
      <c r="AB206" s="57"/>
      <c r="AC206" s="59">
        <f t="shared" si="77"/>
        <v>6.4814814814814813E-3</v>
      </c>
      <c r="AD206" s="57"/>
      <c r="AE206" s="57"/>
      <c r="AF206" s="59">
        <f t="shared" si="69"/>
        <v>6.4814814814814813E-3</v>
      </c>
      <c r="AG206" s="57"/>
      <c r="AH206" s="57"/>
      <c r="AI206" s="59">
        <f t="shared" si="70"/>
        <v>6.4814814814814813E-3</v>
      </c>
      <c r="AJ206" s="57"/>
      <c r="AK206" s="57"/>
      <c r="AL206" s="59">
        <f t="shared" si="71"/>
        <v>6.4814814814814813E-3</v>
      </c>
      <c r="AM206" s="57"/>
      <c r="AN206" s="57"/>
      <c r="AO206" s="59">
        <f t="shared" si="72"/>
        <v>6.4814814814814813E-3</v>
      </c>
      <c r="AP206" s="57"/>
      <c r="AQ206" s="59">
        <f t="shared" si="82"/>
        <v>6.4814814814814813E-3</v>
      </c>
      <c r="AR206" s="57"/>
      <c r="AS206" s="57"/>
      <c r="AT206" s="59">
        <f t="shared" si="81"/>
        <v>6.4814814814814813E-3</v>
      </c>
    </row>
    <row r="207" spans="1:46">
      <c r="A207" s="24" t="s">
        <v>792</v>
      </c>
      <c r="B207" s="26" t="s">
        <v>628</v>
      </c>
      <c r="C207" s="26"/>
      <c r="D207" s="50"/>
      <c r="E207" s="51"/>
      <c r="F207" s="50"/>
      <c r="G207" s="52"/>
      <c r="H207" s="50"/>
      <c r="I207" s="53"/>
      <c r="J207" s="50"/>
      <c r="K207" s="53"/>
      <c r="L207" s="50"/>
      <c r="M207" s="57"/>
      <c r="N207" s="55"/>
      <c r="O207" s="57"/>
      <c r="P207" s="57"/>
      <c r="Q207" s="59"/>
      <c r="R207" s="57"/>
      <c r="S207" s="57"/>
      <c r="T207" s="59"/>
      <c r="U207" s="57"/>
      <c r="V207" s="57"/>
      <c r="W207" s="59"/>
      <c r="X207" s="57">
        <v>6.1921296296296299E-3</v>
      </c>
      <c r="Y207" s="57"/>
      <c r="Z207" s="59">
        <f t="shared" si="76"/>
        <v>6.1921296296296299E-3</v>
      </c>
      <c r="AA207" s="57"/>
      <c r="AB207" s="57"/>
      <c r="AC207" s="59">
        <f t="shared" si="77"/>
        <v>6.1921296296296299E-3</v>
      </c>
      <c r="AD207" s="57"/>
      <c r="AE207" s="57"/>
      <c r="AF207" s="59">
        <f t="shared" si="69"/>
        <v>6.1921296296296299E-3</v>
      </c>
      <c r="AG207" s="57"/>
      <c r="AH207" s="57"/>
      <c r="AI207" s="59">
        <f t="shared" si="70"/>
        <v>6.1921296296296299E-3</v>
      </c>
      <c r="AJ207" s="57"/>
      <c r="AK207" s="57"/>
      <c r="AL207" s="59">
        <f t="shared" si="71"/>
        <v>6.1921296296296299E-3</v>
      </c>
      <c r="AM207" s="57"/>
      <c r="AN207" s="57"/>
      <c r="AO207" s="59">
        <f t="shared" si="72"/>
        <v>6.1921296296296299E-3</v>
      </c>
      <c r="AP207" s="57"/>
      <c r="AQ207" s="59">
        <f t="shared" si="82"/>
        <v>6.1921296296296299E-3</v>
      </c>
      <c r="AR207" s="57"/>
      <c r="AS207" s="57"/>
      <c r="AT207" s="59">
        <f t="shared" si="81"/>
        <v>6.1921296296296299E-3</v>
      </c>
    </row>
    <row r="208" spans="1:46" hidden="1">
      <c r="A208" s="24"/>
      <c r="B208" s="26" t="s">
        <v>852</v>
      </c>
      <c r="C208" s="26"/>
      <c r="D208" s="50"/>
      <c r="E208" s="51"/>
      <c r="F208" s="50"/>
      <c r="G208" s="52"/>
      <c r="H208" s="50"/>
      <c r="I208" s="53"/>
      <c r="J208" s="50"/>
      <c r="K208" s="53"/>
      <c r="L208" s="50"/>
      <c r="M208" s="57"/>
      <c r="N208" s="55"/>
      <c r="O208" s="57"/>
      <c r="P208" s="57"/>
      <c r="Q208" s="59"/>
      <c r="R208" s="57"/>
      <c r="S208" s="57"/>
      <c r="T208" s="59"/>
      <c r="U208" s="57"/>
      <c r="V208" s="57"/>
      <c r="W208" s="59"/>
      <c r="X208" s="57"/>
      <c r="Y208" s="57"/>
      <c r="Z208" s="59"/>
      <c r="AA208" s="57"/>
      <c r="AB208" s="57"/>
      <c r="AC208" s="59"/>
      <c r="AD208" s="57"/>
      <c r="AE208" s="57"/>
      <c r="AF208" s="59"/>
      <c r="AG208" s="57"/>
      <c r="AH208" s="57"/>
      <c r="AI208" s="59"/>
      <c r="AJ208" s="57"/>
      <c r="AK208" s="57"/>
      <c r="AL208" s="59"/>
      <c r="AM208" s="57"/>
      <c r="AN208" s="57"/>
      <c r="AO208" s="59"/>
      <c r="AP208" s="57"/>
      <c r="AQ208" s="59" t="str">
        <f t="shared" si="82"/>
        <v/>
      </c>
      <c r="AR208" s="57"/>
      <c r="AS208" s="57"/>
      <c r="AT208" s="59" t="str">
        <f t="shared" si="81"/>
        <v/>
      </c>
    </row>
    <row r="209" spans="1:46" hidden="1">
      <c r="A209" s="24"/>
      <c r="B209" s="26" t="s">
        <v>212</v>
      </c>
      <c r="C209" s="26" t="s">
        <v>444</v>
      </c>
      <c r="D209" s="50">
        <v>12.02</v>
      </c>
      <c r="E209" s="51"/>
      <c r="F209" s="50">
        <v>12.02</v>
      </c>
      <c r="G209" s="52"/>
      <c r="H209" s="50">
        <v>12.02</v>
      </c>
      <c r="I209" s="53"/>
      <c r="J209" s="50">
        <v>12.02</v>
      </c>
      <c r="K209" s="53"/>
      <c r="L209" s="50">
        <v>12.02</v>
      </c>
      <c r="M209" s="57"/>
      <c r="N209" s="55">
        <v>8.3564814814814804E-3</v>
      </c>
      <c r="O209" s="57"/>
      <c r="P209" s="57"/>
      <c r="Q209" s="59">
        <f>IF(MIN(IF(ISBLANK(O209),N209,O209),IF(ISBLANK(N209),O209,N209))=0,"",MIN(IF(ISBLANK(O209),N209,O209),IF(ISBLANK(N209),O209,N209)))</f>
        <v>8.3564814814814804E-3</v>
      </c>
      <c r="R209" s="57"/>
      <c r="S209" s="57"/>
      <c r="T209" s="59">
        <f>IF(MIN(IF(ISBLANK(R209),Q209,R209),IF(ISBLANK(Q209),R209,Q209))=0,"",MIN(IF(ISBLANK(R209),Q209,R209),IF(ISBLANK(Q209),R209,Q209)))</f>
        <v>8.3564814814814804E-3</v>
      </c>
      <c r="U209" s="57"/>
      <c r="V209" s="57"/>
      <c r="W209" s="59">
        <f>IF(MIN(IF(ISBLANK(U209),T209,U209),IF(ISBLANK(T209),U209,T209))=0,"",MIN(IF(ISBLANK(U209),T209,U209),IF(ISBLANK(T209),U209,T209)))</f>
        <v>8.3564814814814804E-3</v>
      </c>
      <c r="X209" s="57"/>
      <c r="Y209" s="57"/>
      <c r="Z209" s="59">
        <f>IF(MIN(IF(ISBLANK(X209),W209,X209),IF(ISBLANK(W209),X209,W209))=0,"",MIN(IF(ISBLANK(X209),W209,X209),IF(ISBLANK(W209),X209,W209)))</f>
        <v>8.3564814814814804E-3</v>
      </c>
      <c r="AA209" s="57"/>
      <c r="AB209" s="57"/>
      <c r="AC209" s="59">
        <f>IF(MIN(IF(ISBLANK(Z209),AA209,Z209),IF(ISBLANK(AA209),Z209,AA209))=0,"",MIN(IF(ISBLANK(Z209),AA209,Z209),IF(ISBLANK(AA209),Z209,AA209)))</f>
        <v>8.3564814814814804E-3</v>
      </c>
      <c r="AD209" s="57"/>
      <c r="AE209" s="57"/>
      <c r="AF209" s="59">
        <f>IF(MIN(IF(ISBLANK(AC209),AD209,AC209),IF(ISBLANK(AD209),AC209,AD209))=0,"",MIN(IF(ISBLANK(AC209),AD209,AC209),IF(ISBLANK(AD209),AC209,AD209)))</f>
        <v>8.3564814814814804E-3</v>
      </c>
      <c r="AG209" s="57"/>
      <c r="AH209" s="57"/>
      <c r="AI209" s="59">
        <f>IF(MIN(IF(ISBLANK(AF209),AG209,AF209),IF(ISBLANK(AG209),AF209,AG209))=0,"",MIN(IF(ISBLANK(AF209),AG209,AF209),IF(ISBLANK(AG209),AF209,AG209)))</f>
        <v>8.3564814814814804E-3</v>
      </c>
      <c r="AJ209" s="57"/>
      <c r="AK209" s="57"/>
      <c r="AL209" s="59">
        <f>IF(MIN(IF(ISBLANK(AI209),AJ209,AI209),IF(ISBLANK(AJ209),AI209,AJ209))=0,"",MIN(IF(ISBLANK(AI209),AJ209,AI209),IF(ISBLANK(AJ209),AI209,AJ209)))</f>
        <v>8.3564814814814804E-3</v>
      </c>
      <c r="AM209" s="57"/>
      <c r="AN209" s="57"/>
      <c r="AO209" s="59">
        <f>IF(MIN(IF(ISBLANK(AL209),AM209,AL209),IF(ISBLANK(AM209),AL209,AM209))=0,"",MIN(IF(ISBLANK(AL209),AM209,AL209),IF(ISBLANK(AM209),AL209,AM209)))</f>
        <v>8.3564814814814804E-3</v>
      </c>
      <c r="AP209" s="57"/>
      <c r="AQ209" s="59">
        <f t="shared" si="82"/>
        <v>8.3564814814814804E-3</v>
      </c>
      <c r="AR209" s="57"/>
      <c r="AS209" s="57"/>
      <c r="AT209" s="59">
        <f t="shared" si="81"/>
        <v>8.3564814814814804E-3</v>
      </c>
    </row>
    <row r="210" spans="1:46">
      <c r="A210" s="24" t="s">
        <v>792</v>
      </c>
      <c r="B210" s="26" t="s">
        <v>773</v>
      </c>
      <c r="C210" s="26"/>
      <c r="D210" s="50"/>
      <c r="E210" s="51"/>
      <c r="F210" s="50"/>
      <c r="G210" s="52"/>
      <c r="H210" s="50"/>
      <c r="I210" s="53"/>
      <c r="J210" s="50"/>
      <c r="K210" s="53"/>
      <c r="L210" s="50"/>
      <c r="M210" s="57"/>
      <c r="N210" s="55"/>
      <c r="O210" s="57"/>
      <c r="P210" s="57"/>
      <c r="Q210" s="59"/>
      <c r="R210" s="57"/>
      <c r="S210" s="57"/>
      <c r="T210" s="59"/>
      <c r="U210" s="57"/>
      <c r="V210" s="57"/>
      <c r="W210" s="59"/>
      <c r="X210" s="57"/>
      <c r="Y210" s="57"/>
      <c r="Z210" s="59"/>
      <c r="AA210" s="57"/>
      <c r="AB210" s="57"/>
      <c r="AC210" s="59"/>
      <c r="AD210" s="57"/>
      <c r="AE210" s="57"/>
      <c r="AF210" s="59"/>
      <c r="AG210" s="57"/>
      <c r="AH210" s="57"/>
      <c r="AI210" s="59"/>
      <c r="AJ210" s="57"/>
      <c r="AK210" s="57"/>
      <c r="AL210" s="59" t="str">
        <f>IF(MIN(IF(ISBLANK(AI210),AJ210,AI210),IF(ISBLANK(AJ210),AI210,AJ210))=0,"",MIN(IF(ISBLANK(AI210),AJ210,AI210),IF(ISBLANK(AJ210),AI210,AJ210)))</f>
        <v/>
      </c>
      <c r="AM210" s="57"/>
      <c r="AN210" s="57"/>
      <c r="AO210" s="59" t="str">
        <f>IF(MIN(IF(ISBLANK(AL210),AM210,AL210),IF(ISBLANK(AM210),AL210,AM210))=0,"",MIN(IF(ISBLANK(AL210),AM210,AL210),IF(ISBLANK(AM210),AL210,AM210)))</f>
        <v/>
      </c>
      <c r="AP210" s="57"/>
      <c r="AQ210" s="59" t="str">
        <f t="shared" si="82"/>
        <v/>
      </c>
      <c r="AR210" s="57"/>
      <c r="AS210" s="57"/>
      <c r="AT210" s="59" t="str">
        <f t="shared" si="81"/>
        <v/>
      </c>
    </row>
    <row r="211" spans="1:46">
      <c r="A211" s="24" t="s">
        <v>792</v>
      </c>
      <c r="B211" s="26" t="s">
        <v>855</v>
      </c>
      <c r="C211" s="26"/>
      <c r="D211" s="50"/>
      <c r="E211" s="51"/>
      <c r="F211" s="50"/>
      <c r="G211" s="52"/>
      <c r="H211" s="50"/>
      <c r="I211" s="53"/>
      <c r="J211" s="50"/>
      <c r="K211" s="53"/>
      <c r="L211" s="50"/>
      <c r="M211" s="57"/>
      <c r="N211" s="55"/>
      <c r="O211" s="57"/>
      <c r="P211" s="57"/>
      <c r="Q211" s="59"/>
      <c r="R211" s="57"/>
      <c r="S211" s="57"/>
      <c r="T211" s="59"/>
      <c r="U211" s="57"/>
      <c r="V211" s="57"/>
      <c r="W211" s="59"/>
      <c r="X211" s="57"/>
      <c r="Y211" s="57"/>
      <c r="Z211" s="59"/>
      <c r="AA211" s="57"/>
      <c r="AB211" s="57"/>
      <c r="AC211" s="59"/>
      <c r="AD211" s="57"/>
      <c r="AE211" s="57"/>
      <c r="AF211" s="59"/>
      <c r="AG211" s="57"/>
      <c r="AH211" s="57"/>
      <c r="AI211" s="59"/>
      <c r="AJ211" s="57"/>
      <c r="AK211" s="57"/>
      <c r="AL211" s="59"/>
      <c r="AM211" s="57"/>
      <c r="AN211" s="57"/>
      <c r="AO211" s="59"/>
      <c r="AP211" s="57">
        <v>6.1805555555555563E-3</v>
      </c>
      <c r="AQ211" s="59">
        <f t="shared" si="82"/>
        <v>6.1805555555555563E-3</v>
      </c>
      <c r="AR211" s="57"/>
      <c r="AS211" s="57"/>
      <c r="AT211" s="59">
        <f t="shared" si="81"/>
        <v>6.1805555555555563E-3</v>
      </c>
    </row>
    <row r="212" spans="1:46" hidden="1">
      <c r="A212" s="24"/>
      <c r="B212" s="26" t="s">
        <v>386</v>
      </c>
      <c r="C212" s="26" t="s">
        <v>443</v>
      </c>
      <c r="D212" s="50"/>
      <c r="E212" s="51"/>
      <c r="F212" s="50"/>
      <c r="G212" s="52"/>
      <c r="H212" s="50"/>
      <c r="I212" s="53"/>
      <c r="J212" s="50" t="s">
        <v>448</v>
      </c>
      <c r="K212" s="53"/>
      <c r="L212" s="50"/>
      <c r="M212" s="57"/>
      <c r="N212" s="55" t="s">
        <v>448</v>
      </c>
      <c r="O212" s="57"/>
      <c r="P212" s="57"/>
      <c r="Q212" s="59" t="str">
        <f t="shared" ref="Q212:Q217" si="83">IF(MIN(IF(ISBLANK(O212),N212,O212),IF(ISBLANK(N212),O212,N212))=0,"",MIN(IF(ISBLANK(O212),N212,O212),IF(ISBLANK(N212),O212,N212)))</f>
        <v/>
      </c>
      <c r="R212" s="57"/>
      <c r="S212" s="57"/>
      <c r="T212" s="59" t="str">
        <f t="shared" ref="T212:T217" si="84">IF(MIN(IF(ISBLANK(R212),Q212,R212),IF(ISBLANK(Q212),R212,Q212))=0,"",MIN(IF(ISBLANK(R212),Q212,R212),IF(ISBLANK(Q212),R212,Q212)))</f>
        <v/>
      </c>
      <c r="U212" s="57"/>
      <c r="V212" s="57"/>
      <c r="W212" s="59" t="str">
        <f t="shared" ref="W212:W217" si="85">IF(MIN(IF(ISBLANK(U212),T212,U212),IF(ISBLANK(T212),U212,T212))=0,"",MIN(IF(ISBLANK(U212),T212,U212),IF(ISBLANK(T212),U212,T212)))</f>
        <v/>
      </c>
      <c r="X212" s="57"/>
      <c r="Y212" s="57"/>
      <c r="Z212" s="59" t="str">
        <f t="shared" ref="Z212:Z222" si="86">IF(MIN(IF(ISBLANK(X212),W212,X212),IF(ISBLANK(W212),X212,W212))=0,"",MIN(IF(ISBLANK(X212),W212,X212),IF(ISBLANK(W212),X212,W212)))</f>
        <v/>
      </c>
      <c r="AA212" s="57"/>
      <c r="AB212" s="57"/>
      <c r="AC212" s="59" t="str">
        <f t="shared" ref="AC212:AC222" si="87">IF(MIN(IF(ISBLANK(Z212),AA212,Z212),IF(ISBLANK(AA212),Z212,AA212))=0,"",MIN(IF(ISBLANK(Z212),AA212,Z212),IF(ISBLANK(AA212),Z212,AA212)))</f>
        <v/>
      </c>
      <c r="AD212" s="57"/>
      <c r="AE212" s="57"/>
      <c r="AF212" s="59" t="str">
        <f t="shared" ref="AF212:AF222" si="88">IF(MIN(IF(ISBLANK(AC212),AD212,AC212),IF(ISBLANK(AD212),AC212,AD212))=0,"",MIN(IF(ISBLANK(AC212),AD212,AC212),IF(ISBLANK(AD212),AC212,AD212)))</f>
        <v/>
      </c>
      <c r="AG212" s="57"/>
      <c r="AH212" s="57"/>
      <c r="AI212" s="59" t="str">
        <f t="shared" ref="AI212:AI222" si="89">IF(MIN(IF(ISBLANK(AF212),AG212,AF212),IF(ISBLANK(AG212),AF212,AG212))=0,"",MIN(IF(ISBLANK(AF212),AG212,AF212),IF(ISBLANK(AG212),AF212,AG212)))</f>
        <v/>
      </c>
      <c r="AJ212" s="57"/>
      <c r="AK212" s="57"/>
      <c r="AL212" s="59" t="str">
        <f t="shared" ref="AL212:AL232" si="90">IF(MIN(IF(ISBLANK(AI212),AJ212,AI212),IF(ISBLANK(AJ212),AI212,AJ212))=0,"",MIN(IF(ISBLANK(AI212),AJ212,AI212),IF(ISBLANK(AJ212),AI212,AJ212)))</f>
        <v/>
      </c>
      <c r="AM212" s="57"/>
      <c r="AN212" s="57"/>
      <c r="AO212" s="59" t="str">
        <f t="shared" ref="AO212:AO232" si="91">IF(MIN(IF(ISBLANK(AL212),AM212,AL212),IF(ISBLANK(AM212),AL212,AM212))=0,"",MIN(IF(ISBLANK(AL212),AM212,AL212),IF(ISBLANK(AM212),AL212,AM212)))</f>
        <v/>
      </c>
      <c r="AP212" s="57"/>
      <c r="AQ212" s="59" t="str">
        <f t="shared" si="82"/>
        <v/>
      </c>
      <c r="AR212" s="57"/>
      <c r="AS212" s="57"/>
      <c r="AT212" s="59" t="str">
        <f t="shared" si="81"/>
        <v/>
      </c>
    </row>
    <row r="213" spans="1:46" hidden="1">
      <c r="A213" s="24"/>
      <c r="B213" s="26" t="s">
        <v>518</v>
      </c>
      <c r="C213" s="26"/>
      <c r="D213" s="50"/>
      <c r="E213" s="51"/>
      <c r="F213" s="50"/>
      <c r="G213" s="52"/>
      <c r="H213" s="50"/>
      <c r="I213" s="53"/>
      <c r="J213" s="50"/>
      <c r="K213" s="53"/>
      <c r="L213" s="50"/>
      <c r="M213" s="57">
        <v>5.8912037037037032E-3</v>
      </c>
      <c r="N213" s="55">
        <v>5.8912037037037032E-3</v>
      </c>
      <c r="O213" s="57">
        <v>5.5555555555555558E-3</v>
      </c>
      <c r="P213" s="57"/>
      <c r="Q213" s="59">
        <f t="shared" si="83"/>
        <v>5.5555555555555558E-3</v>
      </c>
      <c r="R213" s="57"/>
      <c r="S213" s="57"/>
      <c r="T213" s="59">
        <f t="shared" si="84"/>
        <v>5.5555555555555558E-3</v>
      </c>
      <c r="U213" s="57"/>
      <c r="V213" s="57"/>
      <c r="W213" s="59">
        <f t="shared" si="85"/>
        <v>5.5555555555555558E-3</v>
      </c>
      <c r="X213" s="57"/>
      <c r="Y213" s="57"/>
      <c r="Z213" s="59">
        <f t="shared" si="86"/>
        <v>5.5555555555555558E-3</v>
      </c>
      <c r="AA213" s="57"/>
      <c r="AB213" s="57"/>
      <c r="AC213" s="59">
        <f t="shared" si="87"/>
        <v>5.5555555555555558E-3</v>
      </c>
      <c r="AD213" s="57"/>
      <c r="AE213" s="57"/>
      <c r="AF213" s="59">
        <f t="shared" si="88"/>
        <v>5.5555555555555558E-3</v>
      </c>
      <c r="AG213" s="57"/>
      <c r="AH213" s="57"/>
      <c r="AI213" s="59">
        <f t="shared" si="89"/>
        <v>5.5555555555555558E-3</v>
      </c>
      <c r="AJ213" s="57"/>
      <c r="AK213" s="57"/>
      <c r="AL213" s="59">
        <f t="shared" si="90"/>
        <v>5.5555555555555558E-3</v>
      </c>
      <c r="AM213" s="57"/>
      <c r="AN213" s="57"/>
      <c r="AO213" s="59">
        <f t="shared" si="91"/>
        <v>5.5555555555555558E-3</v>
      </c>
      <c r="AP213" s="57"/>
      <c r="AQ213" s="59">
        <f t="shared" si="82"/>
        <v>5.5555555555555558E-3</v>
      </c>
      <c r="AR213" s="57"/>
      <c r="AS213" s="57"/>
      <c r="AT213" s="59">
        <f t="shared" si="81"/>
        <v>5.5555555555555558E-3</v>
      </c>
    </row>
    <row r="214" spans="1:46">
      <c r="A214" s="24" t="s">
        <v>792</v>
      </c>
      <c r="B214" s="26" t="s">
        <v>387</v>
      </c>
      <c r="C214" s="26" t="s">
        <v>444</v>
      </c>
      <c r="D214" s="50"/>
      <c r="E214" s="51"/>
      <c r="F214" s="50"/>
      <c r="G214" s="52"/>
      <c r="H214" s="50"/>
      <c r="I214" s="53">
        <v>6.51</v>
      </c>
      <c r="J214" s="50">
        <v>6.51</v>
      </c>
      <c r="K214" s="53"/>
      <c r="L214" s="50">
        <v>6.51</v>
      </c>
      <c r="M214" s="57"/>
      <c r="N214" s="55">
        <v>4.7569444444444447E-3</v>
      </c>
      <c r="O214" s="57"/>
      <c r="P214" s="57"/>
      <c r="Q214" s="59">
        <f t="shared" si="83"/>
        <v>4.7569444444444447E-3</v>
      </c>
      <c r="R214" s="57">
        <v>4.9074074074074072E-3</v>
      </c>
      <c r="S214" s="57"/>
      <c r="T214" s="59">
        <f t="shared" si="84"/>
        <v>4.7569444444444447E-3</v>
      </c>
      <c r="U214" s="57"/>
      <c r="V214" s="57"/>
      <c r="W214" s="59">
        <f t="shared" si="85"/>
        <v>4.7569444444444447E-3</v>
      </c>
      <c r="X214" s="57"/>
      <c r="Y214" s="57"/>
      <c r="Z214" s="59">
        <f t="shared" si="86"/>
        <v>4.7569444444444447E-3</v>
      </c>
      <c r="AA214" s="57"/>
      <c r="AB214" s="57"/>
      <c r="AC214" s="59">
        <f t="shared" si="87"/>
        <v>4.7569444444444447E-3</v>
      </c>
      <c r="AD214" s="57">
        <v>4.7685185185185183E-3</v>
      </c>
      <c r="AE214" s="57"/>
      <c r="AF214" s="59">
        <f t="shared" si="88"/>
        <v>4.7569444444444447E-3</v>
      </c>
      <c r="AG214" s="57"/>
      <c r="AH214" s="57"/>
      <c r="AI214" s="59">
        <f t="shared" si="89"/>
        <v>4.7569444444444447E-3</v>
      </c>
      <c r="AJ214" s="57"/>
      <c r="AK214" s="57"/>
      <c r="AL214" s="59">
        <f t="shared" si="90"/>
        <v>4.7569444444444447E-3</v>
      </c>
      <c r="AM214" s="57"/>
      <c r="AN214" s="57"/>
      <c r="AO214" s="59">
        <f t="shared" si="91"/>
        <v>4.7569444444444447E-3</v>
      </c>
      <c r="AP214" s="57">
        <v>4.7685185185185183E-3</v>
      </c>
      <c r="AQ214" s="59">
        <f t="shared" si="82"/>
        <v>4.7569444444444447E-3</v>
      </c>
      <c r="AR214" s="57"/>
      <c r="AS214" s="57"/>
      <c r="AT214" s="59">
        <f t="shared" si="81"/>
        <v>4.7569444444444447E-3</v>
      </c>
    </row>
    <row r="215" spans="1:46" hidden="1">
      <c r="A215" s="24"/>
      <c r="B215" s="26" t="s">
        <v>215</v>
      </c>
      <c r="C215" s="26" t="s">
        <v>444</v>
      </c>
      <c r="D215" s="50"/>
      <c r="E215" s="51"/>
      <c r="F215" s="50" t="s">
        <v>448</v>
      </c>
      <c r="G215" s="52"/>
      <c r="H215" s="50"/>
      <c r="I215" s="53"/>
      <c r="J215" s="50" t="s">
        <v>448</v>
      </c>
      <c r="K215" s="53">
        <v>7.38</v>
      </c>
      <c r="L215" s="50">
        <v>7.38</v>
      </c>
      <c r="M215" s="57"/>
      <c r="N215" s="55">
        <v>5.3009259259259251E-3</v>
      </c>
      <c r="O215" s="57"/>
      <c r="P215" s="57"/>
      <c r="Q215" s="59">
        <f t="shared" si="83"/>
        <v>5.3009259259259251E-3</v>
      </c>
      <c r="R215" s="57"/>
      <c r="S215" s="57"/>
      <c r="T215" s="59">
        <f t="shared" si="84"/>
        <v>5.3009259259259251E-3</v>
      </c>
      <c r="U215" s="57"/>
      <c r="V215" s="57"/>
      <c r="W215" s="59">
        <f t="shared" si="85"/>
        <v>5.3009259259259251E-3</v>
      </c>
      <c r="X215" s="57"/>
      <c r="Y215" s="57"/>
      <c r="Z215" s="59">
        <f t="shared" si="86"/>
        <v>5.3009259259259251E-3</v>
      </c>
      <c r="AA215" s="57"/>
      <c r="AB215" s="57"/>
      <c r="AC215" s="59">
        <f t="shared" si="87"/>
        <v>5.3009259259259251E-3</v>
      </c>
      <c r="AD215" s="57"/>
      <c r="AE215" s="57"/>
      <c r="AF215" s="59">
        <f t="shared" si="88"/>
        <v>5.3009259259259251E-3</v>
      </c>
      <c r="AG215" s="57"/>
      <c r="AH215" s="57"/>
      <c r="AI215" s="59">
        <f t="shared" si="89"/>
        <v>5.3009259259259251E-3</v>
      </c>
      <c r="AJ215" s="57"/>
      <c r="AK215" s="57"/>
      <c r="AL215" s="59">
        <f t="shared" si="90"/>
        <v>5.3009259259259251E-3</v>
      </c>
      <c r="AM215" s="57"/>
      <c r="AN215" s="57"/>
      <c r="AO215" s="59">
        <f t="shared" si="91"/>
        <v>5.3009259259259251E-3</v>
      </c>
      <c r="AP215" s="57"/>
      <c r="AQ215" s="59">
        <f t="shared" si="82"/>
        <v>5.3009259259259251E-3</v>
      </c>
      <c r="AR215" s="57"/>
      <c r="AS215" s="57"/>
      <c r="AT215" s="59">
        <f t="shared" si="81"/>
        <v>5.3009259259259251E-3</v>
      </c>
    </row>
    <row r="216" spans="1:46" hidden="1">
      <c r="A216" s="24"/>
      <c r="B216" s="26" t="s">
        <v>3</v>
      </c>
      <c r="C216" s="26" t="s">
        <v>444</v>
      </c>
      <c r="D216" s="50">
        <v>9.25</v>
      </c>
      <c r="E216" s="51"/>
      <c r="F216" s="50">
        <v>9.25</v>
      </c>
      <c r="G216" s="52"/>
      <c r="H216" s="50">
        <v>9.25</v>
      </c>
      <c r="I216" s="53"/>
      <c r="J216" s="50">
        <v>9.25</v>
      </c>
      <c r="K216" s="53"/>
      <c r="L216" s="50">
        <v>9.25</v>
      </c>
      <c r="M216" s="57"/>
      <c r="N216" s="55">
        <v>6.5393518518518517E-3</v>
      </c>
      <c r="O216" s="57"/>
      <c r="P216" s="57"/>
      <c r="Q216" s="59">
        <f t="shared" si="83"/>
        <v>6.5393518518518517E-3</v>
      </c>
      <c r="R216" s="57"/>
      <c r="S216" s="57"/>
      <c r="T216" s="59">
        <f t="shared" si="84"/>
        <v>6.5393518518518517E-3</v>
      </c>
      <c r="U216" s="57"/>
      <c r="V216" s="57"/>
      <c r="W216" s="59">
        <f t="shared" si="85"/>
        <v>6.5393518518518517E-3</v>
      </c>
      <c r="X216" s="57"/>
      <c r="Y216" s="57"/>
      <c r="Z216" s="59">
        <f t="shared" si="86"/>
        <v>6.5393518518518517E-3</v>
      </c>
      <c r="AA216" s="57"/>
      <c r="AB216" s="57"/>
      <c r="AC216" s="59">
        <f t="shared" si="87"/>
        <v>6.5393518518518517E-3</v>
      </c>
      <c r="AD216" s="57"/>
      <c r="AE216" s="57"/>
      <c r="AF216" s="59">
        <f t="shared" si="88"/>
        <v>6.5393518518518517E-3</v>
      </c>
      <c r="AG216" s="57"/>
      <c r="AH216" s="57"/>
      <c r="AI216" s="59">
        <f t="shared" si="89"/>
        <v>6.5393518518518517E-3</v>
      </c>
      <c r="AJ216" s="57"/>
      <c r="AK216" s="57"/>
      <c r="AL216" s="59">
        <f t="shared" si="90"/>
        <v>6.5393518518518517E-3</v>
      </c>
      <c r="AM216" s="57"/>
      <c r="AN216" s="57"/>
      <c r="AO216" s="59">
        <f t="shared" si="91"/>
        <v>6.5393518518518517E-3</v>
      </c>
      <c r="AP216" s="57"/>
      <c r="AQ216" s="59">
        <f t="shared" si="82"/>
        <v>6.5393518518518517E-3</v>
      </c>
      <c r="AR216" s="57"/>
      <c r="AS216" s="57"/>
      <c r="AT216" s="59">
        <f t="shared" si="81"/>
        <v>6.5393518518518517E-3</v>
      </c>
    </row>
    <row r="217" spans="1:46">
      <c r="A217" s="24" t="s">
        <v>792</v>
      </c>
      <c r="B217" s="26" t="s">
        <v>431</v>
      </c>
      <c r="C217" s="26" t="s">
        <v>444</v>
      </c>
      <c r="D217" s="50"/>
      <c r="E217" s="51"/>
      <c r="F217" s="50"/>
      <c r="G217" s="52"/>
      <c r="H217" s="50"/>
      <c r="I217" s="53"/>
      <c r="J217" s="50" t="s">
        <v>448</v>
      </c>
      <c r="K217" s="53">
        <v>8.25</v>
      </c>
      <c r="L217" s="50">
        <v>8.25</v>
      </c>
      <c r="M217" s="57">
        <v>6.076388888888889E-3</v>
      </c>
      <c r="N217" s="55">
        <v>5.8449074074074072E-3</v>
      </c>
      <c r="O217" s="57"/>
      <c r="P217" s="57"/>
      <c r="Q217" s="59">
        <f t="shared" si="83"/>
        <v>5.8449074074074072E-3</v>
      </c>
      <c r="R217" s="57"/>
      <c r="S217" s="57"/>
      <c r="T217" s="59">
        <f t="shared" si="84"/>
        <v>5.8449074074074072E-3</v>
      </c>
      <c r="U217" s="57"/>
      <c r="V217" s="57"/>
      <c r="W217" s="59">
        <f t="shared" si="85"/>
        <v>5.8449074074074072E-3</v>
      </c>
      <c r="X217" s="57"/>
      <c r="Y217" s="57"/>
      <c r="Z217" s="59">
        <f t="shared" si="86"/>
        <v>5.8449074074074072E-3</v>
      </c>
      <c r="AA217" s="57"/>
      <c r="AB217" s="57"/>
      <c r="AC217" s="59">
        <f t="shared" si="87"/>
        <v>5.8449074074074072E-3</v>
      </c>
      <c r="AD217" s="57"/>
      <c r="AE217" s="57"/>
      <c r="AF217" s="59">
        <f t="shared" si="88"/>
        <v>5.8449074074074072E-3</v>
      </c>
      <c r="AG217" s="57"/>
      <c r="AH217" s="57"/>
      <c r="AI217" s="59">
        <f t="shared" si="89"/>
        <v>5.8449074074074072E-3</v>
      </c>
      <c r="AJ217" s="57"/>
      <c r="AK217" s="57"/>
      <c r="AL217" s="59">
        <f t="shared" si="90"/>
        <v>5.8449074074074072E-3</v>
      </c>
      <c r="AM217" s="57"/>
      <c r="AN217" s="57"/>
      <c r="AO217" s="59">
        <f t="shared" si="91"/>
        <v>5.8449074074074072E-3</v>
      </c>
      <c r="AP217" s="57"/>
      <c r="AQ217" s="59">
        <f t="shared" si="82"/>
        <v>5.8449074074074072E-3</v>
      </c>
      <c r="AR217" s="57"/>
      <c r="AS217" s="57"/>
      <c r="AT217" s="59">
        <f t="shared" si="81"/>
        <v>5.8449074074074072E-3</v>
      </c>
    </row>
    <row r="218" spans="1:46">
      <c r="A218" s="24" t="s">
        <v>792</v>
      </c>
      <c r="B218" s="26" t="s">
        <v>629</v>
      </c>
      <c r="C218" s="26"/>
      <c r="D218" s="50"/>
      <c r="E218" s="51"/>
      <c r="F218" s="50"/>
      <c r="G218" s="52"/>
      <c r="H218" s="50"/>
      <c r="I218" s="53"/>
      <c r="J218" s="50"/>
      <c r="K218" s="53"/>
      <c r="L218" s="50"/>
      <c r="M218" s="57"/>
      <c r="N218" s="55"/>
      <c r="O218" s="57"/>
      <c r="P218" s="57"/>
      <c r="Q218" s="59"/>
      <c r="R218" s="57"/>
      <c r="S218" s="57"/>
      <c r="T218" s="59"/>
      <c r="U218" s="57"/>
      <c r="V218" s="57"/>
      <c r="W218" s="59"/>
      <c r="X218" s="57">
        <v>5.8333333333333336E-3</v>
      </c>
      <c r="Y218" s="57"/>
      <c r="Z218" s="59">
        <f t="shared" si="86"/>
        <v>5.8333333333333336E-3</v>
      </c>
      <c r="AA218" s="57"/>
      <c r="AB218" s="57"/>
      <c r="AC218" s="59">
        <f t="shared" si="87"/>
        <v>5.8333333333333336E-3</v>
      </c>
      <c r="AD218" s="57"/>
      <c r="AE218" s="57"/>
      <c r="AF218" s="59">
        <f t="shared" si="88"/>
        <v>5.8333333333333336E-3</v>
      </c>
      <c r="AG218" s="57"/>
      <c r="AH218" s="57"/>
      <c r="AI218" s="59">
        <f t="shared" si="89"/>
        <v>5.8333333333333336E-3</v>
      </c>
      <c r="AJ218" s="57"/>
      <c r="AK218" s="57"/>
      <c r="AL218" s="59">
        <f t="shared" si="90"/>
        <v>5.8333333333333336E-3</v>
      </c>
      <c r="AM218" s="57"/>
      <c r="AN218" s="57"/>
      <c r="AO218" s="59">
        <f t="shared" si="91"/>
        <v>5.8333333333333336E-3</v>
      </c>
      <c r="AP218" s="57"/>
      <c r="AQ218" s="59">
        <f t="shared" si="82"/>
        <v>5.8333333333333336E-3</v>
      </c>
      <c r="AR218" s="57"/>
      <c r="AS218" s="57"/>
      <c r="AT218" s="59">
        <f t="shared" si="81"/>
        <v>5.8333333333333336E-3</v>
      </c>
    </row>
    <row r="219" spans="1:46" hidden="1">
      <c r="A219" s="24"/>
      <c r="B219" s="26" t="s">
        <v>8</v>
      </c>
      <c r="C219" s="26" t="s">
        <v>444</v>
      </c>
      <c r="D219" s="50"/>
      <c r="E219" s="51"/>
      <c r="F219" s="50" t="s">
        <v>448</v>
      </c>
      <c r="G219" s="52"/>
      <c r="H219" s="50"/>
      <c r="I219" s="53"/>
      <c r="J219" s="50" t="s">
        <v>448</v>
      </c>
      <c r="K219" s="53"/>
      <c r="L219" s="50"/>
      <c r="M219" s="57"/>
      <c r="N219" s="55" t="s">
        <v>448</v>
      </c>
      <c r="O219" s="57"/>
      <c r="P219" s="57"/>
      <c r="Q219" s="59" t="str">
        <f>IF(MIN(IF(ISBLANK(O219),N219,O219),IF(ISBLANK(N219),O219,N219))=0,"",MIN(IF(ISBLANK(O219),N219,O219),IF(ISBLANK(N219),O219,N219)))</f>
        <v/>
      </c>
      <c r="R219" s="57"/>
      <c r="S219" s="57"/>
      <c r="T219" s="59" t="str">
        <f>IF(MIN(IF(ISBLANK(R219),Q219,R219),IF(ISBLANK(Q219),R219,Q219))=0,"",MIN(IF(ISBLANK(R219),Q219,R219),IF(ISBLANK(Q219),R219,Q219)))</f>
        <v/>
      </c>
      <c r="U219" s="57"/>
      <c r="V219" s="57"/>
      <c r="W219" s="59" t="str">
        <f>IF(MIN(IF(ISBLANK(U219),T219,U219),IF(ISBLANK(T219),U219,T219))=0,"",MIN(IF(ISBLANK(U219),T219,U219),IF(ISBLANK(T219),U219,T219)))</f>
        <v/>
      </c>
      <c r="X219" s="57"/>
      <c r="Y219" s="57"/>
      <c r="Z219" s="59" t="str">
        <f t="shared" si="86"/>
        <v/>
      </c>
      <c r="AA219" s="57"/>
      <c r="AB219" s="57"/>
      <c r="AC219" s="59" t="str">
        <f t="shared" si="87"/>
        <v/>
      </c>
      <c r="AD219" s="57"/>
      <c r="AE219" s="57"/>
      <c r="AF219" s="59" t="str">
        <f t="shared" si="88"/>
        <v/>
      </c>
      <c r="AG219" s="57"/>
      <c r="AH219" s="57"/>
      <c r="AI219" s="59" t="str">
        <f t="shared" si="89"/>
        <v/>
      </c>
      <c r="AJ219" s="57"/>
      <c r="AK219" s="57"/>
      <c r="AL219" s="59" t="str">
        <f t="shared" si="90"/>
        <v/>
      </c>
      <c r="AM219" s="57"/>
      <c r="AN219" s="57"/>
      <c r="AO219" s="59" t="str">
        <f t="shared" si="91"/>
        <v/>
      </c>
      <c r="AP219" s="57"/>
      <c r="AQ219" s="59" t="str">
        <f t="shared" si="82"/>
        <v/>
      </c>
      <c r="AR219" s="57"/>
      <c r="AS219" s="57"/>
      <c r="AT219" s="59" t="str">
        <f t="shared" si="81"/>
        <v/>
      </c>
    </row>
    <row r="220" spans="1:46" hidden="1">
      <c r="A220" s="24"/>
      <c r="B220" s="26" t="s">
        <v>630</v>
      </c>
      <c r="C220" s="26"/>
      <c r="D220" s="50"/>
      <c r="E220" s="51"/>
      <c r="F220" s="50"/>
      <c r="G220" s="52"/>
      <c r="H220" s="50"/>
      <c r="I220" s="53"/>
      <c r="J220" s="50"/>
      <c r="K220" s="53"/>
      <c r="L220" s="50"/>
      <c r="M220" s="57"/>
      <c r="N220" s="55"/>
      <c r="O220" s="57"/>
      <c r="P220" s="57"/>
      <c r="Q220" s="59"/>
      <c r="R220" s="57"/>
      <c r="S220" s="57"/>
      <c r="T220" s="59"/>
      <c r="U220" s="57"/>
      <c r="V220" s="57"/>
      <c r="W220" s="59"/>
      <c r="X220" s="57">
        <v>5.5324074074074069E-3</v>
      </c>
      <c r="Y220" s="57"/>
      <c r="Z220" s="59">
        <f t="shared" si="86"/>
        <v>5.5324074074074069E-3</v>
      </c>
      <c r="AA220" s="57"/>
      <c r="AB220" s="57"/>
      <c r="AC220" s="59">
        <f t="shared" si="87"/>
        <v>5.5324074074074069E-3</v>
      </c>
      <c r="AD220" s="57"/>
      <c r="AE220" s="57"/>
      <c r="AF220" s="59">
        <f t="shared" si="88"/>
        <v>5.5324074074074069E-3</v>
      </c>
      <c r="AG220" s="57"/>
      <c r="AH220" s="57"/>
      <c r="AI220" s="59">
        <f t="shared" si="89"/>
        <v>5.5324074074074069E-3</v>
      </c>
      <c r="AJ220" s="57"/>
      <c r="AK220" s="57"/>
      <c r="AL220" s="59">
        <f t="shared" si="90"/>
        <v>5.5324074074074069E-3</v>
      </c>
      <c r="AM220" s="57"/>
      <c r="AN220" s="57"/>
      <c r="AO220" s="59">
        <f t="shared" si="91"/>
        <v>5.5324074074074069E-3</v>
      </c>
      <c r="AP220" s="57"/>
      <c r="AQ220" s="59">
        <f t="shared" si="82"/>
        <v>5.5324074074074069E-3</v>
      </c>
      <c r="AR220" s="57"/>
      <c r="AS220" s="57"/>
      <c r="AT220" s="59">
        <f t="shared" si="81"/>
        <v>5.5324074074074069E-3</v>
      </c>
    </row>
    <row r="221" spans="1:46" hidden="1">
      <c r="A221" s="24"/>
      <c r="B221" s="26" t="s">
        <v>389</v>
      </c>
      <c r="C221" s="26" t="s">
        <v>444</v>
      </c>
      <c r="D221" s="50"/>
      <c r="E221" s="51"/>
      <c r="F221" s="50"/>
      <c r="G221" s="52"/>
      <c r="H221" s="50"/>
      <c r="I221" s="53">
        <v>8.32</v>
      </c>
      <c r="J221" s="50">
        <v>8.32</v>
      </c>
      <c r="K221" s="53"/>
      <c r="L221" s="50">
        <v>8.32</v>
      </c>
      <c r="M221" s="57"/>
      <c r="N221" s="55">
        <v>5.9259259259259256E-3</v>
      </c>
      <c r="O221" s="57"/>
      <c r="P221" s="57"/>
      <c r="Q221" s="59">
        <f>IF(MIN(IF(ISBLANK(O221),N221,O221),IF(ISBLANK(N221),O221,N221))=0,"",MIN(IF(ISBLANK(O221),N221,O221),IF(ISBLANK(N221),O221,N221)))</f>
        <v>5.9259259259259256E-3</v>
      </c>
      <c r="R221" s="57"/>
      <c r="S221" s="57"/>
      <c r="T221" s="59">
        <f>IF(MIN(IF(ISBLANK(R221),Q221,R221),IF(ISBLANK(Q221),R221,Q221))=0,"",MIN(IF(ISBLANK(R221),Q221,R221),IF(ISBLANK(Q221),R221,Q221)))</f>
        <v>5.9259259259259256E-3</v>
      </c>
      <c r="U221" s="57"/>
      <c r="V221" s="57"/>
      <c r="W221" s="59">
        <f>IF(MIN(IF(ISBLANK(U221),T221,U221),IF(ISBLANK(T221),U221,T221))=0,"",MIN(IF(ISBLANK(U221),T221,U221),IF(ISBLANK(T221),U221,T221)))</f>
        <v>5.9259259259259256E-3</v>
      </c>
      <c r="X221" s="57"/>
      <c r="Y221" s="57"/>
      <c r="Z221" s="59">
        <f t="shared" si="86"/>
        <v>5.9259259259259256E-3</v>
      </c>
      <c r="AA221" s="57"/>
      <c r="AB221" s="57"/>
      <c r="AC221" s="59">
        <f t="shared" si="87"/>
        <v>5.9259259259259256E-3</v>
      </c>
      <c r="AD221" s="57"/>
      <c r="AE221" s="57"/>
      <c r="AF221" s="59">
        <f t="shared" si="88"/>
        <v>5.9259259259259256E-3</v>
      </c>
      <c r="AG221" s="57"/>
      <c r="AH221" s="57"/>
      <c r="AI221" s="59">
        <f t="shared" si="89"/>
        <v>5.9259259259259256E-3</v>
      </c>
      <c r="AJ221" s="57"/>
      <c r="AK221" s="57"/>
      <c r="AL221" s="59">
        <f t="shared" si="90"/>
        <v>5.9259259259259256E-3</v>
      </c>
      <c r="AM221" s="57"/>
      <c r="AN221" s="57"/>
      <c r="AO221" s="59">
        <f t="shared" si="91"/>
        <v>5.9259259259259256E-3</v>
      </c>
      <c r="AP221" s="57"/>
      <c r="AQ221" s="59">
        <f t="shared" si="82"/>
        <v>5.9259259259259256E-3</v>
      </c>
      <c r="AR221" s="57"/>
      <c r="AS221" s="57"/>
      <c r="AT221" s="59">
        <f t="shared" si="81"/>
        <v>5.9259259259259256E-3</v>
      </c>
    </row>
    <row r="222" spans="1:46" hidden="1">
      <c r="A222" s="24"/>
      <c r="B222" s="26" t="s">
        <v>471</v>
      </c>
      <c r="C222" s="26" t="s">
        <v>444</v>
      </c>
      <c r="D222" s="50"/>
      <c r="E222" s="51"/>
      <c r="F222" s="50"/>
      <c r="G222" s="52"/>
      <c r="H222" s="50"/>
      <c r="I222" s="53"/>
      <c r="J222" s="50"/>
      <c r="K222" s="53"/>
      <c r="L222" s="50"/>
      <c r="M222" s="57"/>
      <c r="N222" s="55"/>
      <c r="O222" s="57"/>
      <c r="P222" s="57"/>
      <c r="Q222" s="59" t="str">
        <f>IF(MIN(IF(ISBLANK(O222),N222,O222),IF(ISBLANK(N222),O222,N222))=0,"",MIN(IF(ISBLANK(O222),N222,O222),IF(ISBLANK(N222),O222,N222)))</f>
        <v/>
      </c>
      <c r="R222" s="57"/>
      <c r="S222" s="57"/>
      <c r="T222" s="59" t="str">
        <f>IF(MIN(IF(ISBLANK(R222),Q222,R222),IF(ISBLANK(Q222),R222,Q222))=0,"",MIN(IF(ISBLANK(R222),Q222,R222),IF(ISBLANK(Q222),R222,Q222)))</f>
        <v/>
      </c>
      <c r="U222" s="57"/>
      <c r="V222" s="57"/>
      <c r="W222" s="59" t="str">
        <f>IF(MIN(IF(ISBLANK(U222),T222,U222),IF(ISBLANK(T222),U222,T222))=0,"",MIN(IF(ISBLANK(U222),T222,U222),IF(ISBLANK(T222),U222,T222)))</f>
        <v/>
      </c>
      <c r="X222" s="57"/>
      <c r="Y222" s="57"/>
      <c r="Z222" s="59" t="str">
        <f t="shared" si="86"/>
        <v/>
      </c>
      <c r="AA222" s="57"/>
      <c r="AB222" s="57"/>
      <c r="AC222" s="59" t="str">
        <f t="shared" si="87"/>
        <v/>
      </c>
      <c r="AD222" s="57"/>
      <c r="AE222" s="57"/>
      <c r="AF222" s="59" t="str">
        <f t="shared" si="88"/>
        <v/>
      </c>
      <c r="AG222" s="57"/>
      <c r="AH222" s="57"/>
      <c r="AI222" s="59" t="str">
        <f t="shared" si="89"/>
        <v/>
      </c>
      <c r="AJ222" s="57"/>
      <c r="AK222" s="57"/>
      <c r="AL222" s="59" t="str">
        <f t="shared" si="90"/>
        <v/>
      </c>
      <c r="AM222" s="57"/>
      <c r="AN222" s="57"/>
      <c r="AO222" s="59" t="str">
        <f t="shared" si="91"/>
        <v/>
      </c>
      <c r="AP222" s="57"/>
      <c r="AQ222" s="59" t="str">
        <f t="shared" si="82"/>
        <v/>
      </c>
      <c r="AR222" s="57"/>
      <c r="AS222" s="57"/>
      <c r="AT222" s="59" t="str">
        <f t="shared" si="81"/>
        <v/>
      </c>
    </row>
    <row r="223" spans="1:46" hidden="1">
      <c r="A223" s="24"/>
      <c r="B223" s="26" t="s">
        <v>778</v>
      </c>
      <c r="C223" s="26"/>
      <c r="D223" s="50"/>
      <c r="E223" s="51"/>
      <c r="F223" s="50"/>
      <c r="G223" s="52"/>
      <c r="H223" s="50"/>
      <c r="I223" s="53"/>
      <c r="J223" s="50"/>
      <c r="K223" s="53"/>
      <c r="L223" s="50"/>
      <c r="M223" s="57"/>
      <c r="N223" s="55"/>
      <c r="O223" s="57"/>
      <c r="P223" s="57"/>
      <c r="Q223" s="59"/>
      <c r="R223" s="57"/>
      <c r="S223" s="57"/>
      <c r="T223" s="59"/>
      <c r="U223" s="57"/>
      <c r="V223" s="57"/>
      <c r="W223" s="59"/>
      <c r="X223" s="57"/>
      <c r="Y223" s="57"/>
      <c r="Z223" s="59"/>
      <c r="AA223" s="57"/>
      <c r="AB223" s="57"/>
      <c r="AC223" s="59"/>
      <c r="AD223" s="57"/>
      <c r="AE223" s="57"/>
      <c r="AF223" s="59"/>
      <c r="AG223" s="57"/>
      <c r="AH223" s="57"/>
      <c r="AI223" s="59"/>
      <c r="AJ223" s="57"/>
      <c r="AK223" s="57"/>
      <c r="AL223" s="59" t="str">
        <f t="shared" si="90"/>
        <v/>
      </c>
      <c r="AM223" s="57"/>
      <c r="AN223" s="57"/>
      <c r="AO223" s="59" t="str">
        <f t="shared" si="91"/>
        <v/>
      </c>
      <c r="AP223" s="57"/>
      <c r="AQ223" s="59" t="str">
        <f t="shared" si="82"/>
        <v/>
      </c>
      <c r="AR223" s="57"/>
      <c r="AS223" s="57"/>
      <c r="AT223" s="59" t="str">
        <f t="shared" si="81"/>
        <v/>
      </c>
    </row>
    <row r="224" spans="1:46" hidden="1">
      <c r="A224" s="24"/>
      <c r="B224" s="26" t="s">
        <v>388</v>
      </c>
      <c r="C224" s="26" t="s">
        <v>444</v>
      </c>
      <c r="D224" s="50"/>
      <c r="E224" s="51"/>
      <c r="F224" s="50"/>
      <c r="G224" s="52"/>
      <c r="H224" s="50"/>
      <c r="I224" s="53"/>
      <c r="J224" s="50" t="s">
        <v>448</v>
      </c>
      <c r="K224" s="53"/>
      <c r="L224" s="50"/>
      <c r="M224" s="57"/>
      <c r="N224" s="55" t="s">
        <v>448</v>
      </c>
      <c r="O224" s="57"/>
      <c r="P224" s="57"/>
      <c r="Q224" s="59" t="str">
        <f>IF(MIN(IF(ISBLANK(O224),N224,O224),IF(ISBLANK(N224),O224,N224))=0,"",MIN(IF(ISBLANK(O224),N224,O224),IF(ISBLANK(N224),O224,N224)))</f>
        <v/>
      </c>
      <c r="R224" s="57"/>
      <c r="S224" s="57"/>
      <c r="T224" s="59" t="str">
        <f>IF(MIN(IF(ISBLANK(R224),Q224,R224),IF(ISBLANK(Q224),R224,Q224))=0,"",MIN(IF(ISBLANK(R224),Q224,R224),IF(ISBLANK(Q224),R224,Q224)))</f>
        <v/>
      </c>
      <c r="U224" s="57"/>
      <c r="V224" s="57"/>
      <c r="W224" s="59" t="str">
        <f>IF(MIN(IF(ISBLANK(U224),T224,U224),IF(ISBLANK(T224),U224,T224))=0,"",MIN(IF(ISBLANK(U224),T224,U224),IF(ISBLANK(T224),U224,T224)))</f>
        <v/>
      </c>
      <c r="X224" s="57"/>
      <c r="Y224" s="57"/>
      <c r="Z224" s="59" t="str">
        <f>IF(MIN(IF(ISBLANK(X224),W224,X224),IF(ISBLANK(W224),X224,W224))=0,"",MIN(IF(ISBLANK(X224),W224,X224),IF(ISBLANK(W224),X224,W224)))</f>
        <v/>
      </c>
      <c r="AA224" s="57"/>
      <c r="AB224" s="57"/>
      <c r="AC224" s="59" t="str">
        <f>IF(MIN(IF(ISBLANK(Z224),AA224,Z224),IF(ISBLANK(AA224),Z224,AA224))=0,"",MIN(IF(ISBLANK(Z224),AA224,Z224),IF(ISBLANK(AA224),Z224,AA224)))</f>
        <v/>
      </c>
      <c r="AD224" s="57"/>
      <c r="AE224" s="57"/>
      <c r="AF224" s="59" t="str">
        <f t="shared" ref="AF224:AF232" si="92">IF(MIN(IF(ISBLANK(AC224),AD224,AC224),IF(ISBLANK(AD224),AC224,AD224))=0,"",MIN(IF(ISBLANK(AC224),AD224,AC224),IF(ISBLANK(AD224),AC224,AD224)))</f>
        <v/>
      </c>
      <c r="AG224" s="57"/>
      <c r="AH224" s="57"/>
      <c r="AI224" s="59" t="str">
        <f t="shared" ref="AI224:AI232" si="93">IF(MIN(IF(ISBLANK(AF224),AG224,AF224),IF(ISBLANK(AG224),AF224,AG224))=0,"",MIN(IF(ISBLANK(AF224),AG224,AF224),IF(ISBLANK(AG224),AF224,AG224)))</f>
        <v/>
      </c>
      <c r="AJ224" s="57"/>
      <c r="AK224" s="57"/>
      <c r="AL224" s="59" t="str">
        <f t="shared" si="90"/>
        <v/>
      </c>
      <c r="AM224" s="57"/>
      <c r="AN224" s="57"/>
      <c r="AO224" s="59" t="str">
        <f t="shared" si="91"/>
        <v/>
      </c>
      <c r="AP224" s="57"/>
      <c r="AQ224" s="59" t="str">
        <f t="shared" si="82"/>
        <v/>
      </c>
      <c r="AR224" s="57"/>
      <c r="AS224" s="57"/>
      <c r="AT224" s="59" t="str">
        <f t="shared" si="81"/>
        <v/>
      </c>
    </row>
    <row r="225" spans="1:46" hidden="1">
      <c r="A225" s="24"/>
      <c r="B225" s="26" t="s">
        <v>631</v>
      </c>
      <c r="C225" s="26"/>
      <c r="D225" s="50"/>
      <c r="E225" s="51"/>
      <c r="F225" s="50"/>
      <c r="G225" s="52"/>
      <c r="H225" s="50"/>
      <c r="I225" s="53"/>
      <c r="J225" s="50"/>
      <c r="K225" s="53"/>
      <c r="L225" s="50"/>
      <c r="M225" s="57"/>
      <c r="N225" s="55"/>
      <c r="O225" s="57"/>
      <c r="P225" s="57"/>
      <c r="Q225" s="59"/>
      <c r="R225" s="57"/>
      <c r="S225" s="57"/>
      <c r="T225" s="59"/>
      <c r="U225" s="57"/>
      <c r="V225" s="57"/>
      <c r="W225" s="59"/>
      <c r="X225" s="57"/>
      <c r="Y225" s="57"/>
      <c r="Z225" s="59" t="str">
        <f>IF(MIN(IF(ISBLANK(X225),W225,X225),IF(ISBLANK(W225),X225,W225))=0,"",MIN(IF(ISBLANK(X225),W225,X225),IF(ISBLANK(W225),X225,W225)))</f>
        <v/>
      </c>
      <c r="AA225" s="57"/>
      <c r="AB225" s="57"/>
      <c r="AC225" s="59" t="str">
        <f>IF(MIN(IF(ISBLANK(Z225),AA225,Z225),IF(ISBLANK(AA225),Z225,AA225))=0,"",MIN(IF(ISBLANK(Z225),AA225,Z225),IF(ISBLANK(AA225),Z225,AA225)))</f>
        <v/>
      </c>
      <c r="AD225" s="57"/>
      <c r="AE225" s="57"/>
      <c r="AF225" s="59" t="str">
        <f t="shared" si="92"/>
        <v/>
      </c>
      <c r="AG225" s="57"/>
      <c r="AH225" s="57"/>
      <c r="AI225" s="59" t="str">
        <f t="shared" si="93"/>
        <v/>
      </c>
      <c r="AJ225" s="57"/>
      <c r="AK225" s="57"/>
      <c r="AL225" s="59" t="str">
        <f t="shared" si="90"/>
        <v/>
      </c>
      <c r="AM225" s="57"/>
      <c r="AN225" s="57"/>
      <c r="AO225" s="59" t="str">
        <f t="shared" si="91"/>
        <v/>
      </c>
      <c r="AP225" s="57"/>
      <c r="AQ225" s="59" t="str">
        <f t="shared" si="82"/>
        <v/>
      </c>
      <c r="AR225" s="57"/>
      <c r="AS225" s="57"/>
      <c r="AT225" s="59" t="str">
        <f t="shared" si="81"/>
        <v/>
      </c>
    </row>
    <row r="226" spans="1:46">
      <c r="A226" s="24" t="s">
        <v>792</v>
      </c>
      <c r="B226" s="26" t="s">
        <v>715</v>
      </c>
      <c r="C226" s="26"/>
      <c r="D226" s="50"/>
      <c r="E226" s="51"/>
      <c r="F226" s="50"/>
      <c r="G226" s="52"/>
      <c r="H226" s="50"/>
      <c r="I226" s="53"/>
      <c r="J226" s="50"/>
      <c r="K226" s="53"/>
      <c r="L226" s="50"/>
      <c r="M226" s="57"/>
      <c r="N226" s="55"/>
      <c r="O226" s="57"/>
      <c r="P226" s="57"/>
      <c r="Q226" s="59"/>
      <c r="R226" s="57"/>
      <c r="S226" s="57"/>
      <c r="T226" s="59"/>
      <c r="U226" s="57"/>
      <c r="V226" s="57"/>
      <c r="W226" s="59"/>
      <c r="X226" s="57"/>
      <c r="Y226" s="57"/>
      <c r="Z226" s="59"/>
      <c r="AA226" s="57"/>
      <c r="AB226" s="57"/>
      <c r="AC226" s="59"/>
      <c r="AD226" s="57"/>
      <c r="AE226" s="57"/>
      <c r="AF226" s="59" t="str">
        <f t="shared" si="92"/>
        <v/>
      </c>
      <c r="AG226" s="57"/>
      <c r="AH226" s="57"/>
      <c r="AI226" s="59" t="str">
        <f t="shared" si="93"/>
        <v/>
      </c>
      <c r="AJ226" s="57"/>
      <c r="AK226" s="57"/>
      <c r="AL226" s="59" t="str">
        <f t="shared" si="90"/>
        <v/>
      </c>
      <c r="AM226" s="57">
        <v>6.2268518518518515E-3</v>
      </c>
      <c r="AN226" s="57"/>
      <c r="AO226" s="59">
        <f t="shared" si="91"/>
        <v>6.2268518518518515E-3</v>
      </c>
      <c r="AP226" s="57">
        <v>7.1527777777777787E-3</v>
      </c>
      <c r="AQ226" s="59">
        <f t="shared" si="82"/>
        <v>6.2268518518518515E-3</v>
      </c>
      <c r="AR226" s="57"/>
      <c r="AS226" s="57"/>
      <c r="AT226" s="59">
        <f t="shared" si="81"/>
        <v>6.2268518518518515E-3</v>
      </c>
    </row>
    <row r="227" spans="1:46">
      <c r="A227" s="24" t="s">
        <v>792</v>
      </c>
      <c r="B227" s="26" t="s">
        <v>390</v>
      </c>
      <c r="C227" s="26" t="s">
        <v>444</v>
      </c>
      <c r="D227" s="50"/>
      <c r="E227" s="51"/>
      <c r="F227" s="50"/>
      <c r="G227" s="52"/>
      <c r="H227" s="50"/>
      <c r="I227" s="53">
        <v>7.35</v>
      </c>
      <c r="J227" s="50">
        <v>7.35</v>
      </c>
      <c r="K227" s="53">
        <v>7.28</v>
      </c>
      <c r="L227" s="50">
        <v>7.28</v>
      </c>
      <c r="M227" s="57">
        <v>5.6134259259259271E-3</v>
      </c>
      <c r="N227" s="55">
        <v>5.185185185185185E-3</v>
      </c>
      <c r="O227" s="57">
        <v>5.185185185185185E-3</v>
      </c>
      <c r="P227" s="57"/>
      <c r="Q227" s="59">
        <f>IF(MIN(IF(ISBLANK(O227),N227,O227),IF(ISBLANK(N227),O227,N227))=0,"",MIN(IF(ISBLANK(O227),N227,O227),IF(ISBLANK(N227),O227,N227)))</f>
        <v>5.185185185185185E-3</v>
      </c>
      <c r="R227" s="57"/>
      <c r="S227" s="57"/>
      <c r="T227" s="59">
        <f>IF(MIN(IF(ISBLANK(R227),Q227,R227),IF(ISBLANK(Q227),R227,Q227))=0,"",MIN(IF(ISBLANK(R227),Q227,R227),IF(ISBLANK(Q227),R227,Q227)))</f>
        <v>5.185185185185185E-3</v>
      </c>
      <c r="U227" s="57"/>
      <c r="V227" s="57"/>
      <c r="W227" s="59">
        <f>IF(MIN(IF(ISBLANK(U227),T227,U227),IF(ISBLANK(T227),U227,T227))=0,"",MIN(IF(ISBLANK(U227),T227,U227),IF(ISBLANK(T227),U227,T227)))</f>
        <v>5.185185185185185E-3</v>
      </c>
      <c r="X227" s="57"/>
      <c r="Y227" s="57"/>
      <c r="Z227" s="59">
        <f>IF(MIN(IF(ISBLANK(X227),W227,X227),IF(ISBLANK(W227),X227,W227))=0,"",MIN(IF(ISBLANK(X227),W227,X227),IF(ISBLANK(W227),X227,W227)))</f>
        <v>5.185185185185185E-3</v>
      </c>
      <c r="AA227" s="57"/>
      <c r="AB227" s="57"/>
      <c r="AC227" s="59">
        <f>IF(MIN(IF(ISBLANK(Z227),AA227,Z227),IF(ISBLANK(AA227),Z227,AA227))=0,"",MIN(IF(ISBLANK(Z227),AA227,Z227),IF(ISBLANK(AA227),Z227,AA227)))</f>
        <v>5.185185185185185E-3</v>
      </c>
      <c r="AD227" s="57">
        <v>5.4513888888888884E-3</v>
      </c>
      <c r="AE227" s="57"/>
      <c r="AF227" s="59">
        <f t="shared" si="92"/>
        <v>5.185185185185185E-3</v>
      </c>
      <c r="AG227" s="57"/>
      <c r="AH227" s="57"/>
      <c r="AI227" s="59">
        <f t="shared" si="93"/>
        <v>5.185185185185185E-3</v>
      </c>
      <c r="AJ227" s="57"/>
      <c r="AK227" s="57"/>
      <c r="AL227" s="59">
        <f t="shared" si="90"/>
        <v>5.185185185185185E-3</v>
      </c>
      <c r="AM227" s="57"/>
      <c r="AN227" s="57"/>
      <c r="AO227" s="59">
        <f t="shared" si="91"/>
        <v>5.185185185185185E-3</v>
      </c>
      <c r="AP227" s="57">
        <v>5.6018518518518518E-3</v>
      </c>
      <c r="AQ227" s="59">
        <f t="shared" si="82"/>
        <v>5.185185185185185E-3</v>
      </c>
      <c r="AR227" s="57"/>
      <c r="AS227" s="57"/>
      <c r="AT227" s="59">
        <f t="shared" si="81"/>
        <v>5.185185185185185E-3</v>
      </c>
    </row>
    <row r="228" spans="1:46">
      <c r="A228" s="24" t="s">
        <v>792</v>
      </c>
      <c r="B228" s="26" t="s">
        <v>632</v>
      </c>
      <c r="C228" s="26"/>
      <c r="D228" s="50"/>
      <c r="E228" s="51"/>
      <c r="F228" s="50"/>
      <c r="G228" s="52"/>
      <c r="H228" s="50"/>
      <c r="I228" s="53"/>
      <c r="J228" s="50"/>
      <c r="K228" s="53"/>
      <c r="L228" s="50"/>
      <c r="M228" s="57"/>
      <c r="N228" s="55"/>
      <c r="O228" s="57"/>
      <c r="P228" s="57"/>
      <c r="Q228" s="59"/>
      <c r="R228" s="57"/>
      <c r="S228" s="57"/>
      <c r="T228" s="59"/>
      <c r="U228" s="57"/>
      <c r="V228" s="57"/>
      <c r="W228" s="59"/>
      <c r="X228" s="57">
        <v>4.9421296296296288E-3</v>
      </c>
      <c r="Y228" s="57"/>
      <c r="Z228" s="59">
        <f>IF(MIN(IF(ISBLANK(X228),W228,X228),IF(ISBLANK(W228),X228,W228))=0,"",MIN(IF(ISBLANK(X228),W228,X228),IF(ISBLANK(W228),X228,W228)))</f>
        <v>4.9421296296296288E-3</v>
      </c>
      <c r="AA228" s="57">
        <v>4.9652777777777777E-3</v>
      </c>
      <c r="AB228" s="57"/>
      <c r="AC228" s="59">
        <f>IF(MIN(IF(ISBLANK(Z228),AA228,Z228),IF(ISBLANK(AA228),Z228,AA228))=0,"",MIN(IF(ISBLANK(Z228),AA228,Z228),IF(ISBLANK(AA228),Z228,AA228)))</f>
        <v>4.9421296296296288E-3</v>
      </c>
      <c r="AD228" s="57">
        <v>4.9189814814814816E-3</v>
      </c>
      <c r="AE228" s="57"/>
      <c r="AF228" s="59">
        <f t="shared" si="92"/>
        <v>4.9189814814814816E-3</v>
      </c>
      <c r="AG228" s="57"/>
      <c r="AH228" s="57"/>
      <c r="AI228" s="59">
        <f t="shared" si="93"/>
        <v>4.9189814814814816E-3</v>
      </c>
      <c r="AJ228" s="57"/>
      <c r="AK228" s="57"/>
      <c r="AL228" s="59">
        <f t="shared" si="90"/>
        <v>4.9189814814814816E-3</v>
      </c>
      <c r="AM228" s="57"/>
      <c r="AN228" s="57"/>
      <c r="AO228" s="59">
        <f t="shared" si="91"/>
        <v>4.9189814814814816E-3</v>
      </c>
      <c r="AP228" s="57">
        <v>4.8379629629629632E-3</v>
      </c>
      <c r="AQ228" s="59">
        <f t="shared" si="82"/>
        <v>4.8379629629629632E-3</v>
      </c>
      <c r="AR228" s="57"/>
      <c r="AS228" s="57"/>
      <c r="AT228" s="59">
        <f t="shared" si="81"/>
        <v>4.8379629629629632E-3</v>
      </c>
    </row>
    <row r="229" spans="1:46" hidden="1">
      <c r="A229" s="24"/>
      <c r="B229" s="26" t="s">
        <v>733</v>
      </c>
      <c r="C229" s="26"/>
      <c r="D229" s="50"/>
      <c r="E229" s="51"/>
      <c r="F229" s="50"/>
      <c r="G229" s="52"/>
      <c r="H229" s="50"/>
      <c r="I229" s="53"/>
      <c r="J229" s="50"/>
      <c r="K229" s="53"/>
      <c r="L229" s="50"/>
      <c r="M229" s="57"/>
      <c r="N229" s="55"/>
      <c r="O229" s="57"/>
      <c r="P229" s="57"/>
      <c r="Q229" s="59"/>
      <c r="R229" s="57"/>
      <c r="S229" s="57"/>
      <c r="T229" s="59"/>
      <c r="U229" s="57"/>
      <c r="V229" s="57"/>
      <c r="W229" s="59"/>
      <c r="X229" s="57"/>
      <c r="Y229" s="57"/>
      <c r="Z229" s="59"/>
      <c r="AA229" s="57"/>
      <c r="AB229" s="57"/>
      <c r="AC229" s="59"/>
      <c r="AD229" s="57"/>
      <c r="AE229" s="57"/>
      <c r="AF229" s="59" t="str">
        <f t="shared" si="92"/>
        <v/>
      </c>
      <c r="AG229" s="57"/>
      <c r="AH229" s="57"/>
      <c r="AI229" s="59" t="str">
        <f t="shared" si="93"/>
        <v/>
      </c>
      <c r="AJ229" s="57"/>
      <c r="AK229" s="57"/>
      <c r="AL229" s="59" t="str">
        <f t="shared" si="90"/>
        <v/>
      </c>
      <c r="AM229" s="57"/>
      <c r="AN229" s="57"/>
      <c r="AO229" s="59" t="str">
        <f t="shared" si="91"/>
        <v/>
      </c>
      <c r="AP229" s="57"/>
      <c r="AQ229" s="59" t="str">
        <f t="shared" si="82"/>
        <v/>
      </c>
      <c r="AR229" s="57"/>
      <c r="AS229" s="57"/>
      <c r="AT229" s="59" t="str">
        <f t="shared" si="81"/>
        <v/>
      </c>
    </row>
    <row r="230" spans="1:46" hidden="1">
      <c r="A230" s="24"/>
      <c r="B230" s="26" t="s">
        <v>542</v>
      </c>
      <c r="C230" s="26"/>
      <c r="D230" s="50"/>
      <c r="E230" s="51"/>
      <c r="F230" s="50"/>
      <c r="G230" s="52"/>
      <c r="H230" s="50"/>
      <c r="I230" s="53"/>
      <c r="J230" s="50"/>
      <c r="K230" s="53"/>
      <c r="L230" s="50"/>
      <c r="M230" s="57"/>
      <c r="N230" s="55" t="s">
        <v>448</v>
      </c>
      <c r="O230" s="57"/>
      <c r="P230" s="57"/>
      <c r="Q230" s="59" t="str">
        <f>IF(MIN(IF(ISBLANK(O230),N230,O230),IF(ISBLANK(N230),O230,N230))=0,"",MIN(IF(ISBLANK(O230),N230,O230),IF(ISBLANK(N230),O230,N230)))</f>
        <v/>
      </c>
      <c r="R230" s="57"/>
      <c r="S230" s="57"/>
      <c r="T230" s="59" t="str">
        <f>IF(MIN(IF(ISBLANK(R230),Q230,R230),IF(ISBLANK(Q230),R230,Q230))=0,"",MIN(IF(ISBLANK(R230),Q230,R230),IF(ISBLANK(Q230),R230,Q230)))</f>
        <v/>
      </c>
      <c r="U230" s="57"/>
      <c r="V230" s="57"/>
      <c r="W230" s="59" t="str">
        <f>IF(MIN(IF(ISBLANK(U230),T230,U230),IF(ISBLANK(T230),U230,T230))=0,"",MIN(IF(ISBLANK(U230),T230,U230),IF(ISBLANK(T230),U230,T230)))</f>
        <v/>
      </c>
      <c r="X230" s="57"/>
      <c r="Y230" s="57"/>
      <c r="Z230" s="59" t="str">
        <f>IF(MIN(IF(ISBLANK(X230),W230,X230),IF(ISBLANK(W230),X230,W230))=0,"",MIN(IF(ISBLANK(X230),W230,X230),IF(ISBLANK(W230),X230,W230)))</f>
        <v/>
      </c>
      <c r="AA230" s="57"/>
      <c r="AB230" s="57"/>
      <c r="AC230" s="59" t="str">
        <f>IF(MIN(IF(ISBLANK(Z230),AA230,Z230),IF(ISBLANK(AA230),Z230,AA230))=0,"",MIN(IF(ISBLANK(Z230),AA230,Z230),IF(ISBLANK(AA230),Z230,AA230)))</f>
        <v/>
      </c>
      <c r="AD230" s="57"/>
      <c r="AE230" s="57"/>
      <c r="AF230" s="59" t="str">
        <f t="shared" si="92"/>
        <v/>
      </c>
      <c r="AG230" s="57">
        <v>6.7245370370370367E-3</v>
      </c>
      <c r="AH230" s="57"/>
      <c r="AI230" s="59">
        <f t="shared" si="93"/>
        <v>6.7245370370370367E-3</v>
      </c>
      <c r="AJ230" s="57"/>
      <c r="AK230" s="57"/>
      <c r="AL230" s="59">
        <f t="shared" si="90"/>
        <v>6.7245370370370367E-3</v>
      </c>
      <c r="AM230" s="57"/>
      <c r="AN230" s="57"/>
      <c r="AO230" s="59">
        <f t="shared" si="91"/>
        <v>6.7245370370370367E-3</v>
      </c>
      <c r="AP230" s="57"/>
      <c r="AQ230" s="59">
        <f t="shared" si="82"/>
        <v>6.7245370370370367E-3</v>
      </c>
      <c r="AR230" s="57"/>
      <c r="AS230" s="57"/>
      <c r="AT230" s="59">
        <f t="shared" si="81"/>
        <v>6.7245370370370367E-3</v>
      </c>
    </row>
    <row r="231" spans="1:46" hidden="1">
      <c r="A231" s="24"/>
      <c r="B231" s="26" t="s">
        <v>461</v>
      </c>
      <c r="C231" s="26" t="s">
        <v>444</v>
      </c>
      <c r="D231" s="50"/>
      <c r="E231" s="51"/>
      <c r="F231" s="50"/>
      <c r="G231" s="52"/>
      <c r="H231" s="50"/>
      <c r="I231" s="53"/>
      <c r="J231" s="50"/>
      <c r="K231" s="53"/>
      <c r="L231" s="50"/>
      <c r="M231" s="57"/>
      <c r="N231" s="55" t="s">
        <v>448</v>
      </c>
      <c r="O231" s="57"/>
      <c r="P231" s="57"/>
      <c r="Q231" s="59" t="str">
        <f>IF(MIN(IF(ISBLANK(O231),N231,O231),IF(ISBLANK(N231),O231,N231))=0,"",MIN(IF(ISBLANK(O231),N231,O231),IF(ISBLANK(N231),O231,N231)))</f>
        <v/>
      </c>
      <c r="R231" s="57"/>
      <c r="S231" s="57"/>
      <c r="T231" s="59" t="str">
        <f>IF(MIN(IF(ISBLANK(R231),Q231,R231),IF(ISBLANK(Q231),R231,Q231))=0,"",MIN(IF(ISBLANK(R231),Q231,R231),IF(ISBLANK(Q231),R231,Q231)))</f>
        <v/>
      </c>
      <c r="U231" s="57"/>
      <c r="V231" s="57"/>
      <c r="W231" s="59" t="str">
        <f>IF(MIN(IF(ISBLANK(U231),T231,U231),IF(ISBLANK(T231),U231,T231))=0,"",MIN(IF(ISBLANK(U231),T231,U231),IF(ISBLANK(T231),U231,T231)))</f>
        <v/>
      </c>
      <c r="X231" s="57"/>
      <c r="Y231" s="57"/>
      <c r="Z231" s="59" t="str">
        <f>IF(MIN(IF(ISBLANK(X231),W231,X231),IF(ISBLANK(W231),X231,W231))=0,"",MIN(IF(ISBLANK(X231),W231,X231),IF(ISBLANK(W231),X231,W231)))</f>
        <v/>
      </c>
      <c r="AA231" s="57"/>
      <c r="AB231" s="57"/>
      <c r="AC231" s="59" t="str">
        <f>IF(MIN(IF(ISBLANK(Z231),AA231,Z231),IF(ISBLANK(AA231),Z231,AA231))=0,"",MIN(IF(ISBLANK(Z231),AA231,Z231),IF(ISBLANK(AA231),Z231,AA231)))</f>
        <v/>
      </c>
      <c r="AD231" s="57"/>
      <c r="AE231" s="57"/>
      <c r="AF231" s="59" t="str">
        <f t="shared" si="92"/>
        <v/>
      </c>
      <c r="AG231" s="57"/>
      <c r="AH231" s="57"/>
      <c r="AI231" s="59" t="str">
        <f t="shared" si="93"/>
        <v/>
      </c>
      <c r="AJ231" s="57"/>
      <c r="AK231" s="57"/>
      <c r="AL231" s="59" t="str">
        <f t="shared" si="90"/>
        <v/>
      </c>
      <c r="AM231" s="57"/>
      <c r="AN231" s="57"/>
      <c r="AO231" s="59" t="str">
        <f t="shared" si="91"/>
        <v/>
      </c>
      <c r="AP231" s="57"/>
      <c r="AQ231" s="59" t="str">
        <f t="shared" si="82"/>
        <v/>
      </c>
      <c r="AR231" s="57"/>
      <c r="AS231" s="57"/>
      <c r="AT231" s="59" t="str">
        <f t="shared" si="81"/>
        <v/>
      </c>
    </row>
    <row r="232" spans="1:46" hidden="1">
      <c r="A232" s="24"/>
      <c r="B232" s="26" t="s">
        <v>14</v>
      </c>
      <c r="C232" s="26" t="s">
        <v>444</v>
      </c>
      <c r="D232" s="50">
        <v>10.38</v>
      </c>
      <c r="E232" s="51"/>
      <c r="F232" s="50">
        <v>10.38</v>
      </c>
      <c r="G232" s="52"/>
      <c r="H232" s="50">
        <v>10.38</v>
      </c>
      <c r="I232" s="53"/>
      <c r="J232" s="50">
        <v>10.38</v>
      </c>
      <c r="K232" s="53"/>
      <c r="L232" s="50">
        <v>10.38</v>
      </c>
      <c r="M232" s="57"/>
      <c r="N232" s="55">
        <v>7.3842592592592597E-3</v>
      </c>
      <c r="O232" s="57"/>
      <c r="P232" s="57"/>
      <c r="Q232" s="59">
        <f>IF(MIN(IF(ISBLANK(O232),N232,O232),IF(ISBLANK(N232),O232,N232))=0,"",MIN(IF(ISBLANK(O232),N232,O232),IF(ISBLANK(N232),O232,N232)))</f>
        <v>7.3842592592592597E-3</v>
      </c>
      <c r="R232" s="57"/>
      <c r="S232" s="57"/>
      <c r="T232" s="59">
        <f>IF(MIN(IF(ISBLANK(R232),Q232,R232),IF(ISBLANK(Q232),R232,Q232))=0,"",MIN(IF(ISBLANK(R232),Q232,R232),IF(ISBLANK(Q232),R232,Q232)))</f>
        <v>7.3842592592592597E-3</v>
      </c>
      <c r="U232" s="57"/>
      <c r="V232" s="57"/>
      <c r="W232" s="59">
        <f>IF(MIN(IF(ISBLANK(U232),T232,U232),IF(ISBLANK(T232),U232,T232))=0,"",MIN(IF(ISBLANK(U232),T232,U232),IF(ISBLANK(T232),U232,T232)))</f>
        <v>7.3842592592592597E-3</v>
      </c>
      <c r="X232" s="57"/>
      <c r="Y232" s="57"/>
      <c r="Z232" s="59">
        <f>IF(MIN(IF(ISBLANK(X232),W232,X232),IF(ISBLANK(W232),X232,W232))=0,"",MIN(IF(ISBLANK(X232),W232,X232),IF(ISBLANK(W232),X232,W232)))</f>
        <v>7.3842592592592597E-3</v>
      </c>
      <c r="AA232" s="57"/>
      <c r="AB232" s="57"/>
      <c r="AC232" s="59">
        <f>IF(MIN(IF(ISBLANK(Z232),AA232,Z232),IF(ISBLANK(AA232),Z232,AA232))=0,"",MIN(IF(ISBLANK(Z232),AA232,Z232),IF(ISBLANK(AA232),Z232,AA232)))</f>
        <v>7.3842592592592597E-3</v>
      </c>
      <c r="AD232" s="57"/>
      <c r="AE232" s="57"/>
      <c r="AF232" s="59">
        <f t="shared" si="92"/>
        <v>7.3842592592592597E-3</v>
      </c>
      <c r="AG232" s="57"/>
      <c r="AH232" s="57"/>
      <c r="AI232" s="59">
        <f t="shared" si="93"/>
        <v>7.3842592592592597E-3</v>
      </c>
      <c r="AJ232" s="57"/>
      <c r="AK232" s="57"/>
      <c r="AL232" s="59">
        <f t="shared" si="90"/>
        <v>7.3842592592592597E-3</v>
      </c>
      <c r="AM232" s="57"/>
      <c r="AN232" s="57"/>
      <c r="AO232" s="59">
        <f t="shared" si="91"/>
        <v>7.3842592592592597E-3</v>
      </c>
      <c r="AP232" s="57"/>
      <c r="AQ232" s="59">
        <f t="shared" si="82"/>
        <v>7.3842592592592597E-3</v>
      </c>
      <c r="AR232" s="57"/>
      <c r="AS232" s="57"/>
      <c r="AT232" s="59">
        <f t="shared" si="81"/>
        <v>7.3842592592592597E-3</v>
      </c>
    </row>
    <row r="233" spans="1:46">
      <c r="A233" s="24" t="s">
        <v>792</v>
      </c>
      <c r="B233" s="26" t="s">
        <v>863</v>
      </c>
      <c r="C233" s="26"/>
      <c r="D233" s="50"/>
      <c r="E233" s="51"/>
      <c r="F233" s="50"/>
      <c r="G233" s="52"/>
      <c r="H233" s="50"/>
      <c r="I233" s="53"/>
      <c r="J233" s="50"/>
      <c r="K233" s="53"/>
      <c r="L233" s="50"/>
      <c r="M233" s="57"/>
      <c r="N233" s="55"/>
      <c r="O233" s="57"/>
      <c r="P233" s="57"/>
      <c r="Q233" s="59"/>
      <c r="R233" s="57"/>
      <c r="S233" s="57"/>
      <c r="T233" s="59"/>
      <c r="U233" s="57"/>
      <c r="V233" s="57"/>
      <c r="W233" s="59"/>
      <c r="X233" s="57"/>
      <c r="Y233" s="57"/>
      <c r="Z233" s="59"/>
      <c r="AA233" s="57"/>
      <c r="AB233" s="57"/>
      <c r="AC233" s="59"/>
      <c r="AD233" s="57"/>
      <c r="AE233" s="57"/>
      <c r="AF233" s="59"/>
      <c r="AG233" s="57"/>
      <c r="AH233" s="57"/>
      <c r="AI233" s="59"/>
      <c r="AJ233" s="57"/>
      <c r="AK233" s="57"/>
      <c r="AL233" s="59"/>
      <c r="AM233" s="57"/>
      <c r="AN233" s="57"/>
      <c r="AO233" s="59"/>
      <c r="AP233" s="57">
        <v>4.8379629629629632E-3</v>
      </c>
      <c r="AQ233" s="59">
        <f t="shared" si="82"/>
        <v>4.8379629629629632E-3</v>
      </c>
      <c r="AR233" s="57">
        <v>7.0023148148148154E-3</v>
      </c>
      <c r="AS233" s="57"/>
      <c r="AT233" s="59">
        <f t="shared" si="81"/>
        <v>4.8379629629629632E-3</v>
      </c>
    </row>
    <row r="234" spans="1:46" hidden="1">
      <c r="A234" s="24"/>
      <c r="B234" s="26" t="s">
        <v>697</v>
      </c>
      <c r="C234" s="26"/>
      <c r="D234" s="50"/>
      <c r="E234" s="51"/>
      <c r="F234" s="50"/>
      <c r="G234" s="52"/>
      <c r="H234" s="50"/>
      <c r="I234" s="53"/>
      <c r="J234" s="50"/>
      <c r="K234" s="54"/>
      <c r="L234" s="50"/>
      <c r="M234" s="56"/>
      <c r="N234" s="55"/>
      <c r="O234" s="56"/>
      <c r="P234" s="56"/>
      <c r="Q234" s="59"/>
      <c r="R234" s="56"/>
      <c r="S234" s="56"/>
      <c r="T234" s="59"/>
      <c r="U234" s="56"/>
      <c r="V234" s="56"/>
      <c r="W234" s="59"/>
      <c r="X234" s="56"/>
      <c r="Y234" s="56"/>
      <c r="Z234" s="59"/>
      <c r="AA234" s="56"/>
      <c r="AB234" s="56"/>
      <c r="AC234" s="59" t="str">
        <f>IF(MIN(IF(ISBLANK(Z234),AA234,Z234),IF(ISBLANK(AA234),Z234,AA234))=0,"",MIN(IF(ISBLANK(Z234),AA234,Z234),IF(ISBLANK(AA234),Z234,AA234)))</f>
        <v/>
      </c>
      <c r="AD234" s="56"/>
      <c r="AE234" s="56"/>
      <c r="AF234" s="59" t="str">
        <f>IF(MIN(IF(ISBLANK(AC234),AD234,AC234),IF(ISBLANK(AD234),AC234,AD234))=0,"",MIN(IF(ISBLANK(AC234),AD234,AC234),IF(ISBLANK(AD234),AC234,AD234)))</f>
        <v/>
      </c>
      <c r="AG234" s="56"/>
      <c r="AH234" s="56"/>
      <c r="AI234" s="59" t="str">
        <f>IF(MIN(IF(ISBLANK(AF234),AG234,AF234),IF(ISBLANK(AG234),AF234,AG234))=0,"",MIN(IF(ISBLANK(AF234),AG234,AF234),IF(ISBLANK(AG234),AF234,AG234)))</f>
        <v/>
      </c>
      <c r="AJ234" s="56"/>
      <c r="AK234" s="56"/>
      <c r="AL234" s="59" t="str">
        <f>IF(MIN(IF(ISBLANK(AI234),AJ234,AI234),IF(ISBLANK(AJ234),AI234,AJ234))=0,"",MIN(IF(ISBLANK(AI234),AJ234,AI234),IF(ISBLANK(AJ234),AI234,AJ234)))</f>
        <v/>
      </c>
      <c r="AM234" s="56"/>
      <c r="AN234" s="56"/>
      <c r="AO234" s="59" t="str">
        <f>IF(MIN(IF(ISBLANK(AL234),AM234,AL234),IF(ISBLANK(AM234),AL234,AM234))=0,"",MIN(IF(ISBLANK(AL234),AM234,AL234),IF(ISBLANK(AM234),AL234,AM234)))</f>
        <v/>
      </c>
      <c r="AP234" s="56"/>
      <c r="AQ234" s="59" t="str">
        <f t="shared" si="82"/>
        <v/>
      </c>
      <c r="AR234" s="56"/>
      <c r="AS234" s="56"/>
      <c r="AT234" s="59" t="str">
        <f t="shared" si="81"/>
        <v/>
      </c>
    </row>
    <row r="235" spans="1:46" hidden="1">
      <c r="A235" s="24"/>
      <c r="B235" s="26" t="s">
        <v>543</v>
      </c>
      <c r="C235" s="26"/>
      <c r="D235" s="50"/>
      <c r="E235" s="51"/>
      <c r="F235" s="50"/>
      <c r="G235" s="52"/>
      <c r="H235" s="50"/>
      <c r="I235" s="53"/>
      <c r="J235" s="50"/>
      <c r="K235" s="53"/>
      <c r="L235" s="50"/>
      <c r="M235" s="57"/>
      <c r="N235" s="55" t="s">
        <v>448</v>
      </c>
      <c r="O235" s="57"/>
      <c r="P235" s="57"/>
      <c r="Q235" s="59" t="str">
        <f>IF(MIN(IF(ISBLANK(O235),N235,O235),IF(ISBLANK(N235),O235,N235))=0,"",MIN(IF(ISBLANK(O235),N235,O235),IF(ISBLANK(N235),O235,N235)))</f>
        <v/>
      </c>
      <c r="R235" s="57"/>
      <c r="S235" s="57"/>
      <c r="T235" s="59" t="str">
        <f>IF(MIN(IF(ISBLANK(R235),Q235,R235),IF(ISBLANK(Q235),R235,Q235))=0,"",MIN(IF(ISBLANK(R235),Q235,R235),IF(ISBLANK(Q235),R235,Q235)))</f>
        <v/>
      </c>
      <c r="U235" s="57"/>
      <c r="V235" s="57"/>
      <c r="W235" s="59" t="str">
        <f>IF(MIN(IF(ISBLANK(U235),T235,U235),IF(ISBLANK(T235),U235,T235))=0,"",MIN(IF(ISBLANK(U235),T235,U235),IF(ISBLANK(T235),U235,T235)))</f>
        <v/>
      </c>
      <c r="X235" s="57"/>
      <c r="Y235" s="57"/>
      <c r="Z235" s="59" t="str">
        <f>IF(MIN(IF(ISBLANK(X235),W235,X235),IF(ISBLANK(W235),X235,W235))=0,"",MIN(IF(ISBLANK(X235),W235,X235),IF(ISBLANK(W235),X235,W235)))</f>
        <v/>
      </c>
      <c r="AA235" s="57"/>
      <c r="AB235" s="57"/>
      <c r="AC235" s="59" t="str">
        <f>IF(MIN(IF(ISBLANK(Z235),AA235,Z235),IF(ISBLANK(AA235),Z235,AA235))=0,"",MIN(IF(ISBLANK(Z235),AA235,Z235),IF(ISBLANK(AA235),Z235,AA235)))</f>
        <v/>
      </c>
      <c r="AD235" s="57"/>
      <c r="AE235" s="57"/>
      <c r="AF235" s="59" t="str">
        <f>IF(MIN(IF(ISBLANK(AC235),AD235,AC235),IF(ISBLANK(AD235),AC235,AD235))=0,"",MIN(IF(ISBLANK(AC235),AD235,AC235),IF(ISBLANK(AD235),AC235,AD235)))</f>
        <v/>
      </c>
      <c r="AG235" s="57"/>
      <c r="AH235" s="57"/>
      <c r="AI235" s="59" t="str">
        <f>IF(MIN(IF(ISBLANK(AF235),AG235,AF235),IF(ISBLANK(AG235),AF235,AG235))=0,"",MIN(IF(ISBLANK(AF235),AG235,AF235),IF(ISBLANK(AG235),AF235,AG235)))</f>
        <v/>
      </c>
      <c r="AJ235" s="57"/>
      <c r="AK235" s="57"/>
      <c r="AL235" s="59" t="str">
        <f>IF(MIN(IF(ISBLANK(AI235),AJ235,AI235),IF(ISBLANK(AJ235),AI235,AJ235))=0,"",MIN(IF(ISBLANK(AI235),AJ235,AI235),IF(ISBLANK(AJ235),AI235,AJ235)))</f>
        <v/>
      </c>
      <c r="AM235" s="57"/>
      <c r="AN235" s="57"/>
      <c r="AO235" s="59" t="str">
        <f>IF(MIN(IF(ISBLANK(AL235),AM235,AL235),IF(ISBLANK(AM235),AL235,AM235))=0,"",MIN(IF(ISBLANK(AL235),AM235,AL235),IF(ISBLANK(AM235),AL235,AM235)))</f>
        <v/>
      </c>
      <c r="AP235" s="57"/>
      <c r="AQ235" s="59" t="str">
        <f t="shared" si="82"/>
        <v/>
      </c>
      <c r="AR235" s="57"/>
      <c r="AS235" s="57"/>
      <c r="AT235" s="59" t="str">
        <f t="shared" si="81"/>
        <v/>
      </c>
    </row>
    <row r="236" spans="1:46" hidden="1">
      <c r="A236" s="24"/>
      <c r="B236" s="26" t="s">
        <v>865</v>
      </c>
      <c r="C236" s="26"/>
      <c r="D236" s="50"/>
      <c r="E236" s="51"/>
      <c r="F236" s="50"/>
      <c r="G236" s="52"/>
      <c r="H236" s="50"/>
      <c r="I236" s="53"/>
      <c r="J236" s="50"/>
      <c r="K236" s="53"/>
      <c r="L236" s="50"/>
      <c r="M236" s="57"/>
      <c r="N236" s="55"/>
      <c r="O236" s="57"/>
      <c r="P236" s="57"/>
      <c r="Q236" s="59"/>
      <c r="R236" s="57"/>
      <c r="S236" s="57"/>
      <c r="T236" s="59"/>
      <c r="U236" s="57"/>
      <c r="V236" s="57"/>
      <c r="W236" s="59"/>
      <c r="X236" s="57"/>
      <c r="Y236" s="57"/>
      <c r="Z236" s="59"/>
      <c r="AA236" s="57"/>
      <c r="AB236" s="57"/>
      <c r="AC236" s="59"/>
      <c r="AD236" s="57"/>
      <c r="AE236" s="57"/>
      <c r="AF236" s="59"/>
      <c r="AG236" s="57"/>
      <c r="AH236" s="57"/>
      <c r="AI236" s="59"/>
      <c r="AJ236" s="57"/>
      <c r="AK236" s="57"/>
      <c r="AL236" s="59"/>
      <c r="AM236" s="57"/>
      <c r="AN236" s="57"/>
      <c r="AO236" s="59"/>
      <c r="AP236" s="57"/>
      <c r="AQ236" s="59" t="str">
        <f t="shared" si="82"/>
        <v/>
      </c>
      <c r="AR236" s="57"/>
      <c r="AS236" s="57"/>
      <c r="AT236" s="59" t="str">
        <f t="shared" si="81"/>
        <v/>
      </c>
    </row>
    <row r="237" spans="1:46" hidden="1">
      <c r="A237" s="24"/>
      <c r="B237" s="26" t="s">
        <v>241</v>
      </c>
      <c r="C237" s="26" t="s">
        <v>443</v>
      </c>
      <c r="D237" s="50"/>
      <c r="E237" s="51"/>
      <c r="F237" s="50" t="s">
        <v>448</v>
      </c>
      <c r="G237" s="52"/>
      <c r="H237" s="50"/>
      <c r="I237" s="53"/>
      <c r="J237" s="50" t="s">
        <v>448</v>
      </c>
      <c r="K237" s="53"/>
      <c r="L237" s="50"/>
      <c r="M237" s="57"/>
      <c r="N237" s="55" t="s">
        <v>448</v>
      </c>
      <c r="O237" s="57"/>
      <c r="P237" s="57"/>
      <c r="Q237" s="59" t="str">
        <f>IF(MIN(IF(ISBLANK(O237),N237,O237),IF(ISBLANK(N237),O237,N237))=0,"",MIN(IF(ISBLANK(O237),N237,O237),IF(ISBLANK(N237),O237,N237)))</f>
        <v/>
      </c>
      <c r="R237" s="57"/>
      <c r="S237" s="57"/>
      <c r="T237" s="59" t="str">
        <f>IF(MIN(IF(ISBLANK(R237),Q237,R237),IF(ISBLANK(Q237),R237,Q237))=0,"",MIN(IF(ISBLANK(R237),Q237,R237),IF(ISBLANK(Q237),R237,Q237)))</f>
        <v/>
      </c>
      <c r="U237" s="57"/>
      <c r="V237" s="57"/>
      <c r="W237" s="59" t="str">
        <f>IF(MIN(IF(ISBLANK(U237),T237,U237),IF(ISBLANK(T237),U237,T237))=0,"",MIN(IF(ISBLANK(U237),T237,U237),IF(ISBLANK(T237),U237,T237)))</f>
        <v/>
      </c>
      <c r="X237" s="57"/>
      <c r="Y237" s="57"/>
      <c r="Z237" s="59" t="str">
        <f>IF(MIN(IF(ISBLANK(X237),W237,X237),IF(ISBLANK(W237),X237,W237))=0,"",MIN(IF(ISBLANK(X237),W237,X237),IF(ISBLANK(W237),X237,W237)))</f>
        <v/>
      </c>
      <c r="AA237" s="57"/>
      <c r="AB237" s="57"/>
      <c r="AC237" s="59" t="str">
        <f>IF(MIN(IF(ISBLANK(Z237),AA237,Z237),IF(ISBLANK(AA237),Z237,AA237))=0,"",MIN(IF(ISBLANK(Z237),AA237,Z237),IF(ISBLANK(AA237),Z237,AA237)))</f>
        <v/>
      </c>
      <c r="AD237" s="57"/>
      <c r="AE237" s="57"/>
      <c r="AF237" s="59" t="str">
        <f>IF(MIN(IF(ISBLANK(AC237),AD237,AC237),IF(ISBLANK(AD237),AC237,AD237))=0,"",MIN(IF(ISBLANK(AC237),AD237,AC237),IF(ISBLANK(AD237),AC237,AD237)))</f>
        <v/>
      </c>
      <c r="AG237" s="57"/>
      <c r="AH237" s="57"/>
      <c r="AI237" s="59" t="str">
        <f>IF(MIN(IF(ISBLANK(AF237),AG237,AF237),IF(ISBLANK(AG237),AF237,AG237))=0,"",MIN(IF(ISBLANK(AF237),AG237,AF237),IF(ISBLANK(AG237),AF237,AG237)))</f>
        <v/>
      </c>
      <c r="AJ237" s="57"/>
      <c r="AK237" s="57"/>
      <c r="AL237" s="59" t="str">
        <f>IF(MIN(IF(ISBLANK(AI237),AJ237,AI237),IF(ISBLANK(AJ237),AI237,AJ237))=0,"",MIN(IF(ISBLANK(AI237),AJ237,AI237),IF(ISBLANK(AJ237),AI237,AJ237)))</f>
        <v/>
      </c>
      <c r="AM237" s="57"/>
      <c r="AN237" s="57"/>
      <c r="AO237" s="59" t="str">
        <f>IF(MIN(IF(ISBLANK(AL237),AM237,AL237),IF(ISBLANK(AM237),AL237,AM237))=0,"",MIN(IF(ISBLANK(AL237),AM237,AL237),IF(ISBLANK(AM237),AL237,AM237)))</f>
        <v/>
      </c>
      <c r="AP237" s="57"/>
      <c r="AQ237" s="59" t="str">
        <f t="shared" si="82"/>
        <v/>
      </c>
      <c r="AR237" s="57"/>
      <c r="AS237" s="57"/>
      <c r="AT237" s="59" t="str">
        <f t="shared" si="81"/>
        <v/>
      </c>
    </row>
    <row r="238" spans="1:46">
      <c r="A238" s="24" t="s">
        <v>792</v>
      </c>
      <c r="B238" s="26" t="s">
        <v>866</v>
      </c>
      <c r="C238" s="26"/>
      <c r="D238" s="50"/>
      <c r="E238" s="51"/>
      <c r="F238" s="50"/>
      <c r="G238" s="52"/>
      <c r="H238" s="50"/>
      <c r="I238" s="53"/>
      <c r="J238" s="50"/>
      <c r="K238" s="53"/>
      <c r="L238" s="50"/>
      <c r="M238" s="57"/>
      <c r="N238" s="55"/>
      <c r="O238" s="57"/>
      <c r="P238" s="57"/>
      <c r="Q238" s="59"/>
      <c r="R238" s="57"/>
      <c r="S238" s="57"/>
      <c r="T238" s="59"/>
      <c r="U238" s="57"/>
      <c r="V238" s="57"/>
      <c r="W238" s="59"/>
      <c r="X238" s="57"/>
      <c r="Y238" s="57"/>
      <c r="Z238" s="59"/>
      <c r="AA238" s="57"/>
      <c r="AB238" s="57"/>
      <c r="AC238" s="59"/>
      <c r="AD238" s="57"/>
      <c r="AE238" s="57"/>
      <c r="AF238" s="59"/>
      <c r="AG238" s="57"/>
      <c r="AH238" s="57"/>
      <c r="AI238" s="59"/>
      <c r="AJ238" s="57"/>
      <c r="AK238" s="57"/>
      <c r="AL238" s="59"/>
      <c r="AM238" s="57"/>
      <c r="AN238" s="57"/>
      <c r="AO238" s="59"/>
      <c r="AP238" s="57"/>
      <c r="AQ238" s="59" t="str">
        <f t="shared" si="82"/>
        <v/>
      </c>
      <c r="AR238" s="57"/>
      <c r="AS238" s="57"/>
      <c r="AT238" s="59" t="str">
        <f t="shared" si="81"/>
        <v/>
      </c>
    </row>
    <row r="239" spans="1:46">
      <c r="A239" s="24" t="s">
        <v>792</v>
      </c>
      <c r="B239" s="26" t="s">
        <v>891</v>
      </c>
      <c r="C239" s="26"/>
      <c r="D239" s="50"/>
      <c r="E239" s="51"/>
      <c r="F239" s="50"/>
      <c r="G239" s="52"/>
      <c r="H239" s="50"/>
      <c r="I239" s="53"/>
      <c r="J239" s="50"/>
      <c r="K239" s="53"/>
      <c r="L239" s="50"/>
      <c r="M239" s="57"/>
      <c r="N239" s="55"/>
      <c r="O239" s="57"/>
      <c r="P239" s="57"/>
      <c r="Q239" s="59"/>
      <c r="R239" s="57"/>
      <c r="S239" s="57"/>
      <c r="T239" s="59"/>
      <c r="U239" s="57"/>
      <c r="V239" s="57"/>
      <c r="W239" s="59"/>
      <c r="X239" s="57"/>
      <c r="Y239" s="57"/>
      <c r="Z239" s="59"/>
      <c r="AA239" s="57"/>
      <c r="AB239" s="57"/>
      <c r="AC239" s="59"/>
      <c r="AD239" s="57"/>
      <c r="AE239" s="57"/>
      <c r="AF239" s="59"/>
      <c r="AG239" s="57"/>
      <c r="AH239" s="57"/>
      <c r="AI239" s="59"/>
      <c r="AJ239" s="57"/>
      <c r="AK239" s="57"/>
      <c r="AL239" s="59"/>
      <c r="AM239" s="57"/>
      <c r="AN239" s="57"/>
      <c r="AO239" s="59"/>
      <c r="AP239" s="57"/>
      <c r="AQ239" s="59" t="str">
        <f t="shared" si="82"/>
        <v/>
      </c>
      <c r="AR239" s="57"/>
      <c r="AS239" s="57"/>
      <c r="AT239" s="59" t="str">
        <f t="shared" si="81"/>
        <v/>
      </c>
    </row>
    <row r="240" spans="1:46" hidden="1">
      <c r="A240" s="24"/>
      <c r="B240" s="26" t="s">
        <v>563</v>
      </c>
      <c r="C240" s="26"/>
      <c r="D240" s="50"/>
      <c r="E240" s="51"/>
      <c r="F240" s="50"/>
      <c r="G240" s="52"/>
      <c r="H240" s="50"/>
      <c r="I240" s="53"/>
      <c r="J240" s="50"/>
      <c r="K240" s="53"/>
      <c r="L240" s="50"/>
      <c r="M240" s="57"/>
      <c r="N240" s="55"/>
      <c r="O240" s="57"/>
      <c r="P240" s="57" t="s">
        <v>565</v>
      </c>
      <c r="Q240" s="59" t="str">
        <f>IF(MIN(IF(ISBLANK(O240),N240,O240),IF(ISBLANK(N240),O240,N240))=0,"",MIN(IF(ISBLANK(O240),N240,O240),IF(ISBLANK(N240),O240,N240)))</f>
        <v/>
      </c>
      <c r="R240" s="57"/>
      <c r="S240" s="57"/>
      <c r="T240" s="59" t="str">
        <f>IF(MIN(IF(ISBLANK(R240),Q240,R240),IF(ISBLANK(Q240),R240,Q240))=0,"",MIN(IF(ISBLANK(R240),Q240,R240),IF(ISBLANK(Q240),R240,Q240)))</f>
        <v/>
      </c>
      <c r="U240" s="57"/>
      <c r="V240" s="57"/>
      <c r="W240" s="59" t="str">
        <f>IF(MIN(IF(ISBLANK(U240),T240,U240),IF(ISBLANK(T240),U240,T240))=0,"",MIN(IF(ISBLANK(U240),T240,U240),IF(ISBLANK(T240),U240,T240)))</f>
        <v/>
      </c>
      <c r="X240" s="57"/>
      <c r="Y240" s="57"/>
      <c r="Z240" s="59" t="str">
        <f>IF(MIN(IF(ISBLANK(X240),W240,X240),IF(ISBLANK(W240),X240,W240))=0,"",MIN(IF(ISBLANK(X240),W240,X240),IF(ISBLANK(W240),X240,W240)))</f>
        <v/>
      </c>
      <c r="AA240" s="57"/>
      <c r="AB240" s="57"/>
      <c r="AC240" s="59" t="str">
        <f>IF(MIN(IF(ISBLANK(Z240),AA240,Z240),IF(ISBLANK(AA240),Z240,AA240))=0,"",MIN(IF(ISBLANK(Z240),AA240,Z240),IF(ISBLANK(AA240),Z240,AA240)))</f>
        <v/>
      </c>
      <c r="AD240" s="57"/>
      <c r="AE240" s="57"/>
      <c r="AF240" s="59" t="str">
        <f>IF(MIN(IF(ISBLANK(AC240),AD240,AC240),IF(ISBLANK(AD240),AC240,AD240))=0,"",MIN(IF(ISBLANK(AC240),AD240,AC240),IF(ISBLANK(AD240),AC240,AD240)))</f>
        <v/>
      </c>
      <c r="AG240" s="57"/>
      <c r="AH240" s="57"/>
      <c r="AI240" s="59" t="str">
        <f>IF(MIN(IF(ISBLANK(AF240),AG240,AF240),IF(ISBLANK(AG240),AF240,AG240))=0,"",MIN(IF(ISBLANK(AF240),AG240,AF240),IF(ISBLANK(AG240),AF240,AG240)))</f>
        <v/>
      </c>
      <c r="AJ240" s="57"/>
      <c r="AK240" s="57"/>
      <c r="AL240" s="59" t="str">
        <f>IF(MIN(IF(ISBLANK(AI240),AJ240,AI240),IF(ISBLANK(AJ240),AI240,AJ240))=0,"",MIN(IF(ISBLANK(AI240),AJ240,AI240),IF(ISBLANK(AJ240),AI240,AJ240)))</f>
        <v/>
      </c>
      <c r="AM240" s="57"/>
      <c r="AN240" s="57"/>
      <c r="AO240" s="59" t="str">
        <f>IF(MIN(IF(ISBLANK(AL240),AM240,AL240),IF(ISBLANK(AM240),AL240,AM240))=0,"",MIN(IF(ISBLANK(AL240),AM240,AL240),IF(ISBLANK(AM240),AL240,AM240)))</f>
        <v/>
      </c>
      <c r="AP240" s="57"/>
      <c r="AQ240" s="59" t="str">
        <f t="shared" si="82"/>
        <v/>
      </c>
      <c r="AR240" s="57"/>
      <c r="AS240" s="57"/>
      <c r="AT240" s="59" t="str">
        <f t="shared" si="81"/>
        <v/>
      </c>
    </row>
    <row r="241" spans="1:46" hidden="1">
      <c r="A241" s="24"/>
      <c r="B241" s="26" t="s">
        <v>391</v>
      </c>
      <c r="C241" s="26" t="s">
        <v>444</v>
      </c>
      <c r="D241" s="50"/>
      <c r="E241" s="51"/>
      <c r="F241" s="50"/>
      <c r="G241" s="52"/>
      <c r="H241" s="50"/>
      <c r="I241" s="53">
        <v>12.3</v>
      </c>
      <c r="J241" s="50" t="s">
        <v>449</v>
      </c>
      <c r="K241" s="53"/>
      <c r="L241" s="50" t="s">
        <v>449</v>
      </c>
      <c r="M241" s="57"/>
      <c r="N241" s="55">
        <v>8.6805555555555559E-3</v>
      </c>
      <c r="O241" s="57"/>
      <c r="P241" s="57"/>
      <c r="Q241" s="59">
        <f>IF(MIN(IF(ISBLANK(O241),N241,O241),IF(ISBLANK(N241),O241,N241))=0,"",MIN(IF(ISBLANK(O241),N241,O241),IF(ISBLANK(N241),O241,N241)))</f>
        <v>8.6805555555555559E-3</v>
      </c>
      <c r="R241" s="57"/>
      <c r="S241" s="57"/>
      <c r="T241" s="59">
        <f>IF(MIN(IF(ISBLANK(R241),Q241,R241),IF(ISBLANK(Q241),R241,Q241))=0,"",MIN(IF(ISBLANK(R241),Q241,R241),IF(ISBLANK(Q241),R241,Q241)))</f>
        <v>8.6805555555555559E-3</v>
      </c>
      <c r="U241" s="57"/>
      <c r="V241" s="57"/>
      <c r="W241" s="59">
        <f>IF(MIN(IF(ISBLANK(U241),T241,U241),IF(ISBLANK(T241),U241,T241))=0,"",MIN(IF(ISBLANK(U241),T241,U241),IF(ISBLANK(T241),U241,T241)))</f>
        <v>8.6805555555555559E-3</v>
      </c>
      <c r="X241" s="57"/>
      <c r="Y241" s="57"/>
      <c r="Z241" s="59">
        <f>IF(MIN(IF(ISBLANK(X241),W241,X241),IF(ISBLANK(W241),X241,W241))=0,"",MIN(IF(ISBLANK(X241),W241,X241),IF(ISBLANK(W241),X241,W241)))</f>
        <v>8.6805555555555559E-3</v>
      </c>
      <c r="AA241" s="57"/>
      <c r="AB241" s="57"/>
      <c r="AC241" s="59">
        <f>IF(MIN(IF(ISBLANK(Z241),AA241,Z241),IF(ISBLANK(AA241),Z241,AA241))=0,"",MIN(IF(ISBLANK(Z241),AA241,Z241),IF(ISBLANK(AA241),Z241,AA241)))</f>
        <v>8.6805555555555559E-3</v>
      </c>
      <c r="AD241" s="57"/>
      <c r="AE241" s="57"/>
      <c r="AF241" s="59">
        <f>IF(MIN(IF(ISBLANK(AC241),AD241,AC241),IF(ISBLANK(AD241),AC241,AD241))=0,"",MIN(IF(ISBLANK(AC241),AD241,AC241),IF(ISBLANK(AD241),AC241,AD241)))</f>
        <v>8.6805555555555559E-3</v>
      </c>
      <c r="AG241" s="57"/>
      <c r="AH241" s="57"/>
      <c r="AI241" s="59">
        <f>IF(MIN(IF(ISBLANK(AF241),AG241,AF241),IF(ISBLANK(AG241),AF241,AG241))=0,"",MIN(IF(ISBLANK(AF241),AG241,AF241),IF(ISBLANK(AG241),AF241,AG241)))</f>
        <v>8.6805555555555559E-3</v>
      </c>
      <c r="AJ241" s="57"/>
      <c r="AK241" s="57"/>
      <c r="AL241" s="59">
        <f>IF(MIN(IF(ISBLANK(AI241),AJ241,AI241),IF(ISBLANK(AJ241),AI241,AJ241))=0,"",MIN(IF(ISBLANK(AI241),AJ241,AI241),IF(ISBLANK(AJ241),AI241,AJ241)))</f>
        <v>8.6805555555555559E-3</v>
      </c>
      <c r="AM241" s="57"/>
      <c r="AN241" s="57"/>
      <c r="AO241" s="59">
        <f>IF(MIN(IF(ISBLANK(AL241),AM241,AL241),IF(ISBLANK(AM241),AL241,AM241))=0,"",MIN(IF(ISBLANK(AL241),AM241,AL241),IF(ISBLANK(AM241),AL241,AM241)))</f>
        <v>8.6805555555555559E-3</v>
      </c>
      <c r="AP241" s="57"/>
      <c r="AQ241" s="59">
        <f t="shared" si="82"/>
        <v>8.6805555555555559E-3</v>
      </c>
      <c r="AR241" s="57"/>
      <c r="AS241" s="57"/>
      <c r="AT241" s="59">
        <f t="shared" si="81"/>
        <v>8.6805555555555559E-3</v>
      </c>
    </row>
    <row r="242" spans="1:46">
      <c r="A242" s="24" t="s">
        <v>792</v>
      </c>
      <c r="B242" s="26" t="s">
        <v>782</v>
      </c>
      <c r="C242" s="26"/>
      <c r="D242" s="50"/>
      <c r="E242" s="51"/>
      <c r="F242" s="50"/>
      <c r="G242" s="52"/>
      <c r="H242" s="50"/>
      <c r="I242" s="53"/>
      <c r="J242" s="50"/>
      <c r="K242" s="53"/>
      <c r="L242" s="50"/>
      <c r="M242" s="57"/>
      <c r="N242" s="55"/>
      <c r="O242" s="57"/>
      <c r="P242" s="57"/>
      <c r="Q242" s="59"/>
      <c r="R242" s="57"/>
      <c r="S242" s="57"/>
      <c r="T242" s="59"/>
      <c r="U242" s="57"/>
      <c r="V242" s="57"/>
      <c r="W242" s="59"/>
      <c r="X242" s="57"/>
      <c r="Y242" s="57"/>
      <c r="Z242" s="59"/>
      <c r="AA242" s="57"/>
      <c r="AB242" s="57"/>
      <c r="AC242" s="59"/>
      <c r="AD242" s="57"/>
      <c r="AE242" s="57"/>
      <c r="AF242" s="59"/>
      <c r="AG242" s="57"/>
      <c r="AH242" s="57"/>
      <c r="AI242" s="59"/>
      <c r="AJ242" s="57">
        <v>5.7523148148148143E-3</v>
      </c>
      <c r="AK242" s="57"/>
      <c r="AL242" s="59">
        <f>IF(MIN(IF(ISBLANK(AI242),AJ242,AI242),IF(ISBLANK(AJ242),AI242,AJ242))=0,"",MIN(IF(ISBLANK(AI242),AJ242,AI242),IF(ISBLANK(AJ242),AI242,AJ242)))</f>
        <v>5.7523148148148143E-3</v>
      </c>
      <c r="AM242" s="57"/>
      <c r="AN242" s="57"/>
      <c r="AO242" s="59">
        <f>IF(MIN(IF(ISBLANK(AL242),AM242,AL242),IF(ISBLANK(AM242),AL242,AM242))=0,"",MIN(IF(ISBLANK(AL242),AM242,AL242),IF(ISBLANK(AM242),AL242,AM242)))</f>
        <v>5.7523148148148143E-3</v>
      </c>
      <c r="AP242" s="57"/>
      <c r="AQ242" s="59">
        <f t="shared" si="82"/>
        <v>5.7523148148148143E-3</v>
      </c>
      <c r="AR242" s="57"/>
      <c r="AS242" s="57"/>
      <c r="AT242" s="59">
        <f t="shared" si="81"/>
        <v>5.7523148148148143E-3</v>
      </c>
    </row>
    <row r="243" spans="1:46" hidden="1">
      <c r="A243" s="24"/>
      <c r="B243" s="26" t="s">
        <v>262</v>
      </c>
      <c r="C243" s="26" t="s">
        <v>444</v>
      </c>
      <c r="D243" s="50">
        <v>10.43</v>
      </c>
      <c r="E243" s="51"/>
      <c r="F243" s="50">
        <v>10.43</v>
      </c>
      <c r="G243" s="52"/>
      <c r="H243" s="50">
        <v>10.43</v>
      </c>
      <c r="I243" s="53"/>
      <c r="J243" s="50">
        <v>10.43</v>
      </c>
      <c r="K243" s="53"/>
      <c r="L243" s="50">
        <v>10.43</v>
      </c>
      <c r="M243" s="57"/>
      <c r="N243" s="55">
        <v>7.4421296296296293E-3</v>
      </c>
      <c r="O243" s="57"/>
      <c r="P243" s="57"/>
      <c r="Q243" s="59">
        <f>IF(MIN(IF(ISBLANK(O243),N243,O243),IF(ISBLANK(N243),O243,N243))=0,"",MIN(IF(ISBLANK(O243),N243,O243),IF(ISBLANK(N243),O243,N243)))</f>
        <v>7.4421296296296293E-3</v>
      </c>
      <c r="R243" s="57"/>
      <c r="S243" s="57"/>
      <c r="T243" s="59">
        <f>IF(MIN(IF(ISBLANK(R243),Q243,R243),IF(ISBLANK(Q243),R243,Q243))=0,"",MIN(IF(ISBLANK(R243),Q243,R243),IF(ISBLANK(Q243),R243,Q243)))</f>
        <v>7.4421296296296293E-3</v>
      </c>
      <c r="U243" s="57"/>
      <c r="V243" s="57"/>
      <c r="W243" s="59">
        <f>IF(MIN(IF(ISBLANK(U243),T243,U243),IF(ISBLANK(T243),U243,T243))=0,"",MIN(IF(ISBLANK(U243),T243,U243),IF(ISBLANK(T243),U243,T243)))</f>
        <v>7.4421296296296293E-3</v>
      </c>
      <c r="X243" s="57"/>
      <c r="Y243" s="57"/>
      <c r="Z243" s="59">
        <f>IF(MIN(IF(ISBLANK(X243),W243,X243),IF(ISBLANK(W243),X243,W243))=0,"",MIN(IF(ISBLANK(X243),W243,X243),IF(ISBLANK(W243),X243,W243)))</f>
        <v>7.4421296296296293E-3</v>
      </c>
      <c r="AA243" s="57"/>
      <c r="AB243" s="57"/>
      <c r="AC243" s="59">
        <f>IF(MIN(IF(ISBLANK(Z243),AA243,Z243),IF(ISBLANK(AA243),Z243,AA243))=0,"",MIN(IF(ISBLANK(Z243),AA243,Z243),IF(ISBLANK(AA243),Z243,AA243)))</f>
        <v>7.4421296296296293E-3</v>
      </c>
      <c r="AD243" s="57"/>
      <c r="AE243" s="57"/>
      <c r="AF243" s="59">
        <f>IF(MIN(IF(ISBLANK(AC243),AD243,AC243),IF(ISBLANK(AD243),AC243,AD243))=0,"",MIN(IF(ISBLANK(AC243),AD243,AC243),IF(ISBLANK(AD243),AC243,AD243)))</f>
        <v>7.4421296296296293E-3</v>
      </c>
      <c r="AG243" s="57"/>
      <c r="AH243" s="57"/>
      <c r="AI243" s="59">
        <f>IF(MIN(IF(ISBLANK(AF243),AG243,AF243),IF(ISBLANK(AG243),AF243,AG243))=0,"",MIN(IF(ISBLANK(AF243),AG243,AF243),IF(ISBLANK(AG243),AF243,AG243)))</f>
        <v>7.4421296296296293E-3</v>
      </c>
      <c r="AJ243" s="57"/>
      <c r="AK243" s="57"/>
      <c r="AL243" s="59">
        <f>IF(MIN(IF(ISBLANK(AI243),AJ243,AI243),IF(ISBLANK(AJ243),AI243,AJ243))=0,"",MIN(IF(ISBLANK(AI243),AJ243,AI243),IF(ISBLANK(AJ243),AI243,AJ243)))</f>
        <v>7.4421296296296293E-3</v>
      </c>
      <c r="AM243" s="57"/>
      <c r="AN243" s="57"/>
      <c r="AO243" s="59">
        <f>IF(MIN(IF(ISBLANK(AL243),AM243,AL243),IF(ISBLANK(AM243),AL243,AM243))=0,"",MIN(IF(ISBLANK(AL243),AM243,AL243),IF(ISBLANK(AM243),AL243,AM243)))</f>
        <v>7.4421296296296293E-3</v>
      </c>
      <c r="AP243" s="57"/>
      <c r="AQ243" s="59">
        <f t="shared" si="82"/>
        <v>7.4421296296296293E-3</v>
      </c>
      <c r="AR243" s="57"/>
      <c r="AS243" s="57"/>
      <c r="AT243" s="59">
        <f t="shared" si="81"/>
        <v>7.4421296296296293E-3</v>
      </c>
    </row>
    <row r="244" spans="1:46" hidden="1">
      <c r="A244" s="24"/>
      <c r="B244" s="26" t="s">
        <v>554</v>
      </c>
      <c r="C244" s="26"/>
      <c r="D244" s="50"/>
      <c r="E244" s="51"/>
      <c r="F244" s="50"/>
      <c r="G244" s="52"/>
      <c r="H244" s="50"/>
      <c r="I244" s="53"/>
      <c r="J244" s="50"/>
      <c r="K244" s="53"/>
      <c r="L244" s="50"/>
      <c r="M244" s="57"/>
      <c r="N244" s="55" t="s">
        <v>448</v>
      </c>
      <c r="O244" s="57"/>
      <c r="P244" s="57"/>
      <c r="Q244" s="59" t="str">
        <f>IF(MIN(IF(ISBLANK(O244),N244,O244),IF(ISBLANK(N244),O244,N244))=0,"",MIN(IF(ISBLANK(O244),N244,O244),IF(ISBLANK(N244),O244,N244)))</f>
        <v/>
      </c>
      <c r="R244" s="57"/>
      <c r="S244" s="57"/>
      <c r="T244" s="59" t="str">
        <f>IF(MIN(IF(ISBLANK(R244),Q244,R244),IF(ISBLANK(Q244),R244,Q244))=0,"",MIN(IF(ISBLANK(R244),Q244,R244),IF(ISBLANK(Q244),R244,Q244)))</f>
        <v/>
      </c>
      <c r="U244" s="57"/>
      <c r="V244" s="57"/>
      <c r="W244" s="59" t="str">
        <f>IF(MIN(IF(ISBLANK(U244),T244,U244),IF(ISBLANK(T244),U244,T244))=0,"",MIN(IF(ISBLANK(U244),T244,U244),IF(ISBLANK(T244),U244,T244)))</f>
        <v/>
      </c>
      <c r="X244" s="57"/>
      <c r="Y244" s="57"/>
      <c r="Z244" s="59" t="str">
        <f>IF(MIN(IF(ISBLANK(X244),W244,X244),IF(ISBLANK(W244),X244,W244))=0,"",MIN(IF(ISBLANK(X244),W244,X244),IF(ISBLANK(W244),X244,W244)))</f>
        <v/>
      </c>
      <c r="AA244" s="57"/>
      <c r="AB244" s="57"/>
      <c r="AC244" s="59" t="str">
        <f>IF(MIN(IF(ISBLANK(Z244),AA244,Z244),IF(ISBLANK(AA244),Z244,AA244))=0,"",MIN(IF(ISBLANK(Z244),AA244,Z244),IF(ISBLANK(AA244),Z244,AA244)))</f>
        <v/>
      </c>
      <c r="AD244" s="57"/>
      <c r="AE244" s="57"/>
      <c r="AF244" s="59" t="str">
        <f>IF(MIN(IF(ISBLANK(AC244),AD244,AC244),IF(ISBLANK(AD244),AC244,AD244))=0,"",MIN(IF(ISBLANK(AC244),AD244,AC244),IF(ISBLANK(AD244),AC244,AD244)))</f>
        <v/>
      </c>
      <c r="AG244" s="57"/>
      <c r="AH244" s="57"/>
      <c r="AI244" s="59" t="str">
        <f>IF(MIN(IF(ISBLANK(AF244),AG244,AF244),IF(ISBLANK(AG244),AF244,AG244))=0,"",MIN(IF(ISBLANK(AF244),AG244,AF244),IF(ISBLANK(AG244),AF244,AG244)))</f>
        <v/>
      </c>
      <c r="AJ244" s="57"/>
      <c r="AK244" s="57"/>
      <c r="AL244" s="59" t="str">
        <f>IF(MIN(IF(ISBLANK(AI244),AJ244,AI244),IF(ISBLANK(AJ244),AI244,AJ244))=0,"",MIN(IF(ISBLANK(AI244),AJ244,AI244),IF(ISBLANK(AJ244),AI244,AJ244)))</f>
        <v/>
      </c>
      <c r="AM244" s="57"/>
      <c r="AN244" s="57"/>
      <c r="AO244" s="59" t="str">
        <f>IF(MIN(IF(ISBLANK(AL244),AM244,AL244),IF(ISBLANK(AM244),AL244,AM244))=0,"",MIN(IF(ISBLANK(AL244),AM244,AL244),IF(ISBLANK(AM244),AL244,AM244)))</f>
        <v/>
      </c>
      <c r="AP244" s="57"/>
      <c r="AQ244" s="59" t="str">
        <f t="shared" si="82"/>
        <v/>
      </c>
      <c r="AR244" s="57"/>
      <c r="AS244" s="57"/>
      <c r="AT244" s="59" t="str">
        <f t="shared" si="81"/>
        <v/>
      </c>
    </row>
    <row r="245" spans="1:46">
      <c r="A245" s="24" t="s">
        <v>792</v>
      </c>
      <c r="B245" s="26" t="s">
        <v>870</v>
      </c>
      <c r="C245" s="26"/>
      <c r="D245" s="50"/>
      <c r="E245" s="51"/>
      <c r="F245" s="50"/>
      <c r="G245" s="52"/>
      <c r="H245" s="50"/>
      <c r="I245" s="53"/>
      <c r="J245" s="50"/>
      <c r="K245" s="53"/>
      <c r="L245" s="50"/>
      <c r="M245" s="57"/>
      <c r="N245" s="55"/>
      <c r="O245" s="57"/>
      <c r="P245" s="57"/>
      <c r="Q245" s="59"/>
      <c r="R245" s="57"/>
      <c r="S245" s="57"/>
      <c r="T245" s="59"/>
      <c r="U245" s="57"/>
      <c r="V245" s="57"/>
      <c r="W245" s="59"/>
      <c r="X245" s="57"/>
      <c r="Y245" s="57"/>
      <c r="Z245" s="59"/>
      <c r="AA245" s="57"/>
      <c r="AB245" s="57"/>
      <c r="AC245" s="59"/>
      <c r="AD245" s="57"/>
      <c r="AE245" s="57"/>
      <c r="AF245" s="59"/>
      <c r="AG245" s="57"/>
      <c r="AH245" s="57"/>
      <c r="AI245" s="59"/>
      <c r="AJ245" s="57"/>
      <c r="AK245" s="57"/>
      <c r="AL245" s="59"/>
      <c r="AM245" s="57"/>
      <c r="AN245" s="57"/>
      <c r="AO245" s="59"/>
      <c r="AP245" s="57"/>
      <c r="AQ245" s="59" t="str">
        <f t="shared" si="82"/>
        <v/>
      </c>
      <c r="AR245" s="57"/>
      <c r="AS245" s="57"/>
      <c r="AT245" s="59" t="str">
        <f t="shared" si="81"/>
        <v/>
      </c>
    </row>
    <row r="246" spans="1:46" hidden="1">
      <c r="A246" s="24"/>
      <c r="B246" s="26" t="s">
        <v>872</v>
      </c>
      <c r="C246" s="26"/>
      <c r="D246" s="50"/>
      <c r="E246" s="51"/>
      <c r="F246" s="50"/>
      <c r="G246" s="52"/>
      <c r="H246" s="50"/>
      <c r="I246" s="53"/>
      <c r="J246" s="50"/>
      <c r="K246" s="53"/>
      <c r="L246" s="50"/>
      <c r="M246" s="57"/>
      <c r="N246" s="55"/>
      <c r="O246" s="57"/>
      <c r="P246" s="57"/>
      <c r="Q246" s="59"/>
      <c r="R246" s="57"/>
      <c r="S246" s="57"/>
      <c r="T246" s="59"/>
      <c r="U246" s="57"/>
      <c r="V246" s="57"/>
      <c r="W246" s="59"/>
      <c r="X246" s="57"/>
      <c r="Y246" s="57"/>
      <c r="Z246" s="59"/>
      <c r="AA246" s="57"/>
      <c r="AB246" s="57"/>
      <c r="AC246" s="59"/>
      <c r="AD246" s="57"/>
      <c r="AE246" s="57"/>
      <c r="AF246" s="59"/>
      <c r="AG246" s="57"/>
      <c r="AH246" s="57"/>
      <c r="AI246" s="59"/>
      <c r="AJ246" s="57"/>
      <c r="AK246" s="57"/>
      <c r="AL246" s="59"/>
      <c r="AM246" s="57"/>
      <c r="AN246" s="57"/>
      <c r="AO246" s="59"/>
      <c r="AP246" s="57"/>
      <c r="AQ246" s="59" t="str">
        <f t="shared" si="82"/>
        <v/>
      </c>
      <c r="AR246" s="57"/>
      <c r="AS246" s="57"/>
      <c r="AT246" s="59" t="str">
        <f t="shared" si="81"/>
        <v/>
      </c>
    </row>
    <row r="247" spans="1:46" hidden="1">
      <c r="A247" s="24"/>
      <c r="B247" s="26" t="s">
        <v>455</v>
      </c>
      <c r="C247" s="26" t="s">
        <v>444</v>
      </c>
      <c r="D247" s="50"/>
      <c r="E247" s="51"/>
      <c r="F247" s="50"/>
      <c r="G247" s="52"/>
      <c r="H247" s="50"/>
      <c r="I247" s="53"/>
      <c r="J247" s="50"/>
      <c r="K247" s="53">
        <v>9.42</v>
      </c>
      <c r="L247" s="50">
        <v>9.42</v>
      </c>
      <c r="M247" s="57"/>
      <c r="N247" s="55">
        <v>6.7361111111111103E-3</v>
      </c>
      <c r="O247" s="57"/>
      <c r="P247" s="57"/>
      <c r="Q247" s="59">
        <f>IF(MIN(IF(ISBLANK(O247),N247,O247),IF(ISBLANK(N247),O247,N247))=0,"",MIN(IF(ISBLANK(O247),N247,O247),IF(ISBLANK(N247),O247,N247)))</f>
        <v>6.7361111111111103E-3</v>
      </c>
      <c r="R247" s="57"/>
      <c r="S247" s="57"/>
      <c r="T247" s="59">
        <f>IF(MIN(IF(ISBLANK(R247),Q247,R247),IF(ISBLANK(Q247),R247,Q247))=0,"",MIN(IF(ISBLANK(R247),Q247,R247),IF(ISBLANK(Q247),R247,Q247)))</f>
        <v>6.7361111111111103E-3</v>
      </c>
      <c r="U247" s="57"/>
      <c r="V247" s="57"/>
      <c r="W247" s="59">
        <f>IF(MIN(IF(ISBLANK(U247),T247,U247),IF(ISBLANK(T247),U247,T247))=0,"",MIN(IF(ISBLANK(U247),T247,U247),IF(ISBLANK(T247),U247,T247)))</f>
        <v>6.7361111111111103E-3</v>
      </c>
      <c r="X247" s="57"/>
      <c r="Y247" s="57"/>
      <c r="Z247" s="59">
        <f t="shared" ref="Z247:Z252" si="94">IF(MIN(IF(ISBLANK(X247),W247,X247),IF(ISBLANK(W247),X247,W247))=0,"",MIN(IF(ISBLANK(X247),W247,X247),IF(ISBLANK(W247),X247,W247)))</f>
        <v>6.7361111111111103E-3</v>
      </c>
      <c r="AA247" s="57"/>
      <c r="AB247" s="57"/>
      <c r="AC247" s="59">
        <f t="shared" ref="AC247:AC252" si="95">IF(MIN(IF(ISBLANK(Z247),AA247,Z247),IF(ISBLANK(AA247),Z247,AA247))=0,"",MIN(IF(ISBLANK(Z247),AA247,Z247),IF(ISBLANK(AA247),Z247,AA247)))</f>
        <v>6.7361111111111103E-3</v>
      </c>
      <c r="AD247" s="57"/>
      <c r="AE247" s="57"/>
      <c r="AF247" s="59">
        <f t="shared" ref="AF247:AF252" si="96">IF(MIN(IF(ISBLANK(AC247),AD247,AC247),IF(ISBLANK(AD247),AC247,AD247))=0,"",MIN(IF(ISBLANK(AC247),AD247,AC247),IF(ISBLANK(AD247),AC247,AD247)))</f>
        <v>6.7361111111111103E-3</v>
      </c>
      <c r="AG247" s="57"/>
      <c r="AH247" s="57"/>
      <c r="AI247" s="59">
        <f t="shared" ref="AI247:AI252" si="97">IF(MIN(IF(ISBLANK(AF247),AG247,AF247),IF(ISBLANK(AG247),AF247,AG247))=0,"",MIN(IF(ISBLANK(AF247),AG247,AF247),IF(ISBLANK(AG247),AF247,AG247)))</f>
        <v>6.7361111111111103E-3</v>
      </c>
      <c r="AJ247" s="57"/>
      <c r="AK247" s="57"/>
      <c r="AL247" s="59">
        <f t="shared" ref="AL247:AL252" si="98">IF(MIN(IF(ISBLANK(AI247),AJ247,AI247),IF(ISBLANK(AJ247),AI247,AJ247))=0,"",MIN(IF(ISBLANK(AI247),AJ247,AI247),IF(ISBLANK(AJ247),AI247,AJ247)))</f>
        <v>6.7361111111111103E-3</v>
      </c>
      <c r="AM247" s="57"/>
      <c r="AN247" s="57"/>
      <c r="AO247" s="59">
        <f t="shared" ref="AO247:AO252" si="99">IF(MIN(IF(ISBLANK(AL247),AM247,AL247),IF(ISBLANK(AM247),AL247,AM247))=0,"",MIN(IF(ISBLANK(AL247),AM247,AL247),IF(ISBLANK(AM247),AL247,AM247)))</f>
        <v>6.7361111111111103E-3</v>
      </c>
      <c r="AP247" s="57"/>
      <c r="AQ247" s="59">
        <f t="shared" si="82"/>
        <v>6.7361111111111103E-3</v>
      </c>
      <c r="AR247" s="57"/>
      <c r="AS247" s="57"/>
      <c r="AT247" s="59">
        <f t="shared" si="81"/>
        <v>6.7361111111111103E-3</v>
      </c>
    </row>
    <row r="248" spans="1:46" hidden="1">
      <c r="A248" s="24"/>
      <c r="B248" s="26" t="s">
        <v>633</v>
      </c>
      <c r="C248" s="26"/>
      <c r="D248" s="50"/>
      <c r="E248" s="51"/>
      <c r="F248" s="50"/>
      <c r="G248" s="52"/>
      <c r="H248" s="50"/>
      <c r="I248" s="53"/>
      <c r="J248" s="50"/>
      <c r="K248" s="53"/>
      <c r="L248" s="50"/>
      <c r="M248" s="57"/>
      <c r="N248" s="55"/>
      <c r="O248" s="57"/>
      <c r="P248" s="57"/>
      <c r="Q248" s="59"/>
      <c r="R248" s="57"/>
      <c r="S248" s="57"/>
      <c r="T248" s="59"/>
      <c r="U248" s="57"/>
      <c r="V248" s="57"/>
      <c r="W248" s="59"/>
      <c r="X248" s="57">
        <v>5.4398148148148149E-3</v>
      </c>
      <c r="Y248" s="57"/>
      <c r="Z248" s="59">
        <f t="shared" si="94"/>
        <v>5.4398148148148149E-3</v>
      </c>
      <c r="AA248" s="57"/>
      <c r="AB248" s="57"/>
      <c r="AC248" s="59">
        <f t="shared" si="95"/>
        <v>5.4398148148148149E-3</v>
      </c>
      <c r="AD248" s="57"/>
      <c r="AE248" s="57"/>
      <c r="AF248" s="59">
        <f t="shared" si="96"/>
        <v>5.4398148148148149E-3</v>
      </c>
      <c r="AG248" s="57"/>
      <c r="AH248" s="57"/>
      <c r="AI248" s="59">
        <f t="shared" si="97"/>
        <v>5.4398148148148149E-3</v>
      </c>
      <c r="AJ248" s="57"/>
      <c r="AK248" s="57"/>
      <c r="AL248" s="59">
        <f t="shared" si="98"/>
        <v>5.4398148148148149E-3</v>
      </c>
      <c r="AM248" s="57"/>
      <c r="AN248" s="57"/>
      <c r="AO248" s="59">
        <f t="shared" si="99"/>
        <v>5.4398148148148149E-3</v>
      </c>
      <c r="AP248" s="57"/>
      <c r="AQ248" s="59">
        <f t="shared" si="82"/>
        <v>5.4398148148148149E-3</v>
      </c>
      <c r="AR248" s="57"/>
      <c r="AS248" s="57"/>
      <c r="AT248" s="59">
        <f t="shared" si="81"/>
        <v>5.4398148148148149E-3</v>
      </c>
    </row>
    <row r="249" spans="1:46" hidden="1">
      <c r="A249" s="24"/>
      <c r="B249" s="26" t="s">
        <v>634</v>
      </c>
      <c r="C249" s="26"/>
      <c r="D249" s="50"/>
      <c r="E249" s="51"/>
      <c r="F249" s="50"/>
      <c r="G249" s="52"/>
      <c r="H249" s="50"/>
      <c r="I249" s="53"/>
      <c r="J249" s="50"/>
      <c r="K249" s="53"/>
      <c r="L249" s="50"/>
      <c r="M249" s="57"/>
      <c r="N249" s="55"/>
      <c r="O249" s="57"/>
      <c r="P249" s="57"/>
      <c r="Q249" s="59"/>
      <c r="R249" s="57"/>
      <c r="S249" s="57"/>
      <c r="T249" s="59"/>
      <c r="U249" s="57"/>
      <c r="V249" s="57"/>
      <c r="W249" s="59"/>
      <c r="X249" s="57"/>
      <c r="Y249" s="57"/>
      <c r="Z249" s="59" t="str">
        <f t="shared" si="94"/>
        <v/>
      </c>
      <c r="AA249" s="57"/>
      <c r="AB249" s="57"/>
      <c r="AC249" s="59" t="str">
        <f t="shared" si="95"/>
        <v/>
      </c>
      <c r="AD249" s="57"/>
      <c r="AE249" s="57"/>
      <c r="AF249" s="59" t="str">
        <f t="shared" si="96"/>
        <v/>
      </c>
      <c r="AG249" s="57"/>
      <c r="AH249" s="57"/>
      <c r="AI249" s="59" t="str">
        <f t="shared" si="97"/>
        <v/>
      </c>
      <c r="AJ249" s="57"/>
      <c r="AK249" s="57"/>
      <c r="AL249" s="59" t="str">
        <f t="shared" si="98"/>
        <v/>
      </c>
      <c r="AM249" s="57"/>
      <c r="AN249" s="57"/>
      <c r="AO249" s="59" t="str">
        <f t="shared" si="99"/>
        <v/>
      </c>
      <c r="AP249" s="57"/>
      <c r="AQ249" s="59" t="str">
        <f t="shared" si="82"/>
        <v/>
      </c>
      <c r="AR249" s="57"/>
      <c r="AS249" s="57"/>
      <c r="AT249" s="59" t="str">
        <f t="shared" si="81"/>
        <v/>
      </c>
    </row>
    <row r="250" spans="1:46" hidden="1">
      <c r="A250" s="24"/>
      <c r="B250" s="26" t="s">
        <v>366</v>
      </c>
      <c r="C250" s="26"/>
      <c r="D250" s="50"/>
      <c r="E250" s="51"/>
      <c r="F250" s="50"/>
      <c r="G250" s="52" t="s">
        <v>347</v>
      </c>
      <c r="H250" s="50">
        <v>7.45</v>
      </c>
      <c r="I250" s="53"/>
      <c r="J250" s="50">
        <v>7.45</v>
      </c>
      <c r="K250" s="53"/>
      <c r="L250" s="50">
        <v>7.45</v>
      </c>
      <c r="M250" s="57"/>
      <c r="N250" s="55">
        <v>5.3819444444444453E-3</v>
      </c>
      <c r="O250" s="57"/>
      <c r="P250" s="57"/>
      <c r="Q250" s="59">
        <f>IF(MIN(IF(ISBLANK(O250),N250,O250),IF(ISBLANK(N250),O250,N250))=0,"",MIN(IF(ISBLANK(O250),N250,O250),IF(ISBLANK(N250),O250,N250)))</f>
        <v>5.3819444444444453E-3</v>
      </c>
      <c r="R250" s="57"/>
      <c r="S250" s="57"/>
      <c r="T250" s="59">
        <f>IF(MIN(IF(ISBLANK(R250),Q250,R250),IF(ISBLANK(Q250),R250,Q250))=0,"",MIN(IF(ISBLANK(R250),Q250,R250),IF(ISBLANK(Q250),R250,Q250)))</f>
        <v>5.3819444444444453E-3</v>
      </c>
      <c r="U250" s="57"/>
      <c r="V250" s="57"/>
      <c r="W250" s="59">
        <f>IF(MIN(IF(ISBLANK(U250),T250,U250),IF(ISBLANK(T250),U250,T250))=0,"",MIN(IF(ISBLANK(U250),T250,U250),IF(ISBLANK(T250),U250,T250)))</f>
        <v>5.3819444444444453E-3</v>
      </c>
      <c r="X250" s="57"/>
      <c r="Y250" s="57"/>
      <c r="Z250" s="59">
        <f t="shared" si="94"/>
        <v>5.3819444444444453E-3</v>
      </c>
      <c r="AA250" s="57"/>
      <c r="AB250" s="57"/>
      <c r="AC250" s="59">
        <f t="shared" si="95"/>
        <v>5.3819444444444453E-3</v>
      </c>
      <c r="AD250" s="57"/>
      <c r="AE250" s="57"/>
      <c r="AF250" s="59">
        <f t="shared" si="96"/>
        <v>5.3819444444444453E-3</v>
      </c>
      <c r="AG250" s="57"/>
      <c r="AH250" s="57"/>
      <c r="AI250" s="59">
        <f t="shared" si="97"/>
        <v>5.3819444444444453E-3</v>
      </c>
      <c r="AJ250" s="57"/>
      <c r="AK250" s="57"/>
      <c r="AL250" s="59">
        <f t="shared" si="98"/>
        <v>5.3819444444444453E-3</v>
      </c>
      <c r="AM250" s="57"/>
      <c r="AN250" s="57"/>
      <c r="AO250" s="59">
        <f t="shared" si="99"/>
        <v>5.3819444444444453E-3</v>
      </c>
      <c r="AP250" s="57"/>
      <c r="AQ250" s="59">
        <f t="shared" si="82"/>
        <v>5.3819444444444453E-3</v>
      </c>
      <c r="AR250" s="57"/>
      <c r="AS250" s="57"/>
      <c r="AT250" s="59">
        <f t="shared" si="81"/>
        <v>5.3819444444444453E-3</v>
      </c>
    </row>
    <row r="251" spans="1:46" hidden="1">
      <c r="A251" s="24"/>
      <c r="B251" s="26" t="s">
        <v>392</v>
      </c>
      <c r="C251" s="26" t="s">
        <v>443</v>
      </c>
      <c r="D251" s="50"/>
      <c r="E251" s="51"/>
      <c r="F251" s="50"/>
      <c r="G251" s="52"/>
      <c r="H251" s="50"/>
      <c r="I251" s="53">
        <v>6.59</v>
      </c>
      <c r="J251" s="50">
        <v>6.59</v>
      </c>
      <c r="K251" s="53"/>
      <c r="L251" s="50">
        <v>6.59</v>
      </c>
      <c r="M251" s="57"/>
      <c r="N251" s="55">
        <v>4.8495370370370368E-3</v>
      </c>
      <c r="O251" s="57"/>
      <c r="P251" s="57"/>
      <c r="Q251" s="59">
        <f>IF(MIN(IF(ISBLANK(O251),N251,O251),IF(ISBLANK(N251),O251,N251))=0,"",MIN(IF(ISBLANK(O251),N251,O251),IF(ISBLANK(N251),O251,N251)))</f>
        <v>4.8495370370370368E-3</v>
      </c>
      <c r="R251" s="57"/>
      <c r="S251" s="57"/>
      <c r="T251" s="59">
        <f>IF(MIN(IF(ISBLANK(R251),Q251,R251),IF(ISBLANK(Q251),R251,Q251))=0,"",MIN(IF(ISBLANK(R251),Q251,R251),IF(ISBLANK(Q251),R251,Q251)))</f>
        <v>4.8495370370370368E-3</v>
      </c>
      <c r="U251" s="57"/>
      <c r="V251" s="57"/>
      <c r="W251" s="59">
        <f>IF(MIN(IF(ISBLANK(U251),T251,U251),IF(ISBLANK(T251),U251,T251))=0,"",MIN(IF(ISBLANK(U251),T251,U251),IF(ISBLANK(T251),U251,T251)))</f>
        <v>4.8495370370370368E-3</v>
      </c>
      <c r="X251" s="57"/>
      <c r="Y251" s="57"/>
      <c r="Z251" s="59">
        <f t="shared" si="94"/>
        <v>4.8495370370370368E-3</v>
      </c>
      <c r="AA251" s="57"/>
      <c r="AB251" s="57"/>
      <c r="AC251" s="59">
        <f t="shared" si="95"/>
        <v>4.8495370370370368E-3</v>
      </c>
      <c r="AD251" s="57"/>
      <c r="AE251" s="57"/>
      <c r="AF251" s="59">
        <f t="shared" si="96"/>
        <v>4.8495370370370368E-3</v>
      </c>
      <c r="AG251" s="57"/>
      <c r="AH251" s="57"/>
      <c r="AI251" s="59">
        <f t="shared" si="97"/>
        <v>4.8495370370370368E-3</v>
      </c>
      <c r="AJ251" s="57"/>
      <c r="AK251" s="57"/>
      <c r="AL251" s="59">
        <f t="shared" si="98"/>
        <v>4.8495370370370368E-3</v>
      </c>
      <c r="AM251" s="57"/>
      <c r="AN251" s="57"/>
      <c r="AO251" s="59">
        <f t="shared" si="99"/>
        <v>4.8495370370370368E-3</v>
      </c>
      <c r="AP251" s="57"/>
      <c r="AQ251" s="59">
        <f t="shared" si="82"/>
        <v>4.8495370370370368E-3</v>
      </c>
      <c r="AR251" s="57"/>
      <c r="AS251" s="57"/>
      <c r="AT251" s="59">
        <f t="shared" si="81"/>
        <v>4.8495370370370368E-3</v>
      </c>
    </row>
    <row r="252" spans="1:46">
      <c r="A252" s="24" t="s">
        <v>792</v>
      </c>
      <c r="B252" s="26" t="s">
        <v>531</v>
      </c>
      <c r="C252" s="26" t="s">
        <v>443</v>
      </c>
      <c r="D252" s="50"/>
      <c r="E252" s="51"/>
      <c r="F252" s="50"/>
      <c r="G252" s="52"/>
      <c r="H252" s="50"/>
      <c r="I252" s="53"/>
      <c r="J252" s="50"/>
      <c r="K252" s="53"/>
      <c r="L252" s="50"/>
      <c r="M252" s="57"/>
      <c r="N252" s="55" t="s">
        <v>448</v>
      </c>
      <c r="O252" s="57"/>
      <c r="P252" s="57"/>
      <c r="Q252" s="59" t="str">
        <f>IF(MIN(IF(ISBLANK(O252),N252,O252),IF(ISBLANK(N252),O252,N252))=0,"",MIN(IF(ISBLANK(O252),N252,O252),IF(ISBLANK(N252),O252,N252)))</f>
        <v/>
      </c>
      <c r="R252" s="57">
        <v>5.2546296296296299E-3</v>
      </c>
      <c r="S252" s="57"/>
      <c r="T252" s="59">
        <f>IF(MIN(IF(ISBLANK(R252),Q252,R252),IF(ISBLANK(Q252),R252,Q252))=0,"",MIN(IF(ISBLANK(R252),Q252,R252),IF(ISBLANK(Q252),R252,Q252)))</f>
        <v>5.2546296296296299E-3</v>
      </c>
      <c r="U252" s="57"/>
      <c r="V252" s="57"/>
      <c r="W252" s="59">
        <f>IF(MIN(IF(ISBLANK(U252),T252,U252),IF(ISBLANK(T252),U252,T252))=0,"",MIN(IF(ISBLANK(U252),T252,U252),IF(ISBLANK(T252),U252,T252)))</f>
        <v>5.2546296296296299E-3</v>
      </c>
      <c r="X252" s="57"/>
      <c r="Y252" s="57"/>
      <c r="Z252" s="59">
        <f t="shared" si="94"/>
        <v>5.2546296296296299E-3</v>
      </c>
      <c r="AA252" s="57"/>
      <c r="AB252" s="57"/>
      <c r="AC252" s="59">
        <f t="shared" si="95"/>
        <v>5.2546296296296299E-3</v>
      </c>
      <c r="AD252" s="57"/>
      <c r="AE252" s="57"/>
      <c r="AF252" s="59">
        <f t="shared" si="96"/>
        <v>5.2546296296296299E-3</v>
      </c>
      <c r="AG252" s="57"/>
      <c r="AH252" s="57"/>
      <c r="AI252" s="59">
        <f t="shared" si="97"/>
        <v>5.2546296296296299E-3</v>
      </c>
      <c r="AJ252" s="57"/>
      <c r="AK252" s="57"/>
      <c r="AL252" s="59">
        <f t="shared" si="98"/>
        <v>5.2546296296296299E-3</v>
      </c>
      <c r="AM252" s="57"/>
      <c r="AN252" s="57"/>
      <c r="AO252" s="59">
        <f t="shared" si="99"/>
        <v>5.2546296296296299E-3</v>
      </c>
      <c r="AP252" s="57"/>
      <c r="AQ252" s="59">
        <f t="shared" si="82"/>
        <v>5.2546296296296299E-3</v>
      </c>
      <c r="AR252" s="57"/>
      <c r="AS252" s="57"/>
      <c r="AT252" s="59">
        <f t="shared" si="81"/>
        <v>5.2546296296296299E-3</v>
      </c>
    </row>
    <row r="253" spans="1:46">
      <c r="A253" s="24" t="s">
        <v>792</v>
      </c>
      <c r="B253" s="26" t="s">
        <v>887</v>
      </c>
      <c r="C253" s="26" t="s">
        <v>444</v>
      </c>
      <c r="D253" s="50"/>
      <c r="E253" s="51"/>
      <c r="F253" s="50"/>
      <c r="G253" s="52"/>
      <c r="H253" s="50"/>
      <c r="I253" s="53"/>
      <c r="J253" s="50"/>
      <c r="K253" s="53"/>
      <c r="L253" s="50"/>
      <c r="M253" s="57"/>
      <c r="N253" s="55"/>
      <c r="O253" s="57"/>
      <c r="P253" s="57"/>
      <c r="Q253" s="59"/>
      <c r="R253" s="57"/>
      <c r="S253" s="57"/>
      <c r="T253" s="59"/>
      <c r="U253" s="57"/>
      <c r="V253" s="57"/>
      <c r="W253" s="59"/>
      <c r="X253" s="57"/>
      <c r="Y253" s="57"/>
      <c r="Z253" s="59"/>
      <c r="AA253" s="57"/>
      <c r="AB253" s="57"/>
      <c r="AC253" s="59"/>
      <c r="AD253" s="57"/>
      <c r="AE253" s="57"/>
      <c r="AF253" s="59"/>
      <c r="AG253" s="57"/>
      <c r="AH253" s="57"/>
      <c r="AI253" s="59"/>
      <c r="AJ253" s="57"/>
      <c r="AK253" s="57"/>
      <c r="AL253" s="59"/>
      <c r="AM253" s="57"/>
      <c r="AN253" s="57"/>
      <c r="AO253" s="59"/>
      <c r="AP253" s="57">
        <v>6.3425925925925915E-3</v>
      </c>
      <c r="AQ253" s="59">
        <f t="shared" si="82"/>
        <v>6.3425925925925915E-3</v>
      </c>
      <c r="AR253" s="57"/>
      <c r="AS253" s="57"/>
      <c r="AT253" s="59">
        <f t="shared" si="81"/>
        <v>6.3425925925925915E-3</v>
      </c>
    </row>
    <row r="254" spans="1:46">
      <c r="A254" s="24" t="s">
        <v>792</v>
      </c>
      <c r="B254" s="26" t="s">
        <v>785</v>
      </c>
      <c r="C254" s="26"/>
      <c r="D254" s="50"/>
      <c r="E254" s="51"/>
      <c r="F254" s="50"/>
      <c r="G254" s="52"/>
      <c r="H254" s="50"/>
      <c r="I254" s="53"/>
      <c r="J254" s="50"/>
      <c r="K254" s="53"/>
      <c r="L254" s="50"/>
      <c r="M254" s="57"/>
      <c r="N254" s="55"/>
      <c r="O254" s="57"/>
      <c r="P254" s="57"/>
      <c r="Q254" s="59"/>
      <c r="R254" s="57"/>
      <c r="S254" s="57"/>
      <c r="T254" s="59"/>
      <c r="U254" s="57"/>
      <c r="V254" s="57"/>
      <c r="W254" s="59"/>
      <c r="X254" s="57"/>
      <c r="Y254" s="57"/>
      <c r="Z254" s="59"/>
      <c r="AA254" s="57"/>
      <c r="AB254" s="57"/>
      <c r="AC254" s="59"/>
      <c r="AD254" s="57"/>
      <c r="AE254" s="57"/>
      <c r="AF254" s="59"/>
      <c r="AG254" s="57"/>
      <c r="AH254" s="57"/>
      <c r="AI254" s="59"/>
      <c r="AJ254" s="57"/>
      <c r="AK254" s="57"/>
      <c r="AL254" s="59" t="str">
        <f t="shared" ref="AL254:AL263" si="100">IF(MIN(IF(ISBLANK(AI254),AJ254,AI254),IF(ISBLANK(AJ254),AI254,AJ254))=0,"",MIN(IF(ISBLANK(AI254),AJ254,AI254),IF(ISBLANK(AJ254),AI254,AJ254)))</f>
        <v/>
      </c>
      <c r="AM254" s="57"/>
      <c r="AN254" s="57"/>
      <c r="AO254" s="59" t="str">
        <f t="shared" ref="AO254:AO263" si="101">IF(MIN(IF(ISBLANK(AL254),AM254,AL254),IF(ISBLANK(AM254),AL254,AM254))=0,"",MIN(IF(ISBLANK(AL254),AM254,AL254),IF(ISBLANK(AM254),AL254,AM254)))</f>
        <v/>
      </c>
      <c r="AP254" s="57"/>
      <c r="AQ254" s="59" t="str">
        <f t="shared" si="82"/>
        <v/>
      </c>
      <c r="AR254" s="57"/>
      <c r="AS254" s="57"/>
      <c r="AT254" s="59" t="str">
        <f t="shared" si="81"/>
        <v/>
      </c>
    </row>
    <row r="255" spans="1:46" hidden="1">
      <c r="A255" s="24"/>
      <c r="B255" s="26" t="s">
        <v>536</v>
      </c>
      <c r="C255" s="26"/>
      <c r="D255" s="50"/>
      <c r="E255" s="51"/>
      <c r="F255" s="50"/>
      <c r="G255" s="52"/>
      <c r="H255" s="50"/>
      <c r="I255" s="53"/>
      <c r="J255" s="50"/>
      <c r="K255" s="53"/>
      <c r="L255" s="50"/>
      <c r="M255" s="57"/>
      <c r="N255" s="55" t="s">
        <v>448</v>
      </c>
      <c r="O255" s="57"/>
      <c r="P255" s="57"/>
      <c r="Q255" s="59" t="str">
        <f>IF(MIN(IF(ISBLANK(O255),N255,O255),IF(ISBLANK(N255),O255,N255))=0,"",MIN(IF(ISBLANK(O255),N255,O255),IF(ISBLANK(N255),O255,N255)))</f>
        <v/>
      </c>
      <c r="R255" s="57"/>
      <c r="S255" s="57"/>
      <c r="T255" s="59" t="str">
        <f>IF(MIN(IF(ISBLANK(R255),Q255,R255),IF(ISBLANK(Q255),R255,Q255))=0,"",MIN(IF(ISBLANK(R255),Q255,R255),IF(ISBLANK(Q255),R255,Q255)))</f>
        <v/>
      </c>
      <c r="U255" s="57"/>
      <c r="V255" s="57"/>
      <c r="W255" s="59" t="str">
        <f>IF(MIN(IF(ISBLANK(U255),T255,U255),IF(ISBLANK(T255),U255,T255))=0,"",MIN(IF(ISBLANK(U255),T255,U255),IF(ISBLANK(T255),U255,T255)))</f>
        <v/>
      </c>
      <c r="X255" s="57"/>
      <c r="Y255" s="57"/>
      <c r="Z255" s="59" t="str">
        <f>IF(MIN(IF(ISBLANK(X255),W255,X255),IF(ISBLANK(W255),X255,W255))=0,"",MIN(IF(ISBLANK(X255),W255,X255),IF(ISBLANK(W255),X255,W255)))</f>
        <v/>
      </c>
      <c r="AA255" s="57"/>
      <c r="AB255" s="57"/>
      <c r="AC255" s="59" t="str">
        <f>IF(MIN(IF(ISBLANK(Z255),AA255,Z255),IF(ISBLANK(AA255),Z255,AA255))=0,"",MIN(IF(ISBLANK(Z255),AA255,Z255),IF(ISBLANK(AA255),Z255,AA255)))</f>
        <v/>
      </c>
      <c r="AD255" s="57"/>
      <c r="AE255" s="57"/>
      <c r="AF255" s="59" t="str">
        <f t="shared" ref="AF255:AF263" si="102">IF(MIN(IF(ISBLANK(AC255),AD255,AC255),IF(ISBLANK(AD255),AC255,AD255))=0,"",MIN(IF(ISBLANK(AC255),AD255,AC255),IF(ISBLANK(AD255),AC255,AD255)))</f>
        <v/>
      </c>
      <c r="AG255" s="57"/>
      <c r="AH255" s="57"/>
      <c r="AI255" s="59" t="str">
        <f t="shared" ref="AI255:AI263" si="103">IF(MIN(IF(ISBLANK(AF255),AG255,AF255),IF(ISBLANK(AG255),AF255,AG255))=0,"",MIN(IF(ISBLANK(AF255),AG255,AF255),IF(ISBLANK(AG255),AF255,AG255)))</f>
        <v/>
      </c>
      <c r="AJ255" s="57"/>
      <c r="AK255" s="57"/>
      <c r="AL255" s="59" t="str">
        <f t="shared" si="100"/>
        <v/>
      </c>
      <c r="AM255" s="57"/>
      <c r="AN255" s="57"/>
      <c r="AO255" s="59" t="str">
        <f t="shared" si="101"/>
        <v/>
      </c>
      <c r="AP255" s="57"/>
      <c r="AQ255" s="59" t="str">
        <f t="shared" si="82"/>
        <v/>
      </c>
      <c r="AR255" s="57"/>
      <c r="AS255" s="57"/>
      <c r="AT255" s="59" t="str">
        <f t="shared" si="81"/>
        <v/>
      </c>
    </row>
    <row r="256" spans="1:46" hidden="1">
      <c r="A256" s="24"/>
      <c r="B256" s="26" t="s">
        <v>635</v>
      </c>
      <c r="C256" s="26"/>
      <c r="D256" s="50"/>
      <c r="E256" s="51"/>
      <c r="F256" s="50"/>
      <c r="G256" s="52"/>
      <c r="H256" s="50"/>
      <c r="I256" s="53"/>
      <c r="J256" s="50"/>
      <c r="K256" s="53"/>
      <c r="L256" s="50"/>
      <c r="M256" s="57"/>
      <c r="N256" s="55"/>
      <c r="O256" s="57"/>
      <c r="P256" s="57"/>
      <c r="Q256" s="59"/>
      <c r="R256" s="57"/>
      <c r="S256" s="57"/>
      <c r="T256" s="59"/>
      <c r="U256" s="57"/>
      <c r="V256" s="57"/>
      <c r="W256" s="59"/>
      <c r="X256" s="57"/>
      <c r="Y256" s="57"/>
      <c r="Z256" s="59" t="str">
        <f>IF(MIN(IF(ISBLANK(X256),W256,X256),IF(ISBLANK(W256),X256,W256))=0,"",MIN(IF(ISBLANK(X256),W256,X256),IF(ISBLANK(W256),X256,W256)))</f>
        <v/>
      </c>
      <c r="AA256" s="57"/>
      <c r="AB256" s="57"/>
      <c r="AC256" s="59" t="str">
        <f>IF(MIN(IF(ISBLANK(Z256),AA256,Z256),IF(ISBLANK(AA256),Z256,AA256))=0,"",MIN(IF(ISBLANK(Z256),AA256,Z256),IF(ISBLANK(AA256),Z256,AA256)))</f>
        <v/>
      </c>
      <c r="AD256" s="57"/>
      <c r="AE256" s="57"/>
      <c r="AF256" s="59" t="str">
        <f t="shared" si="102"/>
        <v/>
      </c>
      <c r="AG256" s="57"/>
      <c r="AH256" s="57"/>
      <c r="AI256" s="59" t="str">
        <f t="shared" si="103"/>
        <v/>
      </c>
      <c r="AJ256" s="57"/>
      <c r="AK256" s="57"/>
      <c r="AL256" s="59" t="str">
        <f t="shared" si="100"/>
        <v/>
      </c>
      <c r="AM256" s="57"/>
      <c r="AN256" s="57"/>
      <c r="AO256" s="59" t="str">
        <f t="shared" si="101"/>
        <v/>
      </c>
      <c r="AP256" s="57"/>
      <c r="AQ256" s="59" t="str">
        <f t="shared" si="82"/>
        <v/>
      </c>
      <c r="AR256" s="57"/>
      <c r="AS256" s="57"/>
      <c r="AT256" s="59" t="str">
        <f t="shared" si="81"/>
        <v/>
      </c>
    </row>
    <row r="257" spans="1:46" hidden="1">
      <c r="A257" s="24"/>
      <c r="B257" s="26" t="s">
        <v>393</v>
      </c>
      <c r="C257" s="26" t="s">
        <v>443</v>
      </c>
      <c r="D257" s="50"/>
      <c r="E257" s="51"/>
      <c r="F257" s="50"/>
      <c r="G257" s="52"/>
      <c r="H257" s="50"/>
      <c r="I257" s="53"/>
      <c r="J257" s="50" t="s">
        <v>448</v>
      </c>
      <c r="K257" s="53">
        <v>9.19</v>
      </c>
      <c r="L257" s="50">
        <v>9.19</v>
      </c>
      <c r="M257" s="57"/>
      <c r="N257" s="55">
        <v>6.4699074074074069E-3</v>
      </c>
      <c r="O257" s="57"/>
      <c r="P257" s="57"/>
      <c r="Q257" s="59">
        <f>IF(MIN(IF(ISBLANK(O257),N257,O257),IF(ISBLANK(N257),O257,N257))=0,"",MIN(IF(ISBLANK(O257),N257,O257),IF(ISBLANK(N257),O257,N257)))</f>
        <v>6.4699074074074069E-3</v>
      </c>
      <c r="R257" s="57"/>
      <c r="S257" s="57"/>
      <c r="T257" s="59">
        <f>IF(MIN(IF(ISBLANK(R257),Q257,R257),IF(ISBLANK(Q257),R257,Q257))=0,"",MIN(IF(ISBLANK(R257),Q257,R257),IF(ISBLANK(Q257),R257,Q257)))</f>
        <v>6.4699074074074069E-3</v>
      </c>
      <c r="U257" s="57"/>
      <c r="V257" s="57"/>
      <c r="W257" s="59">
        <f>IF(MIN(IF(ISBLANK(U257),T257,U257),IF(ISBLANK(T257),U257,T257))=0,"",MIN(IF(ISBLANK(U257),T257,U257),IF(ISBLANK(T257),U257,T257)))</f>
        <v>6.4699074074074069E-3</v>
      </c>
      <c r="X257" s="57"/>
      <c r="Y257" s="57"/>
      <c r="Z257" s="59">
        <f>IF(MIN(IF(ISBLANK(X257),W257,X257),IF(ISBLANK(W257),X257,W257))=0,"",MIN(IF(ISBLANK(X257),W257,X257),IF(ISBLANK(W257),X257,W257)))</f>
        <v>6.4699074074074069E-3</v>
      </c>
      <c r="AA257" s="57"/>
      <c r="AB257" s="57"/>
      <c r="AC257" s="59">
        <f>IF(MIN(IF(ISBLANK(Z257),AA257,Z257),IF(ISBLANK(AA257),Z257,AA257))=0,"",MIN(IF(ISBLANK(Z257),AA257,Z257),IF(ISBLANK(AA257),Z257,AA257)))</f>
        <v>6.4699074074074069E-3</v>
      </c>
      <c r="AD257" s="57"/>
      <c r="AE257" s="57"/>
      <c r="AF257" s="59">
        <f t="shared" si="102"/>
        <v>6.4699074074074069E-3</v>
      </c>
      <c r="AG257" s="57"/>
      <c r="AH257" s="57"/>
      <c r="AI257" s="59">
        <f t="shared" si="103"/>
        <v>6.4699074074074069E-3</v>
      </c>
      <c r="AJ257" s="57"/>
      <c r="AK257" s="57"/>
      <c r="AL257" s="59">
        <f t="shared" si="100"/>
        <v>6.4699074074074069E-3</v>
      </c>
      <c r="AM257" s="57"/>
      <c r="AN257" s="57"/>
      <c r="AO257" s="59">
        <f t="shared" si="101"/>
        <v>6.4699074074074069E-3</v>
      </c>
      <c r="AP257" s="57"/>
      <c r="AQ257" s="59">
        <f t="shared" si="82"/>
        <v>6.4699074074074069E-3</v>
      </c>
      <c r="AR257" s="57"/>
      <c r="AS257" s="57"/>
      <c r="AT257" s="59">
        <f t="shared" si="81"/>
        <v>6.4699074074074069E-3</v>
      </c>
    </row>
    <row r="258" spans="1:46" hidden="1">
      <c r="A258" s="24"/>
      <c r="B258" s="26" t="s">
        <v>636</v>
      </c>
      <c r="C258" s="26"/>
      <c r="D258" s="50"/>
      <c r="E258" s="51"/>
      <c r="F258" s="50"/>
      <c r="G258" s="52"/>
      <c r="H258" s="50"/>
      <c r="I258" s="53"/>
      <c r="J258" s="50"/>
      <c r="K258" s="53"/>
      <c r="L258" s="50"/>
      <c r="M258" s="57"/>
      <c r="N258" s="55"/>
      <c r="O258" s="57"/>
      <c r="P258" s="57"/>
      <c r="Q258" s="59"/>
      <c r="R258" s="57"/>
      <c r="S258" s="57"/>
      <c r="T258" s="59"/>
      <c r="U258" s="57"/>
      <c r="V258" s="57"/>
      <c r="W258" s="59"/>
      <c r="X258" s="57"/>
      <c r="Y258" s="57"/>
      <c r="Z258" s="59" t="str">
        <f>IF(MIN(IF(ISBLANK(X258),W258,X258),IF(ISBLANK(W258),X258,W258))=0,"",MIN(IF(ISBLANK(X258),W258,X258),IF(ISBLANK(W258),X258,W258)))</f>
        <v/>
      </c>
      <c r="AA258" s="57"/>
      <c r="AB258" s="57"/>
      <c r="AC258" s="59" t="str">
        <f>IF(MIN(IF(ISBLANK(Z258),AA258,Z258),IF(ISBLANK(AA258),Z258,AA258))=0,"",MIN(IF(ISBLANK(Z258),AA258,Z258),IF(ISBLANK(AA258),Z258,AA258)))</f>
        <v/>
      </c>
      <c r="AD258" s="57"/>
      <c r="AE258" s="57"/>
      <c r="AF258" s="59" t="str">
        <f t="shared" si="102"/>
        <v/>
      </c>
      <c r="AG258" s="57"/>
      <c r="AH258" s="57"/>
      <c r="AI258" s="59" t="str">
        <f t="shared" si="103"/>
        <v/>
      </c>
      <c r="AJ258" s="57"/>
      <c r="AK258" s="57"/>
      <c r="AL258" s="59" t="str">
        <f t="shared" si="100"/>
        <v/>
      </c>
      <c r="AM258" s="57"/>
      <c r="AN258" s="57"/>
      <c r="AO258" s="59" t="str">
        <f t="shared" si="101"/>
        <v/>
      </c>
      <c r="AP258" s="57"/>
      <c r="AQ258" s="59" t="str">
        <f t="shared" si="82"/>
        <v/>
      </c>
      <c r="AR258" s="57"/>
      <c r="AS258" s="57"/>
      <c r="AT258" s="59" t="str">
        <f t="shared" si="81"/>
        <v/>
      </c>
    </row>
    <row r="259" spans="1:46" hidden="1">
      <c r="A259" s="24"/>
      <c r="B259" s="26" t="s">
        <v>734</v>
      </c>
      <c r="C259" s="26"/>
      <c r="D259" s="50"/>
      <c r="E259" s="51"/>
      <c r="F259" s="50"/>
      <c r="G259" s="52"/>
      <c r="H259" s="50"/>
      <c r="I259" s="53"/>
      <c r="J259" s="50"/>
      <c r="K259" s="53"/>
      <c r="L259" s="50"/>
      <c r="M259" s="57"/>
      <c r="N259" s="55"/>
      <c r="O259" s="57"/>
      <c r="P259" s="57"/>
      <c r="Q259" s="59"/>
      <c r="R259" s="57"/>
      <c r="S259" s="57"/>
      <c r="T259" s="59"/>
      <c r="U259" s="57"/>
      <c r="V259" s="57"/>
      <c r="W259" s="59"/>
      <c r="X259" s="57"/>
      <c r="Y259" s="57"/>
      <c r="Z259" s="59"/>
      <c r="AA259" s="57"/>
      <c r="AB259" s="57"/>
      <c r="AC259" s="59"/>
      <c r="AD259" s="57"/>
      <c r="AE259" s="57"/>
      <c r="AF259" s="59" t="str">
        <f t="shared" si="102"/>
        <v/>
      </c>
      <c r="AG259" s="57"/>
      <c r="AH259" s="57"/>
      <c r="AI259" s="59" t="str">
        <f t="shared" si="103"/>
        <v/>
      </c>
      <c r="AJ259" s="57"/>
      <c r="AK259" s="57"/>
      <c r="AL259" s="59" t="str">
        <f t="shared" si="100"/>
        <v/>
      </c>
      <c r="AM259" s="57"/>
      <c r="AN259" s="57"/>
      <c r="AO259" s="59" t="str">
        <f t="shared" si="101"/>
        <v/>
      </c>
      <c r="AP259" s="57"/>
      <c r="AQ259" s="59" t="str">
        <f t="shared" si="82"/>
        <v/>
      </c>
      <c r="AR259" s="57"/>
      <c r="AS259" s="57"/>
      <c r="AT259" s="59" t="str">
        <f t="shared" si="81"/>
        <v/>
      </c>
    </row>
    <row r="260" spans="1:46">
      <c r="A260" s="24" t="s">
        <v>792</v>
      </c>
      <c r="B260" s="26" t="s">
        <v>716</v>
      </c>
      <c r="C260" s="26"/>
      <c r="D260" s="50"/>
      <c r="E260" s="51"/>
      <c r="F260" s="50"/>
      <c r="G260" s="52"/>
      <c r="H260" s="50"/>
      <c r="I260" s="53"/>
      <c r="J260" s="50"/>
      <c r="K260" s="53"/>
      <c r="L260" s="50"/>
      <c r="M260" s="57"/>
      <c r="N260" s="55"/>
      <c r="O260" s="57"/>
      <c r="P260" s="57"/>
      <c r="Q260" s="59"/>
      <c r="R260" s="57"/>
      <c r="S260" s="57"/>
      <c r="T260" s="59"/>
      <c r="U260" s="57"/>
      <c r="V260" s="57"/>
      <c r="W260" s="59"/>
      <c r="X260" s="57"/>
      <c r="Y260" s="57"/>
      <c r="Z260" s="59"/>
      <c r="AA260" s="57"/>
      <c r="AB260" s="57"/>
      <c r="AC260" s="59"/>
      <c r="AD260" s="57">
        <v>7.5000000000000006E-3</v>
      </c>
      <c r="AE260" s="57"/>
      <c r="AF260" s="59">
        <f t="shared" si="102"/>
        <v>7.5000000000000006E-3</v>
      </c>
      <c r="AG260" s="57">
        <v>7.2800925925925915E-3</v>
      </c>
      <c r="AH260" s="57"/>
      <c r="AI260" s="59">
        <f t="shared" si="103"/>
        <v>7.2800925925925915E-3</v>
      </c>
      <c r="AJ260" s="57"/>
      <c r="AK260" s="57"/>
      <c r="AL260" s="59">
        <f t="shared" si="100"/>
        <v>7.2800925925925915E-3</v>
      </c>
      <c r="AM260" s="57"/>
      <c r="AN260" s="57"/>
      <c r="AO260" s="59">
        <f t="shared" si="101"/>
        <v>7.2800925925925915E-3</v>
      </c>
      <c r="AP260" s="57"/>
      <c r="AQ260" s="59">
        <f t="shared" si="82"/>
        <v>7.2800925925925915E-3</v>
      </c>
      <c r="AR260" s="57"/>
      <c r="AS260" s="57"/>
      <c r="AT260" s="59">
        <f t="shared" si="81"/>
        <v>7.2800925925925915E-3</v>
      </c>
    </row>
    <row r="261" spans="1:46" hidden="1">
      <c r="A261" s="24"/>
      <c r="B261" s="26" t="s">
        <v>235</v>
      </c>
      <c r="C261" s="26"/>
      <c r="D261" s="50"/>
      <c r="E261" s="51"/>
      <c r="F261" s="50" t="s">
        <v>448</v>
      </c>
      <c r="G261" s="52"/>
      <c r="H261" s="50"/>
      <c r="I261" s="53"/>
      <c r="J261" s="50" t="s">
        <v>448</v>
      </c>
      <c r="K261" s="53"/>
      <c r="L261" s="50"/>
      <c r="M261" s="57"/>
      <c r="N261" s="55" t="s">
        <v>448</v>
      </c>
      <c r="O261" s="57"/>
      <c r="P261" s="57"/>
      <c r="Q261" s="59" t="str">
        <f>IF(MIN(IF(ISBLANK(O261),N261,O261),IF(ISBLANK(N261),O261,N261))=0,"",MIN(IF(ISBLANK(O261),N261,O261),IF(ISBLANK(N261),O261,N261)))</f>
        <v/>
      </c>
      <c r="R261" s="57"/>
      <c r="S261" s="57"/>
      <c r="T261" s="59" t="str">
        <f>IF(MIN(IF(ISBLANK(R261),Q261,R261),IF(ISBLANK(Q261),R261,Q261))=0,"",MIN(IF(ISBLANK(R261),Q261,R261),IF(ISBLANK(Q261),R261,Q261)))</f>
        <v/>
      </c>
      <c r="U261" s="57"/>
      <c r="V261" s="57"/>
      <c r="W261" s="59" t="str">
        <f>IF(MIN(IF(ISBLANK(U261),T261,U261),IF(ISBLANK(T261),U261,T261))=0,"",MIN(IF(ISBLANK(U261),T261,U261),IF(ISBLANK(T261),U261,T261)))</f>
        <v/>
      </c>
      <c r="X261" s="57"/>
      <c r="Y261" s="57"/>
      <c r="Z261" s="59" t="str">
        <f>IF(MIN(IF(ISBLANK(X261),W261,X261),IF(ISBLANK(W261),X261,W261))=0,"",MIN(IF(ISBLANK(X261),W261,X261),IF(ISBLANK(W261),X261,W261)))</f>
        <v/>
      </c>
      <c r="AA261" s="57"/>
      <c r="AB261" s="57"/>
      <c r="AC261" s="59" t="str">
        <f>IF(MIN(IF(ISBLANK(Z261),AA261,Z261),IF(ISBLANK(AA261),Z261,AA261))=0,"",MIN(IF(ISBLANK(Z261),AA261,Z261),IF(ISBLANK(AA261),Z261,AA261)))</f>
        <v/>
      </c>
      <c r="AD261" s="57"/>
      <c r="AE261" s="57"/>
      <c r="AF261" s="59" t="str">
        <f t="shared" si="102"/>
        <v/>
      </c>
      <c r="AG261" s="57"/>
      <c r="AH261" s="57"/>
      <c r="AI261" s="59" t="str">
        <f t="shared" si="103"/>
        <v/>
      </c>
      <c r="AJ261" s="57"/>
      <c r="AK261" s="57"/>
      <c r="AL261" s="59" t="str">
        <f t="shared" si="100"/>
        <v/>
      </c>
      <c r="AM261" s="57"/>
      <c r="AN261" s="57"/>
      <c r="AO261" s="59" t="str">
        <f t="shared" si="101"/>
        <v/>
      </c>
      <c r="AP261" s="57"/>
      <c r="AQ261" s="59" t="str">
        <f t="shared" si="82"/>
        <v/>
      </c>
      <c r="AR261" s="57"/>
      <c r="AS261" s="57"/>
      <c r="AT261" s="59" t="str">
        <f t="shared" si="81"/>
        <v/>
      </c>
    </row>
    <row r="262" spans="1:46" hidden="1">
      <c r="A262" s="24"/>
      <c r="B262" s="26" t="s">
        <v>253</v>
      </c>
      <c r="C262" s="26" t="s">
        <v>443</v>
      </c>
      <c r="D262" s="50"/>
      <c r="E262" s="51"/>
      <c r="F262" s="50" t="s">
        <v>448</v>
      </c>
      <c r="G262" s="52"/>
      <c r="H262" s="50"/>
      <c r="I262" s="53"/>
      <c r="J262" s="50" t="s">
        <v>448</v>
      </c>
      <c r="K262" s="53"/>
      <c r="L262" s="50"/>
      <c r="M262" s="57"/>
      <c r="N262" s="55" t="s">
        <v>448</v>
      </c>
      <c r="O262" s="57"/>
      <c r="P262" s="57"/>
      <c r="Q262" s="59" t="str">
        <f>IF(MIN(IF(ISBLANK(O262),N262,O262),IF(ISBLANK(N262),O262,N262))=0,"",MIN(IF(ISBLANK(O262),N262,O262),IF(ISBLANK(N262),O262,N262)))</f>
        <v/>
      </c>
      <c r="R262" s="57"/>
      <c r="S262" s="57"/>
      <c r="T262" s="59" t="str">
        <f>IF(MIN(IF(ISBLANK(R262),Q262,R262),IF(ISBLANK(Q262),R262,Q262))=0,"",MIN(IF(ISBLANK(R262),Q262,R262),IF(ISBLANK(Q262),R262,Q262)))</f>
        <v/>
      </c>
      <c r="U262" s="57"/>
      <c r="V262" s="57"/>
      <c r="W262" s="59" t="str">
        <f>IF(MIN(IF(ISBLANK(U262),T262,U262),IF(ISBLANK(T262),U262,T262))=0,"",MIN(IF(ISBLANK(U262),T262,U262),IF(ISBLANK(T262),U262,T262)))</f>
        <v/>
      </c>
      <c r="X262" s="57"/>
      <c r="Y262" s="57"/>
      <c r="Z262" s="59" t="str">
        <f>IF(MIN(IF(ISBLANK(X262),W262,X262),IF(ISBLANK(W262),X262,W262))=0,"",MIN(IF(ISBLANK(X262),W262,X262),IF(ISBLANK(W262),X262,W262)))</f>
        <v/>
      </c>
      <c r="AA262" s="57"/>
      <c r="AB262" s="57"/>
      <c r="AC262" s="59" t="str">
        <f>IF(MIN(IF(ISBLANK(Z262),AA262,Z262),IF(ISBLANK(AA262),Z262,AA262))=0,"",MIN(IF(ISBLANK(Z262),AA262,Z262),IF(ISBLANK(AA262),Z262,AA262)))</f>
        <v/>
      </c>
      <c r="AD262" s="57"/>
      <c r="AE262" s="57"/>
      <c r="AF262" s="59" t="str">
        <f t="shared" si="102"/>
        <v/>
      </c>
      <c r="AG262" s="57"/>
      <c r="AH262" s="57"/>
      <c r="AI262" s="59" t="str">
        <f t="shared" si="103"/>
        <v/>
      </c>
      <c r="AJ262" s="57"/>
      <c r="AK262" s="57"/>
      <c r="AL262" s="59" t="str">
        <f t="shared" si="100"/>
        <v/>
      </c>
      <c r="AM262" s="57"/>
      <c r="AN262" s="57"/>
      <c r="AO262" s="59" t="str">
        <f t="shared" si="101"/>
        <v/>
      </c>
      <c r="AP262" s="57"/>
      <c r="AQ262" s="59" t="str">
        <f t="shared" si="82"/>
        <v/>
      </c>
      <c r="AR262" s="57"/>
      <c r="AS262" s="57"/>
      <c r="AT262" s="59" t="str">
        <f t="shared" si="81"/>
        <v/>
      </c>
    </row>
    <row r="263" spans="1:46" hidden="1">
      <c r="A263" s="24"/>
      <c r="B263" s="26" t="s">
        <v>35</v>
      </c>
      <c r="C263" s="26"/>
      <c r="D263" s="50"/>
      <c r="E263" s="51"/>
      <c r="F263" s="50" t="s">
        <v>448</v>
      </c>
      <c r="G263" s="52"/>
      <c r="H263" s="50"/>
      <c r="I263" s="53"/>
      <c r="J263" s="50" t="s">
        <v>448</v>
      </c>
      <c r="K263" s="53"/>
      <c r="L263" s="50"/>
      <c r="M263" s="57"/>
      <c r="N263" s="55" t="s">
        <v>448</v>
      </c>
      <c r="O263" s="57"/>
      <c r="P263" s="57"/>
      <c r="Q263" s="59" t="str">
        <f>IF(MIN(IF(ISBLANK(O263),N263,O263),IF(ISBLANK(N263),O263,N263))=0,"",MIN(IF(ISBLANK(O263),N263,O263),IF(ISBLANK(N263),O263,N263)))</f>
        <v/>
      </c>
      <c r="R263" s="57"/>
      <c r="S263" s="57"/>
      <c r="T263" s="59" t="str">
        <f>IF(MIN(IF(ISBLANK(R263),Q263,R263),IF(ISBLANK(Q263),R263,Q263))=0,"",MIN(IF(ISBLANK(R263),Q263,R263),IF(ISBLANK(Q263),R263,Q263)))</f>
        <v/>
      </c>
      <c r="U263" s="57"/>
      <c r="V263" s="57"/>
      <c r="W263" s="59" t="str">
        <f>IF(MIN(IF(ISBLANK(U263),T263,U263),IF(ISBLANK(T263),U263,T263))=0,"",MIN(IF(ISBLANK(U263),T263,U263),IF(ISBLANK(T263),U263,T263)))</f>
        <v/>
      </c>
      <c r="X263" s="57"/>
      <c r="Y263" s="57"/>
      <c r="Z263" s="59" t="str">
        <f>IF(MIN(IF(ISBLANK(X263),W263,X263),IF(ISBLANK(W263),X263,W263))=0,"",MIN(IF(ISBLANK(X263),W263,X263),IF(ISBLANK(W263),X263,W263)))</f>
        <v/>
      </c>
      <c r="AA263" s="57"/>
      <c r="AB263" s="57"/>
      <c r="AC263" s="59" t="str">
        <f>IF(MIN(IF(ISBLANK(Z263),AA263,Z263),IF(ISBLANK(AA263),Z263,AA263))=0,"",MIN(IF(ISBLANK(Z263),AA263,Z263),IF(ISBLANK(AA263),Z263,AA263)))</f>
        <v/>
      </c>
      <c r="AD263" s="57"/>
      <c r="AE263" s="57"/>
      <c r="AF263" s="59" t="str">
        <f t="shared" si="102"/>
        <v/>
      </c>
      <c r="AG263" s="57"/>
      <c r="AH263" s="57"/>
      <c r="AI263" s="59" t="str">
        <f t="shared" si="103"/>
        <v/>
      </c>
      <c r="AJ263" s="57"/>
      <c r="AK263" s="57"/>
      <c r="AL263" s="59" t="str">
        <f t="shared" si="100"/>
        <v/>
      </c>
      <c r="AM263" s="57"/>
      <c r="AN263" s="57"/>
      <c r="AO263" s="59" t="str">
        <f t="shared" si="101"/>
        <v/>
      </c>
      <c r="AP263" s="57"/>
      <c r="AQ263" s="59" t="str">
        <f t="shared" si="82"/>
        <v/>
      </c>
      <c r="AR263" s="57"/>
      <c r="AS263" s="57"/>
      <c r="AT263" s="59" t="str">
        <f t="shared" si="81"/>
        <v/>
      </c>
    </row>
    <row r="264" spans="1:46">
      <c r="A264" s="24" t="s">
        <v>792</v>
      </c>
      <c r="B264" s="26" t="s">
        <v>884</v>
      </c>
      <c r="C264" s="26" t="s">
        <v>444</v>
      </c>
      <c r="D264" s="50"/>
      <c r="E264" s="51"/>
      <c r="F264" s="50"/>
      <c r="G264" s="52"/>
      <c r="H264" s="50"/>
      <c r="I264" s="53"/>
      <c r="J264" s="50"/>
      <c r="K264" s="53"/>
      <c r="L264" s="50"/>
      <c r="M264" s="57"/>
      <c r="N264" s="55"/>
      <c r="O264" s="57"/>
      <c r="P264" s="57"/>
      <c r="Q264" s="59"/>
      <c r="R264" s="57"/>
      <c r="S264" s="57"/>
      <c r="T264" s="59"/>
      <c r="U264" s="57"/>
      <c r="V264" s="57"/>
      <c r="W264" s="59"/>
      <c r="X264" s="57"/>
      <c r="Y264" s="57"/>
      <c r="Z264" s="59"/>
      <c r="AA264" s="57"/>
      <c r="AB264" s="57"/>
      <c r="AC264" s="59"/>
      <c r="AD264" s="57"/>
      <c r="AE264" s="57"/>
      <c r="AF264" s="59"/>
      <c r="AG264" s="57"/>
      <c r="AH264" s="57"/>
      <c r="AI264" s="59"/>
      <c r="AJ264" s="57"/>
      <c r="AK264" s="57"/>
      <c r="AL264" s="59"/>
      <c r="AM264" s="57"/>
      <c r="AN264" s="57"/>
      <c r="AO264" s="59"/>
      <c r="AP264" s="57"/>
      <c r="AQ264" s="59" t="str">
        <f t="shared" si="82"/>
        <v/>
      </c>
      <c r="AR264" s="57"/>
      <c r="AS264" s="57"/>
      <c r="AT264" s="59" t="str">
        <f t="shared" si="81"/>
        <v/>
      </c>
    </row>
    <row r="265" spans="1:46">
      <c r="A265" s="24" t="s">
        <v>792</v>
      </c>
      <c r="B265" s="26" t="s">
        <v>819</v>
      </c>
      <c r="C265" s="26"/>
      <c r="D265" s="55"/>
      <c r="E265" s="51"/>
      <c r="F265" s="55"/>
      <c r="G265" s="52"/>
      <c r="H265" s="55"/>
      <c r="I265" s="53"/>
      <c r="J265" s="55"/>
      <c r="K265" s="53"/>
      <c r="L265" s="55"/>
      <c r="M265" s="57"/>
      <c r="N265" s="55"/>
      <c r="O265" s="57"/>
      <c r="P265" s="57"/>
      <c r="Q265" s="59"/>
      <c r="R265" s="57"/>
      <c r="S265" s="57"/>
      <c r="T265" s="59"/>
      <c r="U265" s="57"/>
      <c r="V265" s="57"/>
      <c r="W265" s="59"/>
      <c r="X265" s="57"/>
      <c r="Y265" s="57"/>
      <c r="Z265" s="59"/>
      <c r="AA265" s="57"/>
      <c r="AB265" s="57"/>
      <c r="AC265" s="59"/>
      <c r="AD265" s="57"/>
      <c r="AE265" s="57"/>
      <c r="AF265" s="59"/>
      <c r="AG265" s="57"/>
      <c r="AH265" s="57"/>
      <c r="AI265" s="59"/>
      <c r="AJ265" s="57"/>
      <c r="AK265" s="57"/>
      <c r="AL265" s="59"/>
      <c r="AM265" s="57">
        <v>8.2407407407407412E-3</v>
      </c>
      <c r="AN265" s="57"/>
      <c r="AO265" s="59">
        <f>IF(MIN(IF(ISBLANK(AL265),AM265,AL265),IF(ISBLANK(AM265),AL265,AM265))=0,"",MIN(IF(ISBLANK(AL265),AM265,AL265),IF(ISBLANK(AM265),AL265,AM265)))</f>
        <v>8.2407407407407412E-3</v>
      </c>
      <c r="AP265" s="57"/>
      <c r="AQ265" s="59">
        <f t="shared" si="82"/>
        <v>8.2407407407407412E-3</v>
      </c>
      <c r="AR265" s="57"/>
      <c r="AS265" s="57"/>
      <c r="AT265" s="59">
        <f t="shared" si="81"/>
        <v>8.2407407407407412E-3</v>
      </c>
    </row>
    <row r="266" spans="1:46">
      <c r="A266" s="24" t="s">
        <v>792</v>
      </c>
      <c r="B266" s="26" t="s">
        <v>828</v>
      </c>
      <c r="C266" s="26"/>
      <c r="D266" s="50"/>
      <c r="E266" s="51"/>
      <c r="F266" s="50"/>
      <c r="G266" s="52"/>
      <c r="H266" s="50"/>
      <c r="I266" s="53"/>
      <c r="J266" s="50"/>
      <c r="K266" s="53"/>
      <c r="L266" s="50"/>
      <c r="M266" s="57"/>
      <c r="N266" s="55"/>
      <c r="O266" s="57"/>
      <c r="P266" s="57"/>
      <c r="Q266" s="59"/>
      <c r="R266" s="57"/>
      <c r="S266" s="57"/>
      <c r="T266" s="59"/>
      <c r="U266" s="57"/>
      <c r="V266" s="57"/>
      <c r="W266" s="59"/>
      <c r="X266" s="57"/>
      <c r="Y266" s="57"/>
      <c r="Z266" s="59"/>
      <c r="AA266" s="57"/>
      <c r="AB266" s="57"/>
      <c r="AC266" s="59"/>
      <c r="AD266" s="57"/>
      <c r="AE266" s="57"/>
      <c r="AF266" s="59"/>
      <c r="AG266" s="57"/>
      <c r="AH266" s="57"/>
      <c r="AI266" s="59"/>
      <c r="AJ266" s="57"/>
      <c r="AK266" s="57"/>
      <c r="AL266" s="59"/>
      <c r="AM266" s="57"/>
      <c r="AN266" s="57"/>
      <c r="AO266" s="59"/>
      <c r="AP266" s="57"/>
      <c r="AQ266" s="59" t="str">
        <f t="shared" si="82"/>
        <v/>
      </c>
      <c r="AR266" s="57"/>
      <c r="AS266" s="57"/>
      <c r="AT266" s="59" t="str">
        <f t="shared" si="81"/>
        <v/>
      </c>
    </row>
    <row r="267" spans="1:46" hidden="1">
      <c r="A267" s="24"/>
      <c r="B267" s="26" t="s">
        <v>42</v>
      </c>
      <c r="C267" s="26" t="s">
        <v>443</v>
      </c>
      <c r="D267" s="50">
        <v>7.52</v>
      </c>
      <c r="E267" s="51" t="s">
        <v>291</v>
      </c>
      <c r="F267" s="50">
        <v>7.52</v>
      </c>
      <c r="G267" s="52">
        <v>8.18</v>
      </c>
      <c r="H267" s="50">
        <v>7.52</v>
      </c>
      <c r="I267" s="53">
        <v>8.1999999999999993</v>
      </c>
      <c r="J267" s="50">
        <v>7.52</v>
      </c>
      <c r="K267" s="53"/>
      <c r="L267" s="50">
        <v>7.52</v>
      </c>
      <c r="M267" s="57">
        <v>5.8912037037037032E-3</v>
      </c>
      <c r="N267" s="55">
        <v>5.4629629629629637E-3</v>
      </c>
      <c r="O267" s="57"/>
      <c r="P267" s="57"/>
      <c r="Q267" s="59">
        <f>IF(MIN(IF(ISBLANK(O267),N267,O267),IF(ISBLANK(N267),O267,N267))=0,"",MIN(IF(ISBLANK(O267),N267,O267),IF(ISBLANK(N267),O267,N267)))</f>
        <v>5.4629629629629637E-3</v>
      </c>
      <c r="R267" s="57"/>
      <c r="S267" s="57"/>
      <c r="T267" s="59">
        <f t="shared" ref="T267:T272" si="104">IF(MIN(IF(ISBLANK(R267),Q267,R267),IF(ISBLANK(Q267),R267,Q267))=0,"",MIN(IF(ISBLANK(R267),Q267,R267),IF(ISBLANK(Q267),R267,Q267)))</f>
        <v>5.4629629629629637E-3</v>
      </c>
      <c r="U267" s="57"/>
      <c r="V267" s="57"/>
      <c r="W267" s="59">
        <f t="shared" ref="W267:W272" si="105">IF(MIN(IF(ISBLANK(U267),T267,U267),IF(ISBLANK(T267),U267,T267))=0,"",MIN(IF(ISBLANK(U267),T267,U267),IF(ISBLANK(T267),U267,T267)))</f>
        <v>5.4629629629629637E-3</v>
      </c>
      <c r="X267" s="57"/>
      <c r="Y267" s="57"/>
      <c r="Z267" s="59">
        <f t="shared" ref="Z267:Z272" si="106">IF(MIN(IF(ISBLANK(X267),W267,X267),IF(ISBLANK(W267),X267,W267))=0,"",MIN(IF(ISBLANK(X267),W267,X267),IF(ISBLANK(W267),X267,W267)))</f>
        <v>5.4629629629629637E-3</v>
      </c>
      <c r="AA267" s="57"/>
      <c r="AB267" s="57"/>
      <c r="AC267" s="59">
        <f t="shared" ref="AC267:AC272" si="107">IF(MIN(IF(ISBLANK(Z267),AA267,Z267),IF(ISBLANK(AA267),Z267,AA267))=0,"",MIN(IF(ISBLANK(Z267),AA267,Z267),IF(ISBLANK(AA267),Z267,AA267)))</f>
        <v>5.4629629629629637E-3</v>
      </c>
      <c r="AD267" s="57"/>
      <c r="AE267" s="57"/>
      <c r="AF267" s="59">
        <f t="shared" ref="AF267:AF272" si="108">IF(MIN(IF(ISBLANK(AC267),AD267,AC267),IF(ISBLANK(AD267),AC267,AD267))=0,"",MIN(IF(ISBLANK(AC267),AD267,AC267),IF(ISBLANK(AD267),AC267,AD267)))</f>
        <v>5.4629629629629637E-3</v>
      </c>
      <c r="AG267" s="57"/>
      <c r="AH267" s="57"/>
      <c r="AI267" s="59">
        <f t="shared" ref="AI267:AI272" si="109">IF(MIN(IF(ISBLANK(AF267),AG267,AF267),IF(ISBLANK(AG267),AF267,AG267))=0,"",MIN(IF(ISBLANK(AF267),AG267,AF267),IF(ISBLANK(AG267),AF267,AG267)))</f>
        <v>5.4629629629629637E-3</v>
      </c>
      <c r="AJ267" s="57"/>
      <c r="AK267" s="57"/>
      <c r="AL267" s="59">
        <f t="shared" ref="AL267:AL272" si="110">IF(MIN(IF(ISBLANK(AI267),AJ267,AI267),IF(ISBLANK(AJ267),AI267,AJ267))=0,"",MIN(IF(ISBLANK(AI267),AJ267,AI267),IF(ISBLANK(AJ267),AI267,AJ267)))</f>
        <v>5.4629629629629637E-3</v>
      </c>
      <c r="AM267" s="57"/>
      <c r="AN267" s="57"/>
      <c r="AO267" s="59">
        <f t="shared" ref="AO267:AO272" si="111">IF(MIN(IF(ISBLANK(AL267),AM267,AL267),IF(ISBLANK(AM267),AL267,AM267))=0,"",MIN(IF(ISBLANK(AL267),AM267,AL267),IF(ISBLANK(AM267),AL267,AM267)))</f>
        <v>5.4629629629629637E-3</v>
      </c>
      <c r="AP267" s="57"/>
      <c r="AQ267" s="59">
        <f t="shared" ref="AQ267:AQ330" si="112">IF(MIN(IF(ISBLANK(AO267),AP267,AO267),IF(ISBLANK(AP267),AO267,AP267))=0,"",MIN(IF(ISBLANK(AO267),AP267,AO267),IF(ISBLANK(AP267),AO267,AP267)))</f>
        <v>5.4629629629629637E-3</v>
      </c>
      <c r="AR267" s="57"/>
      <c r="AS267" s="57"/>
      <c r="AT267" s="59">
        <f t="shared" ref="AT267:AT330" si="113">IF(MIN(IF(ISBLANK(AQ267),AR267,AQ267),IF(ISBLANK(AR267),AQ267,AR267))=0,"",MIN(IF(ISBLANK(AQ267),AR267,AQ267),IF(ISBLANK(AR267),AQ267,AR267)))</f>
        <v>5.4629629629629637E-3</v>
      </c>
    </row>
    <row r="268" spans="1:46">
      <c r="A268" s="24" t="s">
        <v>792</v>
      </c>
      <c r="B268" s="26" t="s">
        <v>49</v>
      </c>
      <c r="C268" s="26" t="s">
        <v>443</v>
      </c>
      <c r="D268" s="50">
        <v>8.11</v>
      </c>
      <c r="E268" s="51"/>
      <c r="F268" s="50">
        <v>8.11</v>
      </c>
      <c r="G268" s="52">
        <v>8.15</v>
      </c>
      <c r="H268" s="50">
        <v>8.11</v>
      </c>
      <c r="I268" s="53">
        <v>8.16</v>
      </c>
      <c r="J268" s="50">
        <v>8.11</v>
      </c>
      <c r="K268" s="53"/>
      <c r="L268" s="50">
        <v>8.11</v>
      </c>
      <c r="M268" s="57">
        <v>6.2268518518518515E-3</v>
      </c>
      <c r="N268" s="55">
        <v>5.6828703703703702E-3</v>
      </c>
      <c r="O268" s="57">
        <v>5.8449074074074072E-3</v>
      </c>
      <c r="P268" s="57"/>
      <c r="Q268" s="59">
        <f>IF(MIN(IF(ISBLANK(O268),N268,O268),IF(ISBLANK(N268),O268,N268))=0,"",MIN(IF(ISBLANK(O268),N268,O268),IF(ISBLANK(N268),O268,N268)))</f>
        <v>5.6828703703703702E-3</v>
      </c>
      <c r="R268" s="57"/>
      <c r="S268" s="57" t="s">
        <v>594</v>
      </c>
      <c r="T268" s="59">
        <f t="shared" si="104"/>
        <v>5.6828703703703702E-3</v>
      </c>
      <c r="U268" s="57">
        <v>6.0069444444444441E-3</v>
      </c>
      <c r="V268" s="57"/>
      <c r="W268" s="59">
        <f t="shared" si="105"/>
        <v>5.6828703703703702E-3</v>
      </c>
      <c r="X268" s="57"/>
      <c r="Y268" s="57"/>
      <c r="Z268" s="59">
        <f t="shared" si="106"/>
        <v>5.6828703703703702E-3</v>
      </c>
      <c r="AA268" s="57">
        <v>6.5740740740740733E-3</v>
      </c>
      <c r="AB268" s="57"/>
      <c r="AC268" s="59">
        <f t="shared" si="107"/>
        <v>5.6828703703703702E-3</v>
      </c>
      <c r="AD268" s="57">
        <v>6.2847222222222228E-3</v>
      </c>
      <c r="AE268" s="57"/>
      <c r="AF268" s="59">
        <f t="shared" si="108"/>
        <v>5.6828703703703702E-3</v>
      </c>
      <c r="AG268" s="57">
        <v>7.0023148148148154E-3</v>
      </c>
      <c r="AH268" s="57"/>
      <c r="AI268" s="59">
        <f t="shared" si="109"/>
        <v>5.6828703703703702E-3</v>
      </c>
      <c r="AJ268" s="57">
        <v>6.0185185185185177E-3</v>
      </c>
      <c r="AK268" s="57"/>
      <c r="AL268" s="59">
        <f t="shared" si="110"/>
        <v>5.6828703703703702E-3</v>
      </c>
      <c r="AM268" s="57">
        <v>5.9953703703703697E-3</v>
      </c>
      <c r="AN268" s="57"/>
      <c r="AO268" s="59">
        <f t="shared" si="111"/>
        <v>5.6828703703703702E-3</v>
      </c>
      <c r="AP268" s="57"/>
      <c r="AQ268" s="59">
        <f t="shared" si="112"/>
        <v>5.6828703703703702E-3</v>
      </c>
      <c r="AR268" s="57">
        <v>6.2037037037037043E-3</v>
      </c>
      <c r="AS268" s="57"/>
      <c r="AT268" s="59">
        <f t="shared" si="113"/>
        <v>5.6828703703703702E-3</v>
      </c>
    </row>
    <row r="269" spans="1:46" hidden="1">
      <c r="A269" s="24"/>
      <c r="B269" s="26" t="s">
        <v>54</v>
      </c>
      <c r="C269" s="26" t="s">
        <v>443</v>
      </c>
      <c r="D269" s="50">
        <v>7.42</v>
      </c>
      <c r="E269" s="51"/>
      <c r="F269" s="50">
        <v>7.42</v>
      </c>
      <c r="G269" s="52">
        <v>7.43</v>
      </c>
      <c r="H269" s="50">
        <v>7.42</v>
      </c>
      <c r="I269" s="53"/>
      <c r="J269" s="50">
        <v>7.42</v>
      </c>
      <c r="K269" s="53">
        <v>7.54</v>
      </c>
      <c r="L269" s="50">
        <v>7.42</v>
      </c>
      <c r="M269" s="57">
        <v>5.7870370370370376E-3</v>
      </c>
      <c r="N269" s="55">
        <v>5.347222222222222E-3</v>
      </c>
      <c r="O269" s="57"/>
      <c r="P269" s="57"/>
      <c r="Q269" s="59">
        <f>IF(MIN(IF(ISBLANK(O269),N269,O269),IF(ISBLANK(N269),O269,N269))=0,"",MIN(IF(ISBLANK(O269),N269,O269),IF(ISBLANK(N269),O269,N269)))</f>
        <v>5.347222222222222E-3</v>
      </c>
      <c r="R269" s="57"/>
      <c r="S269" s="57"/>
      <c r="T269" s="59">
        <f t="shared" si="104"/>
        <v>5.347222222222222E-3</v>
      </c>
      <c r="U269" s="57"/>
      <c r="V269" s="57"/>
      <c r="W269" s="59">
        <f t="shared" si="105"/>
        <v>5.347222222222222E-3</v>
      </c>
      <c r="X269" s="57"/>
      <c r="Y269" s="57"/>
      <c r="Z269" s="59">
        <f t="shared" si="106"/>
        <v>5.347222222222222E-3</v>
      </c>
      <c r="AA269" s="57"/>
      <c r="AB269" s="57"/>
      <c r="AC269" s="59">
        <f t="shared" si="107"/>
        <v>5.347222222222222E-3</v>
      </c>
      <c r="AD269" s="57"/>
      <c r="AE269" s="57"/>
      <c r="AF269" s="59">
        <f t="shared" si="108"/>
        <v>5.347222222222222E-3</v>
      </c>
      <c r="AG269" s="57"/>
      <c r="AH269" s="57"/>
      <c r="AI269" s="59">
        <f t="shared" si="109"/>
        <v>5.347222222222222E-3</v>
      </c>
      <c r="AJ269" s="57"/>
      <c r="AK269" s="57"/>
      <c r="AL269" s="59">
        <f t="shared" si="110"/>
        <v>5.347222222222222E-3</v>
      </c>
      <c r="AM269" s="57"/>
      <c r="AN269" s="57"/>
      <c r="AO269" s="59">
        <f t="shared" si="111"/>
        <v>5.347222222222222E-3</v>
      </c>
      <c r="AP269" s="57"/>
      <c r="AQ269" s="59">
        <f t="shared" si="112"/>
        <v>5.347222222222222E-3</v>
      </c>
      <c r="AR269" s="57"/>
      <c r="AS269" s="57"/>
      <c r="AT269" s="59">
        <f t="shared" si="113"/>
        <v>5.347222222222222E-3</v>
      </c>
    </row>
    <row r="270" spans="1:46" hidden="1">
      <c r="A270" s="24"/>
      <c r="B270" s="26" t="s">
        <v>252</v>
      </c>
      <c r="C270" s="26" t="s">
        <v>443</v>
      </c>
      <c r="D270" s="50">
        <v>10.050000000000001</v>
      </c>
      <c r="E270" s="51" t="s">
        <v>292</v>
      </c>
      <c r="F270" s="50">
        <v>8.31</v>
      </c>
      <c r="G270" s="52">
        <v>8.52</v>
      </c>
      <c r="H270" s="50">
        <v>8.31</v>
      </c>
      <c r="I270" s="53">
        <v>8.07</v>
      </c>
      <c r="J270" s="50">
        <v>8.07</v>
      </c>
      <c r="K270" s="53"/>
      <c r="L270" s="50">
        <v>8.07</v>
      </c>
      <c r="M270" s="57"/>
      <c r="N270" s="55">
        <v>5.6365740740740742E-3</v>
      </c>
      <c r="O270" s="57"/>
      <c r="P270" s="57"/>
      <c r="Q270" s="59">
        <f>IF(MIN(IF(ISBLANK(O270),N270,O270),IF(ISBLANK(N270),O270,N270))=0,"",MIN(IF(ISBLANK(O270),N270,O270),IF(ISBLANK(N270),O270,N270)))</f>
        <v>5.6365740740740742E-3</v>
      </c>
      <c r="R270" s="57"/>
      <c r="S270" s="57"/>
      <c r="T270" s="59">
        <f t="shared" si="104"/>
        <v>5.6365740740740742E-3</v>
      </c>
      <c r="U270" s="57"/>
      <c r="V270" s="57"/>
      <c r="W270" s="59">
        <f t="shared" si="105"/>
        <v>5.6365740740740742E-3</v>
      </c>
      <c r="X270" s="57"/>
      <c r="Y270" s="57"/>
      <c r="Z270" s="59">
        <f t="shared" si="106"/>
        <v>5.6365740740740742E-3</v>
      </c>
      <c r="AA270" s="57"/>
      <c r="AB270" s="57"/>
      <c r="AC270" s="59">
        <f t="shared" si="107"/>
        <v>5.6365740740740742E-3</v>
      </c>
      <c r="AD270" s="57">
        <v>5.3125000000000004E-3</v>
      </c>
      <c r="AE270" s="57"/>
      <c r="AF270" s="59">
        <f t="shared" si="108"/>
        <v>5.3125000000000004E-3</v>
      </c>
      <c r="AG270" s="57"/>
      <c r="AH270" s="57"/>
      <c r="AI270" s="59">
        <f t="shared" si="109"/>
        <v>5.3125000000000004E-3</v>
      </c>
      <c r="AJ270" s="57"/>
      <c r="AK270" s="57"/>
      <c r="AL270" s="59">
        <f t="shared" si="110"/>
        <v>5.3125000000000004E-3</v>
      </c>
      <c r="AM270" s="57"/>
      <c r="AN270" s="57"/>
      <c r="AO270" s="59">
        <f t="shared" si="111"/>
        <v>5.3125000000000004E-3</v>
      </c>
      <c r="AP270" s="57"/>
      <c r="AQ270" s="59">
        <f t="shared" si="112"/>
        <v>5.3125000000000004E-3</v>
      </c>
      <c r="AR270" s="57"/>
      <c r="AS270" s="57"/>
      <c r="AT270" s="59">
        <f t="shared" si="113"/>
        <v>5.3125000000000004E-3</v>
      </c>
    </row>
    <row r="271" spans="1:46" hidden="1">
      <c r="A271" s="24"/>
      <c r="B271" s="26" t="s">
        <v>605</v>
      </c>
      <c r="C271" s="26"/>
      <c r="D271" s="50"/>
      <c r="E271" s="51"/>
      <c r="F271" s="50"/>
      <c r="G271" s="52"/>
      <c r="H271" s="50"/>
      <c r="I271" s="53"/>
      <c r="J271" s="50"/>
      <c r="K271" s="53"/>
      <c r="L271" s="50"/>
      <c r="M271" s="57"/>
      <c r="N271" s="55"/>
      <c r="O271" s="57"/>
      <c r="P271" s="57"/>
      <c r="Q271" s="59"/>
      <c r="R271" s="57"/>
      <c r="S271" s="57"/>
      <c r="T271" s="59" t="str">
        <f t="shared" si="104"/>
        <v/>
      </c>
      <c r="U271" s="57"/>
      <c r="V271" s="57"/>
      <c r="W271" s="59" t="str">
        <f t="shared" si="105"/>
        <v/>
      </c>
      <c r="X271" s="57"/>
      <c r="Y271" s="57"/>
      <c r="Z271" s="59" t="str">
        <f t="shared" si="106"/>
        <v/>
      </c>
      <c r="AA271" s="57"/>
      <c r="AB271" s="57"/>
      <c r="AC271" s="59" t="str">
        <f t="shared" si="107"/>
        <v/>
      </c>
      <c r="AD271" s="57"/>
      <c r="AE271" s="57"/>
      <c r="AF271" s="59" t="str">
        <f t="shared" si="108"/>
        <v/>
      </c>
      <c r="AG271" s="57"/>
      <c r="AH271" s="57"/>
      <c r="AI271" s="59" t="str">
        <f t="shared" si="109"/>
        <v/>
      </c>
      <c r="AJ271" s="57"/>
      <c r="AK271" s="57"/>
      <c r="AL271" s="59" t="str">
        <f t="shared" si="110"/>
        <v/>
      </c>
      <c r="AM271" s="57"/>
      <c r="AN271" s="57"/>
      <c r="AO271" s="59" t="str">
        <f t="shared" si="111"/>
        <v/>
      </c>
      <c r="AP271" s="57"/>
      <c r="AQ271" s="59" t="str">
        <f t="shared" si="112"/>
        <v/>
      </c>
      <c r="AR271" s="57"/>
      <c r="AS271" s="57"/>
      <c r="AT271" s="59" t="str">
        <f t="shared" si="113"/>
        <v/>
      </c>
    </row>
    <row r="272" spans="1:46" hidden="1">
      <c r="A272" s="24"/>
      <c r="B272" s="26" t="s">
        <v>60</v>
      </c>
      <c r="C272" s="26"/>
      <c r="D272" s="50"/>
      <c r="E272" s="51"/>
      <c r="F272" s="50" t="s">
        <v>448</v>
      </c>
      <c r="G272" s="52"/>
      <c r="H272" s="50"/>
      <c r="I272" s="53"/>
      <c r="J272" s="50" t="s">
        <v>448</v>
      </c>
      <c r="K272" s="53"/>
      <c r="L272" s="50"/>
      <c r="M272" s="57"/>
      <c r="N272" s="55" t="s">
        <v>448</v>
      </c>
      <c r="O272" s="57"/>
      <c r="P272" s="57"/>
      <c r="Q272" s="59" t="str">
        <f>IF(MIN(IF(ISBLANK(O272),N272,O272),IF(ISBLANK(N272),O272,N272))=0,"",MIN(IF(ISBLANK(O272),N272,O272),IF(ISBLANK(N272),O272,N272)))</f>
        <v/>
      </c>
      <c r="R272" s="57"/>
      <c r="S272" s="57"/>
      <c r="T272" s="59" t="str">
        <f t="shared" si="104"/>
        <v/>
      </c>
      <c r="U272" s="57"/>
      <c r="V272" s="57"/>
      <c r="W272" s="59" t="str">
        <f t="shared" si="105"/>
        <v/>
      </c>
      <c r="X272" s="57"/>
      <c r="Y272" s="57"/>
      <c r="Z272" s="59" t="str">
        <f t="shared" si="106"/>
        <v/>
      </c>
      <c r="AA272" s="57"/>
      <c r="AB272" s="57"/>
      <c r="AC272" s="59" t="str">
        <f t="shared" si="107"/>
        <v/>
      </c>
      <c r="AD272" s="57"/>
      <c r="AE272" s="57"/>
      <c r="AF272" s="59" t="str">
        <f t="shared" si="108"/>
        <v/>
      </c>
      <c r="AG272" s="57"/>
      <c r="AH272" s="57"/>
      <c r="AI272" s="59" t="str">
        <f t="shared" si="109"/>
        <v/>
      </c>
      <c r="AJ272" s="57"/>
      <c r="AK272" s="57"/>
      <c r="AL272" s="59" t="str">
        <f t="shared" si="110"/>
        <v/>
      </c>
      <c r="AM272" s="57"/>
      <c r="AN272" s="57"/>
      <c r="AO272" s="59" t="str">
        <f t="shared" si="111"/>
        <v/>
      </c>
      <c r="AP272" s="57"/>
      <c r="AQ272" s="59" t="str">
        <f t="shared" si="112"/>
        <v/>
      </c>
      <c r="AR272" s="57"/>
      <c r="AS272" s="57"/>
      <c r="AT272" s="59" t="str">
        <f t="shared" si="113"/>
        <v/>
      </c>
    </row>
    <row r="273" spans="1:46">
      <c r="A273" s="24" t="s">
        <v>792</v>
      </c>
      <c r="B273" s="26" t="s">
        <v>831</v>
      </c>
      <c r="C273" s="26"/>
      <c r="D273" s="50"/>
      <c r="E273" s="51"/>
      <c r="F273" s="50"/>
      <c r="G273" s="52"/>
      <c r="H273" s="50"/>
      <c r="I273" s="53"/>
      <c r="J273" s="50"/>
      <c r="K273" s="53"/>
      <c r="L273" s="50"/>
      <c r="M273" s="57"/>
      <c r="N273" s="55"/>
      <c r="O273" s="57"/>
      <c r="P273" s="57"/>
      <c r="Q273" s="59"/>
      <c r="R273" s="57"/>
      <c r="S273" s="57"/>
      <c r="T273" s="59"/>
      <c r="U273" s="57"/>
      <c r="V273" s="57"/>
      <c r="W273" s="59"/>
      <c r="X273" s="57"/>
      <c r="Y273" s="57"/>
      <c r="Z273" s="59"/>
      <c r="AA273" s="57"/>
      <c r="AB273" s="57"/>
      <c r="AC273" s="59"/>
      <c r="AD273" s="57"/>
      <c r="AE273" s="57"/>
      <c r="AF273" s="59"/>
      <c r="AG273" s="57"/>
      <c r="AH273" s="57"/>
      <c r="AI273" s="59"/>
      <c r="AJ273" s="57"/>
      <c r="AK273" s="57"/>
      <c r="AL273" s="59"/>
      <c r="AM273" s="57"/>
      <c r="AN273" s="57"/>
      <c r="AO273" s="59"/>
      <c r="AP273" s="57"/>
      <c r="AQ273" s="59" t="str">
        <f t="shared" si="112"/>
        <v/>
      </c>
      <c r="AR273" s="57"/>
      <c r="AS273" s="57"/>
      <c r="AT273" s="59" t="str">
        <f t="shared" si="113"/>
        <v/>
      </c>
    </row>
    <row r="274" spans="1:46">
      <c r="A274" s="24" t="s">
        <v>792</v>
      </c>
      <c r="B274" s="26" t="s">
        <v>64</v>
      </c>
      <c r="C274" s="26" t="s">
        <v>443</v>
      </c>
      <c r="D274" s="50" t="s">
        <v>285</v>
      </c>
      <c r="E274" s="51"/>
      <c r="F274" s="50" t="s">
        <v>285</v>
      </c>
      <c r="G274" s="52"/>
      <c r="H274" s="50" t="s">
        <v>285</v>
      </c>
      <c r="I274" s="53"/>
      <c r="J274" s="50" t="s">
        <v>285</v>
      </c>
      <c r="K274" s="53"/>
      <c r="L274" s="50" t="s">
        <v>285</v>
      </c>
      <c r="M274" s="57"/>
      <c r="N274" s="55">
        <v>5.6712962962962958E-3</v>
      </c>
      <c r="O274" s="57">
        <v>5.6249999999999989E-3</v>
      </c>
      <c r="P274" s="57"/>
      <c r="Q274" s="59">
        <f>IF(MIN(IF(ISBLANK(O274),N274,O274),IF(ISBLANK(N274),O274,N274))=0,"",MIN(IF(ISBLANK(O274),N274,O274),IF(ISBLANK(N274),O274,N274)))</f>
        <v>5.6249999999999989E-3</v>
      </c>
      <c r="R274" s="57">
        <v>5.6365740740740742E-3</v>
      </c>
      <c r="S274" s="57"/>
      <c r="T274" s="59">
        <f>IF(MIN(IF(ISBLANK(R274),Q274,R274),IF(ISBLANK(Q274),R274,Q274))=0,"",MIN(IF(ISBLANK(R274),Q274,R274),IF(ISBLANK(Q274),R274,Q274)))</f>
        <v>5.6249999999999989E-3</v>
      </c>
      <c r="U274" s="57">
        <v>5.4976851851851853E-3</v>
      </c>
      <c r="V274" s="57"/>
      <c r="W274" s="59">
        <f>IF(MIN(IF(ISBLANK(U274),T274,U274),IF(ISBLANK(T274),U274,T274))=0,"",MIN(IF(ISBLANK(U274),T274,U274),IF(ISBLANK(T274),U274,T274)))</f>
        <v>5.4976851851851853E-3</v>
      </c>
      <c r="X274" s="57">
        <v>5.5787037037037038E-3</v>
      </c>
      <c r="Y274" s="57"/>
      <c r="Z274" s="59">
        <f>IF(MIN(IF(ISBLANK(X274),W274,X274),IF(ISBLANK(W274),X274,W274))=0,"",MIN(IF(ISBLANK(X274),W274,X274),IF(ISBLANK(W274),X274,W274)))</f>
        <v>5.4976851851851853E-3</v>
      </c>
      <c r="AA274" s="57">
        <v>5.5671296296296302E-3</v>
      </c>
      <c r="AB274" s="57"/>
      <c r="AC274" s="59">
        <f>IF(MIN(IF(ISBLANK(Z274),AA274,Z274),IF(ISBLANK(AA274),Z274,AA274))=0,"",MIN(IF(ISBLANK(Z274),AA274,Z274),IF(ISBLANK(AA274),Z274,AA274)))</f>
        <v>5.4976851851851853E-3</v>
      </c>
      <c r="AD274" s="57">
        <v>5.6712962962962958E-3</v>
      </c>
      <c r="AE274" s="57"/>
      <c r="AF274" s="59">
        <f>IF(MIN(IF(ISBLANK(AC274),AD274,AC274),IF(ISBLANK(AD274),AC274,AD274))=0,"",MIN(IF(ISBLANK(AC274),AD274,AC274),IF(ISBLANK(AD274),AC274,AD274)))</f>
        <v>5.4976851851851853E-3</v>
      </c>
      <c r="AG274" s="57">
        <v>5.4861111111111117E-3</v>
      </c>
      <c r="AH274" s="57"/>
      <c r="AI274" s="59">
        <f>IF(MIN(IF(ISBLANK(AF274),AG274,AF274),IF(ISBLANK(AG274),AF274,AG274))=0,"",MIN(IF(ISBLANK(AF274),AG274,AF274),IF(ISBLANK(AG274),AF274,AG274)))</f>
        <v>5.4861111111111117E-3</v>
      </c>
      <c r="AJ274" s="57"/>
      <c r="AK274" s="57"/>
      <c r="AL274" s="59">
        <f>IF(MIN(IF(ISBLANK(AI274),AJ274,AI274),IF(ISBLANK(AJ274),AI274,AJ274))=0,"",MIN(IF(ISBLANK(AI274),AJ274,AI274),IF(ISBLANK(AJ274),AI274,AJ274)))</f>
        <v>5.4861111111111117E-3</v>
      </c>
      <c r="AM274" s="57">
        <v>5.6018518518518518E-3</v>
      </c>
      <c r="AN274" s="57"/>
      <c r="AO274" s="59">
        <f>IF(MIN(IF(ISBLANK(AL274),AM274,AL274),IF(ISBLANK(AM274),AL274,AM274))=0,"",MIN(IF(ISBLANK(AL274),AM274,AL274),IF(ISBLANK(AM274),AL274,AM274)))</f>
        <v>5.4861111111111117E-3</v>
      </c>
      <c r="AP274" s="57">
        <v>5.5555555555555558E-3</v>
      </c>
      <c r="AQ274" s="59">
        <f t="shared" si="112"/>
        <v>5.4861111111111117E-3</v>
      </c>
      <c r="AR274" s="57">
        <v>5.4629629629629637E-3</v>
      </c>
      <c r="AS274" s="57"/>
      <c r="AT274" s="59">
        <f t="shared" si="113"/>
        <v>5.4629629629629637E-3</v>
      </c>
    </row>
    <row r="275" spans="1:46">
      <c r="A275" s="24" t="s">
        <v>792</v>
      </c>
      <c r="B275" s="26" t="s">
        <v>820</v>
      </c>
      <c r="C275" s="26"/>
      <c r="D275" s="55"/>
      <c r="E275" s="51"/>
      <c r="F275" s="55"/>
      <c r="G275" s="52"/>
      <c r="H275" s="55"/>
      <c r="I275" s="53"/>
      <c r="J275" s="55"/>
      <c r="K275" s="53"/>
      <c r="L275" s="55"/>
      <c r="M275" s="57"/>
      <c r="N275" s="55"/>
      <c r="O275" s="57"/>
      <c r="P275" s="57"/>
      <c r="Q275" s="59"/>
      <c r="R275" s="57"/>
      <c r="S275" s="57"/>
      <c r="T275" s="59"/>
      <c r="U275" s="57"/>
      <c r="V275" s="57"/>
      <c r="W275" s="59"/>
      <c r="X275" s="57"/>
      <c r="Y275" s="57"/>
      <c r="Z275" s="59"/>
      <c r="AA275" s="57"/>
      <c r="AB275" s="57"/>
      <c r="AC275" s="59"/>
      <c r="AD275" s="57"/>
      <c r="AE275" s="57"/>
      <c r="AF275" s="59"/>
      <c r="AG275" s="57"/>
      <c r="AH275" s="57"/>
      <c r="AI275" s="59"/>
      <c r="AJ275" s="57"/>
      <c r="AK275" s="57"/>
      <c r="AL275" s="59"/>
      <c r="AM275" s="57"/>
      <c r="AN275" s="57"/>
      <c r="AO275" s="59" t="str">
        <f>IF(MIN(IF(ISBLANK(AL275),AM275,AL275),IF(ISBLANK(AM275),AL275,AM275))=0,"",MIN(IF(ISBLANK(AL275),AM275,AL275),IF(ISBLANK(AM275),AL275,AM275)))</f>
        <v/>
      </c>
      <c r="AP275" s="57"/>
      <c r="AQ275" s="59" t="str">
        <f t="shared" si="112"/>
        <v/>
      </c>
      <c r="AR275" s="57"/>
      <c r="AS275" s="57"/>
      <c r="AT275" s="59" t="str">
        <f t="shared" si="113"/>
        <v/>
      </c>
    </row>
    <row r="276" spans="1:46" hidden="1">
      <c r="A276" s="24"/>
      <c r="B276" s="26" t="s">
        <v>70</v>
      </c>
      <c r="C276" s="26" t="s">
        <v>444</v>
      </c>
      <c r="D276" s="50"/>
      <c r="E276" s="51"/>
      <c r="F276" s="50" t="s">
        <v>448</v>
      </c>
      <c r="G276" s="52"/>
      <c r="H276" s="50"/>
      <c r="I276" s="53"/>
      <c r="J276" s="50" t="s">
        <v>448</v>
      </c>
      <c r="K276" s="53"/>
      <c r="L276" s="50"/>
      <c r="M276" s="57"/>
      <c r="N276" s="55" t="s">
        <v>448</v>
      </c>
      <c r="O276" s="57"/>
      <c r="P276" s="57"/>
      <c r="Q276" s="59" t="str">
        <f>IF(MIN(IF(ISBLANK(O276),N276,O276),IF(ISBLANK(N276),O276,N276))=0,"",MIN(IF(ISBLANK(O276),N276,O276),IF(ISBLANK(N276),O276,N276)))</f>
        <v/>
      </c>
      <c r="R276" s="57"/>
      <c r="S276" s="57"/>
      <c r="T276" s="59" t="str">
        <f>IF(MIN(IF(ISBLANK(R276),Q276,R276),IF(ISBLANK(Q276),R276,Q276))=0,"",MIN(IF(ISBLANK(R276),Q276,R276),IF(ISBLANK(Q276),R276,Q276)))</f>
        <v/>
      </c>
      <c r="U276" s="57"/>
      <c r="V276" s="57"/>
      <c r="W276" s="59" t="str">
        <f>IF(MIN(IF(ISBLANK(U276),T276,U276),IF(ISBLANK(T276),U276,T276))=0,"",MIN(IF(ISBLANK(U276),T276,U276),IF(ISBLANK(T276),U276,T276)))</f>
        <v/>
      </c>
      <c r="X276" s="57"/>
      <c r="Y276" s="57"/>
      <c r="Z276" s="59" t="str">
        <f>IF(MIN(IF(ISBLANK(X276),W276,X276),IF(ISBLANK(W276),X276,W276))=0,"",MIN(IF(ISBLANK(X276),W276,X276),IF(ISBLANK(W276),X276,W276)))</f>
        <v/>
      </c>
      <c r="AA276" s="57"/>
      <c r="AB276" s="57"/>
      <c r="AC276" s="59" t="str">
        <f>IF(MIN(IF(ISBLANK(Z276),AA276,Z276),IF(ISBLANK(AA276),Z276,AA276))=0,"",MIN(IF(ISBLANK(Z276),AA276,Z276),IF(ISBLANK(AA276),Z276,AA276)))</f>
        <v/>
      </c>
      <c r="AD276" s="57"/>
      <c r="AE276" s="57"/>
      <c r="AF276" s="59" t="str">
        <f>IF(MIN(IF(ISBLANK(AC276),AD276,AC276),IF(ISBLANK(AD276),AC276,AD276))=0,"",MIN(IF(ISBLANK(AC276),AD276,AC276),IF(ISBLANK(AD276),AC276,AD276)))</f>
        <v/>
      </c>
      <c r="AG276" s="57"/>
      <c r="AH276" s="57"/>
      <c r="AI276" s="59" t="str">
        <f>IF(MIN(IF(ISBLANK(AF276),AG276,AF276),IF(ISBLANK(AG276),AF276,AG276))=0,"",MIN(IF(ISBLANK(AF276),AG276,AF276),IF(ISBLANK(AG276),AF276,AG276)))</f>
        <v/>
      </c>
      <c r="AJ276" s="57"/>
      <c r="AK276" s="57"/>
      <c r="AL276" s="59" t="str">
        <f>IF(MIN(IF(ISBLANK(AI276),AJ276,AI276),IF(ISBLANK(AJ276),AI276,AJ276))=0,"",MIN(IF(ISBLANK(AI276),AJ276,AI276),IF(ISBLANK(AJ276),AI276,AJ276)))</f>
        <v/>
      </c>
      <c r="AM276" s="57"/>
      <c r="AN276" s="57"/>
      <c r="AO276" s="59" t="str">
        <f>IF(MIN(IF(ISBLANK(AL276),AM276,AL276),IF(ISBLANK(AM276),AL276,AM276))=0,"",MIN(IF(ISBLANK(AL276),AM276,AL276),IF(ISBLANK(AM276),AL276,AM276)))</f>
        <v/>
      </c>
      <c r="AP276" s="57"/>
      <c r="AQ276" s="59" t="str">
        <f t="shared" si="112"/>
        <v/>
      </c>
      <c r="AR276" s="57"/>
      <c r="AS276" s="57"/>
      <c r="AT276" s="59" t="str">
        <f t="shared" si="113"/>
        <v/>
      </c>
    </row>
    <row r="277" spans="1:46">
      <c r="A277" s="24" t="s">
        <v>792</v>
      </c>
      <c r="B277" s="26" t="s">
        <v>835</v>
      </c>
      <c r="C277" s="26"/>
      <c r="D277" s="50"/>
      <c r="E277" s="51"/>
      <c r="F277" s="50"/>
      <c r="G277" s="52"/>
      <c r="H277" s="50"/>
      <c r="I277" s="53"/>
      <c r="J277" s="50"/>
      <c r="K277" s="53"/>
      <c r="L277" s="50"/>
      <c r="M277" s="57"/>
      <c r="N277" s="55"/>
      <c r="O277" s="57"/>
      <c r="P277" s="57"/>
      <c r="Q277" s="59"/>
      <c r="R277" s="57"/>
      <c r="S277" s="57"/>
      <c r="T277" s="59"/>
      <c r="U277" s="57"/>
      <c r="V277" s="57"/>
      <c r="W277" s="59"/>
      <c r="X277" s="57"/>
      <c r="Y277" s="57"/>
      <c r="Z277" s="59"/>
      <c r="AA277" s="57"/>
      <c r="AB277" s="57"/>
      <c r="AC277" s="59"/>
      <c r="AD277" s="57"/>
      <c r="AE277" s="57"/>
      <c r="AF277" s="59"/>
      <c r="AG277" s="57"/>
      <c r="AH277" s="57"/>
      <c r="AI277" s="59"/>
      <c r="AJ277" s="57"/>
      <c r="AK277" s="57"/>
      <c r="AL277" s="59"/>
      <c r="AM277" s="57"/>
      <c r="AN277" s="57"/>
      <c r="AO277" s="59"/>
      <c r="AP277" s="57"/>
      <c r="AQ277" s="59" t="str">
        <f t="shared" si="112"/>
        <v/>
      </c>
      <c r="AR277" s="57"/>
      <c r="AS277" s="57"/>
      <c r="AT277" s="59" t="str">
        <f t="shared" si="113"/>
        <v/>
      </c>
    </row>
    <row r="278" spans="1:46" hidden="1">
      <c r="A278" s="24"/>
      <c r="B278" s="26" t="s">
        <v>328</v>
      </c>
      <c r="C278" s="26" t="s">
        <v>444</v>
      </c>
      <c r="D278" s="50"/>
      <c r="E278" s="51"/>
      <c r="F278" s="50" t="s">
        <v>448</v>
      </c>
      <c r="G278" s="52"/>
      <c r="H278" s="50"/>
      <c r="I278" s="53"/>
      <c r="J278" s="50" t="s">
        <v>448</v>
      </c>
      <c r="K278" s="53"/>
      <c r="L278" s="50"/>
      <c r="M278" s="57"/>
      <c r="N278" s="55" t="s">
        <v>448</v>
      </c>
      <c r="O278" s="57"/>
      <c r="P278" s="57"/>
      <c r="Q278" s="59" t="str">
        <f>IF(MIN(IF(ISBLANK(O278),N278,O278),IF(ISBLANK(N278),O278,N278))=0,"",MIN(IF(ISBLANK(O278),N278,O278),IF(ISBLANK(N278),O278,N278)))</f>
        <v/>
      </c>
      <c r="R278" s="57"/>
      <c r="S278" s="57"/>
      <c r="T278" s="59" t="str">
        <f>IF(MIN(IF(ISBLANK(R278),Q278,R278),IF(ISBLANK(Q278),R278,Q278))=0,"",MIN(IF(ISBLANK(R278),Q278,R278),IF(ISBLANK(Q278),R278,Q278)))</f>
        <v/>
      </c>
      <c r="U278" s="57"/>
      <c r="V278" s="57"/>
      <c r="W278" s="59" t="str">
        <f>IF(MIN(IF(ISBLANK(U278),T278,U278),IF(ISBLANK(T278),U278,T278))=0,"",MIN(IF(ISBLANK(U278),T278,U278),IF(ISBLANK(T278),U278,T278)))</f>
        <v/>
      </c>
      <c r="X278" s="57"/>
      <c r="Y278" s="57"/>
      <c r="Z278" s="59" t="str">
        <f t="shared" ref="Z278:Z286" si="114">IF(MIN(IF(ISBLANK(X278),W278,X278),IF(ISBLANK(W278),X278,W278))=0,"",MIN(IF(ISBLANK(X278),W278,X278),IF(ISBLANK(W278),X278,W278)))</f>
        <v/>
      </c>
      <c r="AA278" s="57"/>
      <c r="AB278" s="57"/>
      <c r="AC278" s="59" t="str">
        <f t="shared" ref="AC278:AC286" si="115">IF(MIN(IF(ISBLANK(Z278),AA278,Z278),IF(ISBLANK(AA278),Z278,AA278))=0,"",MIN(IF(ISBLANK(Z278),AA278,Z278),IF(ISBLANK(AA278),Z278,AA278)))</f>
        <v/>
      </c>
      <c r="AD278" s="57"/>
      <c r="AE278" s="57"/>
      <c r="AF278" s="59" t="str">
        <f t="shared" ref="AF278:AF286" si="116">IF(MIN(IF(ISBLANK(AC278),AD278,AC278),IF(ISBLANK(AD278),AC278,AD278))=0,"",MIN(IF(ISBLANK(AC278),AD278,AC278),IF(ISBLANK(AD278),AC278,AD278)))</f>
        <v/>
      </c>
      <c r="AG278" s="57"/>
      <c r="AH278" s="57"/>
      <c r="AI278" s="59" t="str">
        <f t="shared" ref="AI278:AI286" si="117">IF(MIN(IF(ISBLANK(AF278),AG278,AF278),IF(ISBLANK(AG278),AF278,AG278))=0,"",MIN(IF(ISBLANK(AF278),AG278,AF278),IF(ISBLANK(AG278),AF278,AG278)))</f>
        <v/>
      </c>
      <c r="AJ278" s="57"/>
      <c r="AK278" s="57"/>
      <c r="AL278" s="59" t="str">
        <f t="shared" ref="AL278:AL289" si="118">IF(MIN(IF(ISBLANK(AI278),AJ278,AI278),IF(ISBLANK(AJ278),AI278,AJ278))=0,"",MIN(IF(ISBLANK(AI278),AJ278,AI278),IF(ISBLANK(AJ278),AI278,AJ278)))</f>
        <v/>
      </c>
      <c r="AM278" s="57"/>
      <c r="AN278" s="57"/>
      <c r="AO278" s="59" t="str">
        <f t="shared" ref="AO278:AO289" si="119">IF(MIN(IF(ISBLANK(AL278),AM278,AL278),IF(ISBLANK(AM278),AL278,AM278))=0,"",MIN(IF(ISBLANK(AL278),AM278,AL278),IF(ISBLANK(AM278),AL278,AM278)))</f>
        <v/>
      </c>
      <c r="AP278" s="57"/>
      <c r="AQ278" s="59" t="str">
        <f t="shared" si="112"/>
        <v/>
      </c>
      <c r="AR278" s="57"/>
      <c r="AS278" s="57"/>
      <c r="AT278" s="59" t="str">
        <f t="shared" si="113"/>
        <v/>
      </c>
    </row>
    <row r="279" spans="1:46" hidden="1">
      <c r="A279" s="24"/>
      <c r="B279" s="26" t="s">
        <v>593</v>
      </c>
      <c r="C279" s="26"/>
      <c r="D279" s="50"/>
      <c r="E279" s="51"/>
      <c r="F279" s="50"/>
      <c r="G279" s="52"/>
      <c r="H279" s="50"/>
      <c r="I279" s="53"/>
      <c r="J279" s="50"/>
      <c r="K279" s="53"/>
      <c r="L279" s="50"/>
      <c r="M279" s="57"/>
      <c r="N279" s="55" t="s">
        <v>448</v>
      </c>
      <c r="O279" s="57"/>
      <c r="P279" s="57"/>
      <c r="Q279" s="59" t="str">
        <f>IF(MIN(IF(ISBLANK(O279),N279,O279),IF(ISBLANK(N279),O279,N279))=0,"",MIN(IF(ISBLANK(O279),N279,O279),IF(ISBLANK(N279),O279,N279)))</f>
        <v/>
      </c>
      <c r="R279" s="57">
        <v>5.9027777777777776E-3</v>
      </c>
      <c r="S279" s="57"/>
      <c r="T279" s="59">
        <f>IF(MIN(IF(ISBLANK(R279),Q279,R279),IF(ISBLANK(Q279),R279,Q279))=0,"",MIN(IF(ISBLANK(R279),Q279,R279),IF(ISBLANK(Q279),R279,Q279)))</f>
        <v>5.9027777777777776E-3</v>
      </c>
      <c r="U279" s="57"/>
      <c r="V279" s="57"/>
      <c r="W279" s="59">
        <f>IF(MIN(IF(ISBLANK(U279),T279,U279),IF(ISBLANK(T279),U279,T279))=0,"",MIN(IF(ISBLANK(U279),T279,U279),IF(ISBLANK(T279),U279,T279)))</f>
        <v>5.9027777777777776E-3</v>
      </c>
      <c r="X279" s="57"/>
      <c r="Y279" s="57"/>
      <c r="Z279" s="59">
        <f t="shared" si="114"/>
        <v>5.9027777777777776E-3</v>
      </c>
      <c r="AA279" s="57"/>
      <c r="AB279" s="57"/>
      <c r="AC279" s="59">
        <f t="shared" si="115"/>
        <v>5.9027777777777776E-3</v>
      </c>
      <c r="AD279" s="57"/>
      <c r="AE279" s="57"/>
      <c r="AF279" s="59">
        <f t="shared" si="116"/>
        <v>5.9027777777777776E-3</v>
      </c>
      <c r="AG279" s="57"/>
      <c r="AH279" s="57"/>
      <c r="AI279" s="59">
        <f t="shared" si="117"/>
        <v>5.9027777777777776E-3</v>
      </c>
      <c r="AJ279" s="57"/>
      <c r="AK279" s="57"/>
      <c r="AL279" s="59">
        <f t="shared" si="118"/>
        <v>5.9027777777777776E-3</v>
      </c>
      <c r="AM279" s="57"/>
      <c r="AN279" s="57"/>
      <c r="AO279" s="59">
        <f t="shared" si="119"/>
        <v>5.9027777777777776E-3</v>
      </c>
      <c r="AP279" s="57"/>
      <c r="AQ279" s="59">
        <f t="shared" si="112"/>
        <v>5.9027777777777776E-3</v>
      </c>
      <c r="AR279" s="57"/>
      <c r="AS279" s="57"/>
      <c r="AT279" s="59">
        <f t="shared" si="113"/>
        <v>5.9027777777777776E-3</v>
      </c>
    </row>
    <row r="280" spans="1:46" hidden="1">
      <c r="A280" s="24"/>
      <c r="B280" s="26" t="s">
        <v>438</v>
      </c>
      <c r="C280" s="26" t="s">
        <v>444</v>
      </c>
      <c r="D280" s="50"/>
      <c r="E280" s="51"/>
      <c r="F280" s="50"/>
      <c r="G280" s="52"/>
      <c r="H280" s="50"/>
      <c r="I280" s="53">
        <v>9.4</v>
      </c>
      <c r="J280" s="50" t="s">
        <v>450</v>
      </c>
      <c r="K280" s="53"/>
      <c r="L280" s="50" t="s">
        <v>450</v>
      </c>
      <c r="M280" s="57"/>
      <c r="N280" s="55">
        <v>6.7129629629629622E-3</v>
      </c>
      <c r="O280" s="57"/>
      <c r="P280" s="57"/>
      <c r="Q280" s="59">
        <f>IF(MIN(IF(ISBLANK(O280),N280,O280),IF(ISBLANK(N280),O280,N280))=0,"",MIN(IF(ISBLANK(O280),N280,O280),IF(ISBLANK(N280),O280,N280)))</f>
        <v>6.7129629629629622E-3</v>
      </c>
      <c r="R280" s="57"/>
      <c r="S280" s="57"/>
      <c r="T280" s="59">
        <f>IF(MIN(IF(ISBLANK(R280),Q280,R280),IF(ISBLANK(Q280),R280,Q280))=0,"",MIN(IF(ISBLANK(R280),Q280,R280),IF(ISBLANK(Q280),R280,Q280)))</f>
        <v>6.7129629629629622E-3</v>
      </c>
      <c r="U280" s="57"/>
      <c r="V280" s="57"/>
      <c r="W280" s="59">
        <f>IF(MIN(IF(ISBLANK(U280),T280,U280),IF(ISBLANK(T280),U280,T280))=0,"",MIN(IF(ISBLANK(U280),T280,U280),IF(ISBLANK(T280),U280,T280)))</f>
        <v>6.7129629629629622E-3</v>
      </c>
      <c r="X280" s="57"/>
      <c r="Y280" s="57"/>
      <c r="Z280" s="59">
        <f t="shared" si="114"/>
        <v>6.7129629629629622E-3</v>
      </c>
      <c r="AA280" s="57"/>
      <c r="AB280" s="57"/>
      <c r="AC280" s="59">
        <f t="shared" si="115"/>
        <v>6.7129629629629622E-3</v>
      </c>
      <c r="AD280" s="57"/>
      <c r="AE280" s="57"/>
      <c r="AF280" s="59">
        <f t="shared" si="116"/>
        <v>6.7129629629629622E-3</v>
      </c>
      <c r="AG280" s="57"/>
      <c r="AH280" s="57"/>
      <c r="AI280" s="59">
        <f t="shared" si="117"/>
        <v>6.7129629629629622E-3</v>
      </c>
      <c r="AJ280" s="57"/>
      <c r="AK280" s="57"/>
      <c r="AL280" s="59">
        <f t="shared" si="118"/>
        <v>6.7129629629629622E-3</v>
      </c>
      <c r="AM280" s="57"/>
      <c r="AN280" s="57"/>
      <c r="AO280" s="59">
        <f t="shared" si="119"/>
        <v>6.7129629629629622E-3</v>
      </c>
      <c r="AP280" s="57"/>
      <c r="AQ280" s="59">
        <f t="shared" si="112"/>
        <v>6.7129629629629622E-3</v>
      </c>
      <c r="AR280" s="57"/>
      <c r="AS280" s="57"/>
      <c r="AT280" s="59">
        <f t="shared" si="113"/>
        <v>6.7129629629629622E-3</v>
      </c>
    </row>
    <row r="281" spans="1:46" hidden="1">
      <c r="A281" s="24"/>
      <c r="B281" s="26" t="s">
        <v>637</v>
      </c>
      <c r="C281" s="26"/>
      <c r="D281" s="50"/>
      <c r="E281" s="51"/>
      <c r="F281" s="50"/>
      <c r="G281" s="52"/>
      <c r="H281" s="50"/>
      <c r="I281" s="53"/>
      <c r="J281" s="50"/>
      <c r="K281" s="53"/>
      <c r="L281" s="50"/>
      <c r="M281" s="57"/>
      <c r="N281" s="55"/>
      <c r="O281" s="57"/>
      <c r="P281" s="57"/>
      <c r="Q281" s="59"/>
      <c r="R281" s="57"/>
      <c r="S281" s="57"/>
      <c r="T281" s="59"/>
      <c r="U281" s="57"/>
      <c r="V281" s="57"/>
      <c r="W281" s="59"/>
      <c r="X281" s="57"/>
      <c r="Y281" s="57"/>
      <c r="Z281" s="59" t="str">
        <f t="shared" si="114"/>
        <v/>
      </c>
      <c r="AA281" s="57"/>
      <c r="AB281" s="57"/>
      <c r="AC281" s="59" t="str">
        <f t="shared" si="115"/>
        <v/>
      </c>
      <c r="AD281" s="57"/>
      <c r="AE281" s="57"/>
      <c r="AF281" s="59" t="str">
        <f t="shared" si="116"/>
        <v/>
      </c>
      <c r="AG281" s="57"/>
      <c r="AH281" s="57"/>
      <c r="AI281" s="59" t="str">
        <f t="shared" si="117"/>
        <v/>
      </c>
      <c r="AJ281" s="57"/>
      <c r="AK281" s="57"/>
      <c r="AL281" s="59" t="str">
        <f t="shared" si="118"/>
        <v/>
      </c>
      <c r="AM281" s="57"/>
      <c r="AN281" s="57"/>
      <c r="AO281" s="59" t="str">
        <f t="shared" si="119"/>
        <v/>
      </c>
      <c r="AP281" s="57"/>
      <c r="AQ281" s="59" t="str">
        <f t="shared" si="112"/>
        <v/>
      </c>
      <c r="AR281" s="57"/>
      <c r="AS281" s="57"/>
      <c r="AT281" s="59" t="str">
        <f t="shared" si="113"/>
        <v/>
      </c>
    </row>
    <row r="282" spans="1:46" hidden="1">
      <c r="A282" s="24"/>
      <c r="B282" s="26" t="s">
        <v>472</v>
      </c>
      <c r="C282" s="26"/>
      <c r="D282" s="50"/>
      <c r="E282" s="51"/>
      <c r="F282" s="50"/>
      <c r="G282" s="52"/>
      <c r="H282" s="50"/>
      <c r="I282" s="53"/>
      <c r="J282" s="50"/>
      <c r="K282" s="53"/>
      <c r="L282" s="50"/>
      <c r="M282" s="57"/>
      <c r="N282" s="55" t="s">
        <v>448</v>
      </c>
      <c r="O282" s="57"/>
      <c r="P282" s="57"/>
      <c r="Q282" s="59" t="str">
        <f>IF(MIN(IF(ISBLANK(O282),N282,O282),IF(ISBLANK(N282),O282,N282))=0,"",MIN(IF(ISBLANK(O282),N282,O282),IF(ISBLANK(N282),O282,N282)))</f>
        <v/>
      </c>
      <c r="R282" s="57"/>
      <c r="S282" s="57"/>
      <c r="T282" s="59" t="str">
        <f>IF(MIN(IF(ISBLANK(R282),Q282,R282),IF(ISBLANK(Q282),R282,Q282))=0,"",MIN(IF(ISBLANK(R282),Q282,R282),IF(ISBLANK(Q282),R282,Q282)))</f>
        <v/>
      </c>
      <c r="U282" s="57"/>
      <c r="V282" s="57"/>
      <c r="W282" s="59" t="str">
        <f>IF(MIN(IF(ISBLANK(U282),T282,U282),IF(ISBLANK(T282),U282,T282))=0,"",MIN(IF(ISBLANK(U282),T282,U282),IF(ISBLANK(T282),U282,T282)))</f>
        <v/>
      </c>
      <c r="X282" s="57"/>
      <c r="Y282" s="57"/>
      <c r="Z282" s="59" t="str">
        <f t="shared" si="114"/>
        <v/>
      </c>
      <c r="AA282" s="57"/>
      <c r="AB282" s="57"/>
      <c r="AC282" s="59" t="str">
        <f t="shared" si="115"/>
        <v/>
      </c>
      <c r="AD282" s="57"/>
      <c r="AE282" s="57"/>
      <c r="AF282" s="59" t="str">
        <f t="shared" si="116"/>
        <v/>
      </c>
      <c r="AG282" s="57"/>
      <c r="AH282" s="57"/>
      <c r="AI282" s="59" t="str">
        <f t="shared" si="117"/>
        <v/>
      </c>
      <c r="AJ282" s="57"/>
      <c r="AK282" s="57"/>
      <c r="AL282" s="59" t="str">
        <f t="shared" si="118"/>
        <v/>
      </c>
      <c r="AM282" s="57"/>
      <c r="AN282" s="57"/>
      <c r="AO282" s="59" t="str">
        <f t="shared" si="119"/>
        <v/>
      </c>
      <c r="AP282" s="57"/>
      <c r="AQ282" s="59" t="str">
        <f t="shared" si="112"/>
        <v/>
      </c>
      <c r="AR282" s="57"/>
      <c r="AS282" s="57"/>
      <c r="AT282" s="59" t="str">
        <f t="shared" si="113"/>
        <v/>
      </c>
    </row>
    <row r="283" spans="1:46" hidden="1">
      <c r="A283" s="24"/>
      <c r="B283" s="26" t="s">
        <v>638</v>
      </c>
      <c r="C283" s="26"/>
      <c r="D283" s="50"/>
      <c r="E283" s="51"/>
      <c r="F283" s="50"/>
      <c r="G283" s="52"/>
      <c r="H283" s="50"/>
      <c r="I283" s="53"/>
      <c r="J283" s="50"/>
      <c r="K283" s="53"/>
      <c r="L283" s="50"/>
      <c r="M283" s="57"/>
      <c r="N283" s="55"/>
      <c r="O283" s="57"/>
      <c r="P283" s="57"/>
      <c r="Q283" s="59"/>
      <c r="R283" s="57"/>
      <c r="S283" s="57"/>
      <c r="T283" s="59"/>
      <c r="U283" s="57"/>
      <c r="V283" s="57"/>
      <c r="W283" s="59"/>
      <c r="X283" s="57"/>
      <c r="Y283" s="57"/>
      <c r="Z283" s="59" t="str">
        <f t="shared" si="114"/>
        <v/>
      </c>
      <c r="AA283" s="57"/>
      <c r="AB283" s="57"/>
      <c r="AC283" s="59" t="str">
        <f t="shared" si="115"/>
        <v/>
      </c>
      <c r="AD283" s="57"/>
      <c r="AE283" s="57"/>
      <c r="AF283" s="59" t="str">
        <f t="shared" si="116"/>
        <v/>
      </c>
      <c r="AG283" s="57"/>
      <c r="AH283" s="57"/>
      <c r="AI283" s="59" t="str">
        <f t="shared" si="117"/>
        <v/>
      </c>
      <c r="AJ283" s="57"/>
      <c r="AK283" s="57"/>
      <c r="AL283" s="59" t="str">
        <f t="shared" si="118"/>
        <v/>
      </c>
      <c r="AM283" s="57"/>
      <c r="AN283" s="57"/>
      <c r="AO283" s="59" t="str">
        <f t="shared" si="119"/>
        <v/>
      </c>
      <c r="AP283" s="57"/>
      <c r="AQ283" s="59" t="str">
        <f t="shared" si="112"/>
        <v/>
      </c>
      <c r="AR283" s="57"/>
      <c r="AS283" s="57"/>
      <c r="AT283" s="59" t="str">
        <f t="shared" si="113"/>
        <v/>
      </c>
    </row>
    <row r="284" spans="1:46" hidden="1">
      <c r="A284" s="24"/>
      <c r="B284" s="26" t="s">
        <v>681</v>
      </c>
      <c r="C284" s="26"/>
      <c r="D284" s="50"/>
      <c r="E284" s="51"/>
      <c r="F284" s="50"/>
      <c r="G284" s="52"/>
      <c r="H284" s="50"/>
      <c r="I284" s="53"/>
      <c r="J284" s="50"/>
      <c r="K284" s="53"/>
      <c r="L284" s="50"/>
      <c r="M284" s="57"/>
      <c r="N284" s="55"/>
      <c r="O284" s="57"/>
      <c r="P284" s="57"/>
      <c r="Q284" s="59"/>
      <c r="R284" s="57"/>
      <c r="S284" s="57"/>
      <c r="T284" s="59"/>
      <c r="U284" s="57"/>
      <c r="V284" s="57"/>
      <c r="W284" s="59"/>
      <c r="X284" s="57"/>
      <c r="Y284" s="57"/>
      <c r="Z284" s="59" t="str">
        <f t="shared" si="114"/>
        <v/>
      </c>
      <c r="AA284" s="57"/>
      <c r="AB284" s="57"/>
      <c r="AC284" s="59" t="str">
        <f t="shared" si="115"/>
        <v/>
      </c>
      <c r="AD284" s="57"/>
      <c r="AE284" s="57"/>
      <c r="AF284" s="59" t="str">
        <f t="shared" si="116"/>
        <v/>
      </c>
      <c r="AG284" s="57"/>
      <c r="AH284" s="57"/>
      <c r="AI284" s="59" t="str">
        <f t="shared" si="117"/>
        <v/>
      </c>
      <c r="AJ284" s="57"/>
      <c r="AK284" s="57"/>
      <c r="AL284" s="59" t="str">
        <f t="shared" si="118"/>
        <v/>
      </c>
      <c r="AM284" s="57"/>
      <c r="AN284" s="57"/>
      <c r="AO284" s="59" t="str">
        <f t="shared" si="119"/>
        <v/>
      </c>
      <c r="AP284" s="57"/>
      <c r="AQ284" s="59" t="str">
        <f t="shared" si="112"/>
        <v/>
      </c>
      <c r="AR284" s="57"/>
      <c r="AS284" s="57"/>
      <c r="AT284" s="59" t="str">
        <f t="shared" si="113"/>
        <v/>
      </c>
    </row>
    <row r="285" spans="1:46">
      <c r="A285" s="24" t="s">
        <v>792</v>
      </c>
      <c r="B285" s="26" t="s">
        <v>76</v>
      </c>
      <c r="C285" s="26" t="s">
        <v>443</v>
      </c>
      <c r="D285" s="50">
        <v>7.43</v>
      </c>
      <c r="E285" s="51"/>
      <c r="F285" s="50">
        <v>7.43</v>
      </c>
      <c r="G285" s="52"/>
      <c r="H285" s="50">
        <v>7.43</v>
      </c>
      <c r="I285" s="53">
        <v>8.43</v>
      </c>
      <c r="J285" s="50">
        <v>7.43</v>
      </c>
      <c r="K285" s="53"/>
      <c r="L285" s="50">
        <v>7.43</v>
      </c>
      <c r="M285" s="57">
        <v>6.053240740740741E-3</v>
      </c>
      <c r="N285" s="55">
        <v>5.3587962962962964E-3</v>
      </c>
      <c r="O285" s="57"/>
      <c r="P285" s="57"/>
      <c r="Q285" s="59">
        <f>IF(MIN(IF(ISBLANK(O285),N285,O285),IF(ISBLANK(N285),O285,N285))=0,"",MIN(IF(ISBLANK(O285),N285,O285),IF(ISBLANK(N285),O285,N285)))</f>
        <v>5.3587962962962964E-3</v>
      </c>
      <c r="R285" s="57">
        <v>5.8333333333333336E-3</v>
      </c>
      <c r="S285" s="57"/>
      <c r="T285" s="59">
        <f>IF(MIN(IF(ISBLANK(R285),Q285,R285),IF(ISBLANK(Q285),R285,Q285))=0,"",MIN(IF(ISBLANK(R285),Q285,R285),IF(ISBLANK(Q285),R285,Q285)))</f>
        <v>5.3587962962962964E-3</v>
      </c>
      <c r="U285" s="57">
        <v>5.9837962962962961E-3</v>
      </c>
      <c r="V285" s="57"/>
      <c r="W285" s="59">
        <f>IF(MIN(IF(ISBLANK(U285),T285,U285),IF(ISBLANK(T285),U285,T285))=0,"",MIN(IF(ISBLANK(U285),T285,U285),IF(ISBLANK(T285),U285,T285)))</f>
        <v>5.3587962962962964E-3</v>
      </c>
      <c r="X285" s="57">
        <v>5.6134259259259271E-3</v>
      </c>
      <c r="Y285" s="57"/>
      <c r="Z285" s="59">
        <f t="shared" si="114"/>
        <v>5.3587962962962964E-3</v>
      </c>
      <c r="AA285" s="57">
        <v>5.5439814814814822E-3</v>
      </c>
      <c r="AB285" s="57"/>
      <c r="AC285" s="59">
        <f t="shared" si="115"/>
        <v>5.3587962962962964E-3</v>
      </c>
      <c r="AD285" s="57">
        <v>5.6365740740740742E-3</v>
      </c>
      <c r="AE285" s="57"/>
      <c r="AF285" s="59">
        <f t="shared" si="116"/>
        <v>5.3587962962962964E-3</v>
      </c>
      <c r="AG285" s="57">
        <v>5.5902777777777782E-3</v>
      </c>
      <c r="AH285" s="57"/>
      <c r="AI285" s="59">
        <f t="shared" si="117"/>
        <v>5.3587962962962964E-3</v>
      </c>
      <c r="AJ285" s="57"/>
      <c r="AK285" s="57"/>
      <c r="AL285" s="59">
        <f t="shared" si="118"/>
        <v>5.3587962962962964E-3</v>
      </c>
      <c r="AM285" s="57"/>
      <c r="AN285" s="57"/>
      <c r="AO285" s="59">
        <f t="shared" si="119"/>
        <v>5.3587962962962964E-3</v>
      </c>
      <c r="AP285" s="57"/>
      <c r="AQ285" s="59">
        <f t="shared" si="112"/>
        <v>5.3587962962962964E-3</v>
      </c>
      <c r="AR285" s="57"/>
      <c r="AS285" s="57"/>
      <c r="AT285" s="59">
        <f t="shared" si="113"/>
        <v>5.3587962962962964E-3</v>
      </c>
    </row>
    <row r="286" spans="1:46" hidden="1">
      <c r="A286" s="24"/>
      <c r="B286" s="26" t="s">
        <v>639</v>
      </c>
      <c r="C286" s="26"/>
      <c r="D286" s="50"/>
      <c r="E286" s="51"/>
      <c r="F286" s="50"/>
      <c r="G286" s="52"/>
      <c r="H286" s="50"/>
      <c r="I286" s="53"/>
      <c r="J286" s="50"/>
      <c r="K286" s="53"/>
      <c r="L286" s="50"/>
      <c r="M286" s="57"/>
      <c r="N286" s="55"/>
      <c r="O286" s="57"/>
      <c r="P286" s="57"/>
      <c r="Q286" s="59"/>
      <c r="R286" s="57"/>
      <c r="S286" s="57"/>
      <c r="T286" s="59"/>
      <c r="U286" s="57"/>
      <c r="V286" s="57"/>
      <c r="W286" s="59"/>
      <c r="X286" s="57"/>
      <c r="Y286" s="57"/>
      <c r="Z286" s="59" t="str">
        <f t="shared" si="114"/>
        <v/>
      </c>
      <c r="AA286" s="57"/>
      <c r="AB286" s="57"/>
      <c r="AC286" s="59" t="str">
        <f t="shared" si="115"/>
        <v/>
      </c>
      <c r="AD286" s="57"/>
      <c r="AE286" s="57"/>
      <c r="AF286" s="59" t="str">
        <f t="shared" si="116"/>
        <v/>
      </c>
      <c r="AG286" s="57"/>
      <c r="AH286" s="57"/>
      <c r="AI286" s="59" t="str">
        <f t="shared" si="117"/>
        <v/>
      </c>
      <c r="AJ286" s="57"/>
      <c r="AK286" s="57"/>
      <c r="AL286" s="59" t="str">
        <f t="shared" si="118"/>
        <v/>
      </c>
      <c r="AM286" s="57"/>
      <c r="AN286" s="57"/>
      <c r="AO286" s="59" t="str">
        <f t="shared" si="119"/>
        <v/>
      </c>
      <c r="AP286" s="57"/>
      <c r="AQ286" s="59" t="str">
        <f t="shared" si="112"/>
        <v/>
      </c>
      <c r="AR286" s="57"/>
      <c r="AS286" s="57"/>
      <c r="AT286" s="59" t="str">
        <f t="shared" si="113"/>
        <v/>
      </c>
    </row>
    <row r="287" spans="1:46" hidden="1">
      <c r="A287" s="24"/>
      <c r="B287" s="26" t="s">
        <v>757</v>
      </c>
      <c r="C287" s="26"/>
      <c r="D287" s="50"/>
      <c r="E287" s="51"/>
      <c r="F287" s="50"/>
      <c r="G287" s="52"/>
      <c r="H287" s="50"/>
      <c r="I287" s="53"/>
      <c r="J287" s="50"/>
      <c r="K287" s="53"/>
      <c r="L287" s="50"/>
      <c r="M287" s="57"/>
      <c r="N287" s="55"/>
      <c r="O287" s="57"/>
      <c r="P287" s="57"/>
      <c r="Q287" s="59"/>
      <c r="R287" s="57"/>
      <c r="S287" s="57"/>
      <c r="T287" s="59"/>
      <c r="U287" s="57"/>
      <c r="V287" s="57"/>
      <c r="W287" s="59"/>
      <c r="X287" s="57"/>
      <c r="Y287" s="57"/>
      <c r="Z287" s="59"/>
      <c r="AA287" s="57"/>
      <c r="AB287" s="57"/>
      <c r="AC287" s="59"/>
      <c r="AD287" s="57"/>
      <c r="AE287" s="57"/>
      <c r="AF287" s="59"/>
      <c r="AG287" s="57"/>
      <c r="AH287" s="57"/>
      <c r="AI287" s="59"/>
      <c r="AJ287" s="57"/>
      <c r="AK287" s="57"/>
      <c r="AL287" s="59" t="str">
        <f t="shared" si="118"/>
        <v/>
      </c>
      <c r="AM287" s="57"/>
      <c r="AN287" s="57"/>
      <c r="AO287" s="59" t="str">
        <f t="shared" si="119"/>
        <v/>
      </c>
      <c r="AP287" s="57"/>
      <c r="AQ287" s="59" t="str">
        <f t="shared" si="112"/>
        <v/>
      </c>
      <c r="AR287" s="57"/>
      <c r="AS287" s="57"/>
      <c r="AT287" s="59" t="str">
        <f t="shared" si="113"/>
        <v/>
      </c>
    </row>
    <row r="288" spans="1:46" hidden="1">
      <c r="A288" s="24"/>
      <c r="B288" s="26" t="s">
        <v>699</v>
      </c>
      <c r="C288" s="26"/>
      <c r="D288" s="50"/>
      <c r="E288" s="51"/>
      <c r="F288" s="50"/>
      <c r="G288" s="52"/>
      <c r="H288" s="50"/>
      <c r="I288" s="53"/>
      <c r="J288" s="50"/>
      <c r="K288" s="53"/>
      <c r="L288" s="50"/>
      <c r="M288" s="57"/>
      <c r="N288" s="55"/>
      <c r="O288" s="57"/>
      <c r="P288" s="57"/>
      <c r="Q288" s="59"/>
      <c r="R288" s="57"/>
      <c r="S288" s="57"/>
      <c r="T288" s="59"/>
      <c r="U288" s="57"/>
      <c r="V288" s="57"/>
      <c r="W288" s="59"/>
      <c r="X288" s="57"/>
      <c r="Y288" s="57"/>
      <c r="Z288" s="59"/>
      <c r="AA288" s="57">
        <v>7.719907407407408E-3</v>
      </c>
      <c r="AB288" s="57"/>
      <c r="AC288" s="59">
        <f>IF(MIN(IF(ISBLANK(Z288),AA288,Z288),IF(ISBLANK(AA288),Z288,AA288))=0,"",MIN(IF(ISBLANK(Z288),AA288,Z288),IF(ISBLANK(AA288),Z288,AA288)))</f>
        <v>7.719907407407408E-3</v>
      </c>
      <c r="AD288" s="57"/>
      <c r="AE288" s="57"/>
      <c r="AF288" s="59">
        <f>IF(MIN(IF(ISBLANK(AC288),AD288,AC288),IF(ISBLANK(AD288),AC288,AD288))=0,"",MIN(IF(ISBLANK(AC288),AD288,AC288),IF(ISBLANK(AD288),AC288,AD288)))</f>
        <v>7.719907407407408E-3</v>
      </c>
      <c r="AG288" s="57"/>
      <c r="AH288" s="57"/>
      <c r="AI288" s="59">
        <f>IF(MIN(IF(ISBLANK(AF288),AG288,AF288),IF(ISBLANK(AG288),AF288,AG288))=0,"",MIN(IF(ISBLANK(AF288),AG288,AF288),IF(ISBLANK(AG288),AF288,AG288)))</f>
        <v>7.719907407407408E-3</v>
      </c>
      <c r="AJ288" s="57"/>
      <c r="AK288" s="57"/>
      <c r="AL288" s="59">
        <f t="shared" si="118"/>
        <v>7.719907407407408E-3</v>
      </c>
      <c r="AM288" s="57"/>
      <c r="AN288" s="57"/>
      <c r="AO288" s="59">
        <f t="shared" si="119"/>
        <v>7.719907407407408E-3</v>
      </c>
      <c r="AP288" s="57"/>
      <c r="AQ288" s="59">
        <f t="shared" si="112"/>
        <v>7.719907407407408E-3</v>
      </c>
      <c r="AR288" s="57"/>
      <c r="AS288" s="57"/>
      <c r="AT288" s="59">
        <f t="shared" si="113"/>
        <v>7.719907407407408E-3</v>
      </c>
    </row>
    <row r="289" spans="1:46" hidden="1">
      <c r="A289" s="24"/>
      <c r="B289" s="26" t="s">
        <v>87</v>
      </c>
      <c r="C289" s="26" t="s">
        <v>443</v>
      </c>
      <c r="D289" s="50">
        <v>7.01</v>
      </c>
      <c r="E289" s="51"/>
      <c r="F289" s="50">
        <v>7.01</v>
      </c>
      <c r="G289" s="52"/>
      <c r="H289" s="50">
        <v>7.01</v>
      </c>
      <c r="I289" s="53"/>
      <c r="J289" s="50">
        <v>7.01</v>
      </c>
      <c r="K289" s="53">
        <v>7.19</v>
      </c>
      <c r="L289" s="50">
        <v>7.01</v>
      </c>
      <c r="M289" s="57"/>
      <c r="N289" s="55">
        <v>4.8726851851851856E-3</v>
      </c>
      <c r="O289" s="57"/>
      <c r="P289" s="57"/>
      <c r="Q289" s="59">
        <f>IF(MIN(IF(ISBLANK(O289),N289,O289),IF(ISBLANK(N289),O289,N289))=0,"",MIN(IF(ISBLANK(O289),N289,O289),IF(ISBLANK(N289),O289,N289)))</f>
        <v>4.8726851851851856E-3</v>
      </c>
      <c r="R289" s="57"/>
      <c r="S289" s="57"/>
      <c r="T289" s="59">
        <f>IF(MIN(IF(ISBLANK(R289),Q289,R289),IF(ISBLANK(Q289),R289,Q289))=0,"",MIN(IF(ISBLANK(R289),Q289,R289),IF(ISBLANK(Q289),R289,Q289)))</f>
        <v>4.8726851851851856E-3</v>
      </c>
      <c r="U289" s="57"/>
      <c r="V289" s="57"/>
      <c r="W289" s="59">
        <f>IF(MIN(IF(ISBLANK(U289),T289,U289),IF(ISBLANK(T289),U289,T289))=0,"",MIN(IF(ISBLANK(U289),T289,U289),IF(ISBLANK(T289),U289,T289)))</f>
        <v>4.8726851851851856E-3</v>
      </c>
      <c r="X289" s="57"/>
      <c r="Y289" s="57"/>
      <c r="Z289" s="59">
        <f>IF(MIN(IF(ISBLANK(X289),W289,X289),IF(ISBLANK(W289),X289,W289))=0,"",MIN(IF(ISBLANK(X289),W289,X289),IF(ISBLANK(W289),X289,W289)))</f>
        <v>4.8726851851851856E-3</v>
      </c>
      <c r="AA289" s="57"/>
      <c r="AB289" s="57"/>
      <c r="AC289" s="59">
        <f>IF(MIN(IF(ISBLANK(Z289),AA289,Z289),IF(ISBLANK(AA289),Z289,AA289))=0,"",MIN(IF(ISBLANK(Z289),AA289,Z289),IF(ISBLANK(AA289),Z289,AA289)))</f>
        <v>4.8726851851851856E-3</v>
      </c>
      <c r="AD289" s="57"/>
      <c r="AE289" s="57"/>
      <c r="AF289" s="59">
        <f>IF(MIN(IF(ISBLANK(AC289),AD289,AC289),IF(ISBLANK(AD289),AC289,AD289))=0,"",MIN(IF(ISBLANK(AC289),AD289,AC289),IF(ISBLANK(AD289),AC289,AD289)))</f>
        <v>4.8726851851851856E-3</v>
      </c>
      <c r="AG289" s="57"/>
      <c r="AH289" s="57"/>
      <c r="AI289" s="59">
        <f>IF(MIN(IF(ISBLANK(AF289),AG289,AF289),IF(ISBLANK(AG289),AF289,AG289))=0,"",MIN(IF(ISBLANK(AF289),AG289,AF289),IF(ISBLANK(AG289),AF289,AG289)))</f>
        <v>4.8726851851851856E-3</v>
      </c>
      <c r="AJ289" s="57"/>
      <c r="AK289" s="57"/>
      <c r="AL289" s="59">
        <f t="shared" si="118"/>
        <v>4.8726851851851856E-3</v>
      </c>
      <c r="AM289" s="57"/>
      <c r="AN289" s="57"/>
      <c r="AO289" s="59">
        <f t="shared" si="119"/>
        <v>4.8726851851851856E-3</v>
      </c>
      <c r="AP289" s="57"/>
      <c r="AQ289" s="59">
        <f t="shared" si="112"/>
        <v>4.8726851851851856E-3</v>
      </c>
      <c r="AR289" s="57"/>
      <c r="AS289" s="57"/>
      <c r="AT289" s="59">
        <f t="shared" si="113"/>
        <v>4.8726851851851856E-3</v>
      </c>
    </row>
    <row r="290" spans="1:46">
      <c r="A290" s="24" t="s">
        <v>792</v>
      </c>
      <c r="B290" s="26" t="s">
        <v>842</v>
      </c>
      <c r="C290" s="26"/>
      <c r="D290" s="50"/>
      <c r="E290" s="51"/>
      <c r="F290" s="50"/>
      <c r="G290" s="52"/>
      <c r="H290" s="50"/>
      <c r="I290" s="53"/>
      <c r="J290" s="50"/>
      <c r="K290" s="53"/>
      <c r="L290" s="50"/>
      <c r="M290" s="57"/>
      <c r="N290" s="55"/>
      <c r="O290" s="57"/>
      <c r="P290" s="57"/>
      <c r="Q290" s="59"/>
      <c r="R290" s="57"/>
      <c r="S290" s="57"/>
      <c r="T290" s="59"/>
      <c r="U290" s="57"/>
      <c r="V290" s="57"/>
      <c r="W290" s="59"/>
      <c r="X290" s="57"/>
      <c r="Y290" s="57"/>
      <c r="Z290" s="59"/>
      <c r="AA290" s="57"/>
      <c r="AB290" s="57"/>
      <c r="AC290" s="59"/>
      <c r="AD290" s="57"/>
      <c r="AE290" s="57"/>
      <c r="AF290" s="59"/>
      <c r="AG290" s="57"/>
      <c r="AH290" s="57"/>
      <c r="AI290" s="59"/>
      <c r="AJ290" s="57"/>
      <c r="AK290" s="57"/>
      <c r="AL290" s="59"/>
      <c r="AM290" s="57"/>
      <c r="AN290" s="57"/>
      <c r="AO290" s="59"/>
      <c r="AP290" s="57">
        <v>0.30416666666666664</v>
      </c>
      <c r="AQ290" s="59">
        <f t="shared" si="112"/>
        <v>0.30416666666666664</v>
      </c>
      <c r="AR290" s="57"/>
      <c r="AS290" s="57"/>
      <c r="AT290" s="59">
        <f t="shared" si="113"/>
        <v>0.30416666666666664</v>
      </c>
    </row>
    <row r="291" spans="1:46" hidden="1">
      <c r="A291" s="24"/>
      <c r="B291" s="26" t="s">
        <v>640</v>
      </c>
      <c r="C291" s="26"/>
      <c r="D291" s="50"/>
      <c r="E291" s="51"/>
      <c r="F291" s="50"/>
      <c r="G291" s="52"/>
      <c r="H291" s="50"/>
      <c r="I291" s="53"/>
      <c r="J291" s="50"/>
      <c r="K291" s="53"/>
      <c r="L291" s="50"/>
      <c r="M291" s="57"/>
      <c r="N291" s="55"/>
      <c r="O291" s="57"/>
      <c r="P291" s="57"/>
      <c r="Q291" s="59"/>
      <c r="R291" s="57"/>
      <c r="S291" s="57"/>
      <c r="T291" s="59"/>
      <c r="U291" s="57"/>
      <c r="V291" s="57"/>
      <c r="W291" s="59"/>
      <c r="X291" s="57"/>
      <c r="Y291" s="57"/>
      <c r="Z291" s="59" t="str">
        <f>IF(MIN(IF(ISBLANK(X291),W291,X291),IF(ISBLANK(W291),X291,W291))=0,"",MIN(IF(ISBLANK(X291),W291,X291),IF(ISBLANK(W291),X291,W291)))</f>
        <v/>
      </c>
      <c r="AA291" s="57"/>
      <c r="AB291" s="57"/>
      <c r="AC291" s="59" t="str">
        <f>IF(MIN(IF(ISBLANK(Z291),AA291,Z291),IF(ISBLANK(AA291),Z291,AA291))=0,"",MIN(IF(ISBLANK(Z291),AA291,Z291),IF(ISBLANK(AA291),Z291,AA291)))</f>
        <v/>
      </c>
      <c r="AD291" s="57"/>
      <c r="AE291" s="57"/>
      <c r="AF291" s="59" t="str">
        <f>IF(MIN(IF(ISBLANK(AC291),AD291,AC291),IF(ISBLANK(AD291),AC291,AD291))=0,"",MIN(IF(ISBLANK(AC291),AD291,AC291),IF(ISBLANK(AD291),AC291,AD291)))</f>
        <v/>
      </c>
      <c r="AG291" s="57"/>
      <c r="AH291" s="57"/>
      <c r="AI291" s="59" t="str">
        <f>IF(MIN(IF(ISBLANK(AF291),AG291,AF291),IF(ISBLANK(AG291),AF291,AG291))=0,"",MIN(IF(ISBLANK(AF291),AG291,AF291),IF(ISBLANK(AG291),AF291,AG291)))</f>
        <v/>
      </c>
      <c r="AJ291" s="57"/>
      <c r="AK291" s="57"/>
      <c r="AL291" s="59" t="str">
        <f>IF(MIN(IF(ISBLANK(AI291),AJ291,AI291),IF(ISBLANK(AJ291),AI291,AJ291))=0,"",MIN(IF(ISBLANK(AI291),AJ291,AI291),IF(ISBLANK(AJ291),AI291,AJ291)))</f>
        <v/>
      </c>
      <c r="AM291" s="57"/>
      <c r="AN291" s="57"/>
      <c r="AO291" s="59" t="str">
        <f>IF(MIN(IF(ISBLANK(AL291),AM291,AL291),IF(ISBLANK(AM291),AL291,AM291))=0,"",MIN(IF(ISBLANK(AL291),AM291,AL291),IF(ISBLANK(AM291),AL291,AM291)))</f>
        <v/>
      </c>
      <c r="AP291" s="57"/>
      <c r="AQ291" s="59" t="str">
        <f t="shared" si="112"/>
        <v/>
      </c>
      <c r="AR291" s="57"/>
      <c r="AS291" s="57"/>
      <c r="AT291" s="59" t="str">
        <f t="shared" si="113"/>
        <v/>
      </c>
    </row>
    <row r="292" spans="1:46" hidden="1">
      <c r="A292" s="24"/>
      <c r="B292" s="26" t="s">
        <v>104</v>
      </c>
      <c r="C292" s="26" t="s">
        <v>444</v>
      </c>
      <c r="D292" s="50" t="s">
        <v>223</v>
      </c>
      <c r="E292" s="51"/>
      <c r="F292" s="50" t="s">
        <v>223</v>
      </c>
      <c r="G292" s="52"/>
      <c r="H292" s="50" t="s">
        <v>223</v>
      </c>
      <c r="I292" s="53"/>
      <c r="J292" s="50" t="s">
        <v>223</v>
      </c>
      <c r="K292" s="53"/>
      <c r="L292" s="50" t="s">
        <v>223</v>
      </c>
      <c r="M292" s="57"/>
      <c r="N292" s="55">
        <v>7.8703703703703713E-3</v>
      </c>
      <c r="O292" s="57"/>
      <c r="P292" s="57"/>
      <c r="Q292" s="59">
        <f>IF(MIN(IF(ISBLANK(O292),N292,O292),IF(ISBLANK(N292),O292,N292))=0,"",MIN(IF(ISBLANK(O292),N292,O292),IF(ISBLANK(N292),O292,N292)))</f>
        <v>7.8703703703703713E-3</v>
      </c>
      <c r="R292" s="57"/>
      <c r="S292" s="57"/>
      <c r="T292" s="59">
        <f>IF(MIN(IF(ISBLANK(R292),Q292,R292),IF(ISBLANK(Q292),R292,Q292))=0,"",MIN(IF(ISBLANK(R292),Q292,R292),IF(ISBLANK(Q292),R292,Q292)))</f>
        <v>7.8703703703703713E-3</v>
      </c>
      <c r="U292" s="57"/>
      <c r="V292" s="57"/>
      <c r="W292" s="59">
        <f>IF(MIN(IF(ISBLANK(U292),T292,U292),IF(ISBLANK(T292),U292,T292))=0,"",MIN(IF(ISBLANK(U292),T292,U292),IF(ISBLANK(T292),U292,T292)))</f>
        <v>7.8703703703703713E-3</v>
      </c>
      <c r="X292" s="57"/>
      <c r="Y292" s="57"/>
      <c r="Z292" s="59">
        <f>IF(MIN(IF(ISBLANK(X292),W292,X292),IF(ISBLANK(W292),X292,W292))=0,"",MIN(IF(ISBLANK(X292),W292,X292),IF(ISBLANK(W292),X292,W292)))</f>
        <v>7.8703703703703713E-3</v>
      </c>
      <c r="AA292" s="57"/>
      <c r="AB292" s="57"/>
      <c r="AC292" s="59">
        <f>IF(MIN(IF(ISBLANK(Z292),AA292,Z292),IF(ISBLANK(AA292),Z292,AA292))=0,"",MIN(IF(ISBLANK(Z292),AA292,Z292),IF(ISBLANK(AA292),Z292,AA292)))</f>
        <v>7.8703703703703713E-3</v>
      </c>
      <c r="AD292" s="57"/>
      <c r="AE292" s="57"/>
      <c r="AF292" s="59">
        <f>IF(MIN(IF(ISBLANK(AC292),AD292,AC292),IF(ISBLANK(AD292),AC292,AD292))=0,"",MIN(IF(ISBLANK(AC292),AD292,AC292),IF(ISBLANK(AD292),AC292,AD292)))</f>
        <v>7.8703703703703713E-3</v>
      </c>
      <c r="AG292" s="57"/>
      <c r="AH292" s="57"/>
      <c r="AI292" s="59">
        <f>IF(MIN(IF(ISBLANK(AF292),AG292,AF292),IF(ISBLANK(AG292),AF292,AG292))=0,"",MIN(IF(ISBLANK(AF292),AG292,AF292),IF(ISBLANK(AG292),AF292,AG292)))</f>
        <v>7.8703703703703713E-3</v>
      </c>
      <c r="AJ292" s="57"/>
      <c r="AK292" s="57"/>
      <c r="AL292" s="59">
        <f>IF(MIN(IF(ISBLANK(AI292),AJ292,AI292),IF(ISBLANK(AJ292),AI292,AJ292))=0,"",MIN(IF(ISBLANK(AI292),AJ292,AI292),IF(ISBLANK(AJ292),AI292,AJ292)))</f>
        <v>7.8703703703703713E-3</v>
      </c>
      <c r="AM292" s="57"/>
      <c r="AN292" s="57"/>
      <c r="AO292" s="59">
        <f>IF(MIN(IF(ISBLANK(AL292),AM292,AL292),IF(ISBLANK(AM292),AL292,AM292))=0,"",MIN(IF(ISBLANK(AL292),AM292,AL292),IF(ISBLANK(AM292),AL292,AM292)))</f>
        <v>7.8703703703703713E-3</v>
      </c>
      <c r="AP292" s="57"/>
      <c r="AQ292" s="59">
        <f t="shared" si="112"/>
        <v>7.8703703703703713E-3</v>
      </c>
      <c r="AR292" s="57"/>
      <c r="AS292" s="57"/>
      <c r="AT292" s="59">
        <f t="shared" si="113"/>
        <v>7.8703703703703713E-3</v>
      </c>
    </row>
    <row r="293" spans="1:46">
      <c r="A293" s="24" t="s">
        <v>792</v>
      </c>
      <c r="B293" s="26" t="s">
        <v>843</v>
      </c>
      <c r="C293" s="26"/>
      <c r="D293" s="50"/>
      <c r="E293" s="51"/>
      <c r="F293" s="50"/>
      <c r="G293" s="52"/>
      <c r="H293" s="50"/>
      <c r="I293" s="53"/>
      <c r="J293" s="50"/>
      <c r="K293" s="53"/>
      <c r="L293" s="50"/>
      <c r="M293" s="57"/>
      <c r="N293" s="55"/>
      <c r="O293" s="57"/>
      <c r="P293" s="57"/>
      <c r="Q293" s="59"/>
      <c r="R293" s="57"/>
      <c r="S293" s="57"/>
      <c r="T293" s="59"/>
      <c r="U293" s="57"/>
      <c r="V293" s="57"/>
      <c r="W293" s="59"/>
      <c r="X293" s="57"/>
      <c r="Y293" s="57"/>
      <c r="Z293" s="59"/>
      <c r="AA293" s="57"/>
      <c r="AB293" s="57"/>
      <c r="AC293" s="59"/>
      <c r="AD293" s="57"/>
      <c r="AE293" s="57"/>
      <c r="AF293" s="59"/>
      <c r="AG293" s="57"/>
      <c r="AH293" s="57"/>
      <c r="AI293" s="59"/>
      <c r="AJ293" s="57"/>
      <c r="AK293" s="57"/>
      <c r="AL293" s="59"/>
      <c r="AM293" s="57"/>
      <c r="AN293" s="57"/>
      <c r="AO293" s="59"/>
      <c r="AP293" s="57"/>
      <c r="AQ293" s="59" t="str">
        <f t="shared" si="112"/>
        <v/>
      </c>
      <c r="AR293" s="57"/>
      <c r="AS293" s="57"/>
      <c r="AT293" s="59" t="str">
        <f t="shared" si="113"/>
        <v/>
      </c>
    </row>
    <row r="294" spans="1:46" hidden="1">
      <c r="A294" s="24"/>
      <c r="B294" s="26" t="s">
        <v>97</v>
      </c>
      <c r="C294" s="26" t="s">
        <v>444</v>
      </c>
      <c r="D294" s="50">
        <v>10.44</v>
      </c>
      <c r="E294" s="51"/>
      <c r="F294" s="50">
        <v>10.44</v>
      </c>
      <c r="G294" s="52"/>
      <c r="H294" s="50">
        <v>10.44</v>
      </c>
      <c r="I294" s="53"/>
      <c r="J294" s="50">
        <v>10.44</v>
      </c>
      <c r="K294" s="53"/>
      <c r="L294" s="50">
        <v>10.44</v>
      </c>
      <c r="M294" s="57"/>
      <c r="N294" s="55">
        <v>7.4537037037037028E-3</v>
      </c>
      <c r="O294" s="57"/>
      <c r="P294" s="57"/>
      <c r="Q294" s="59">
        <f>IF(MIN(IF(ISBLANK(O294),N294,O294),IF(ISBLANK(N294),O294,N294))=0,"",MIN(IF(ISBLANK(O294),N294,O294),IF(ISBLANK(N294),O294,N294)))</f>
        <v>7.4537037037037028E-3</v>
      </c>
      <c r="R294" s="57"/>
      <c r="S294" s="57"/>
      <c r="T294" s="59">
        <f>IF(MIN(IF(ISBLANK(R294),Q294,R294),IF(ISBLANK(Q294),R294,Q294))=0,"",MIN(IF(ISBLANK(R294),Q294,R294),IF(ISBLANK(Q294),R294,Q294)))</f>
        <v>7.4537037037037028E-3</v>
      </c>
      <c r="U294" s="57"/>
      <c r="V294" s="57"/>
      <c r="W294" s="59">
        <f>IF(MIN(IF(ISBLANK(U294),T294,U294),IF(ISBLANK(T294),U294,T294))=0,"",MIN(IF(ISBLANK(U294),T294,U294),IF(ISBLANK(T294),U294,T294)))</f>
        <v>7.4537037037037028E-3</v>
      </c>
      <c r="X294" s="57"/>
      <c r="Y294" s="57"/>
      <c r="Z294" s="59">
        <f>IF(MIN(IF(ISBLANK(X294),W294,X294),IF(ISBLANK(W294),X294,W294))=0,"",MIN(IF(ISBLANK(X294),W294,X294),IF(ISBLANK(W294),X294,W294)))</f>
        <v>7.4537037037037028E-3</v>
      </c>
      <c r="AA294" s="57"/>
      <c r="AB294" s="57"/>
      <c r="AC294" s="59">
        <f>IF(MIN(IF(ISBLANK(Z294),AA294,Z294),IF(ISBLANK(AA294),Z294,AA294))=0,"",MIN(IF(ISBLANK(Z294),AA294,Z294),IF(ISBLANK(AA294),Z294,AA294)))</f>
        <v>7.4537037037037028E-3</v>
      </c>
      <c r="AD294" s="57"/>
      <c r="AE294" s="57"/>
      <c r="AF294" s="59">
        <f>IF(MIN(IF(ISBLANK(AC294),AD294,AC294),IF(ISBLANK(AD294),AC294,AD294))=0,"",MIN(IF(ISBLANK(AC294),AD294,AC294),IF(ISBLANK(AD294),AC294,AD294)))</f>
        <v>7.4537037037037028E-3</v>
      </c>
      <c r="AG294" s="57"/>
      <c r="AH294" s="57"/>
      <c r="AI294" s="59">
        <f>IF(MIN(IF(ISBLANK(AF294),AG294,AF294),IF(ISBLANK(AG294),AF294,AG294))=0,"",MIN(IF(ISBLANK(AF294),AG294,AF294),IF(ISBLANK(AG294),AF294,AG294)))</f>
        <v>7.4537037037037028E-3</v>
      </c>
      <c r="AJ294" s="57"/>
      <c r="AK294" s="57"/>
      <c r="AL294" s="59">
        <f t="shared" ref="AL294:AL316" si="120">IF(MIN(IF(ISBLANK(AI294),AJ294,AI294),IF(ISBLANK(AJ294),AI294,AJ294))=0,"",MIN(IF(ISBLANK(AI294),AJ294,AI294),IF(ISBLANK(AJ294),AI294,AJ294)))</f>
        <v>7.4537037037037028E-3</v>
      </c>
      <c r="AM294" s="57"/>
      <c r="AN294" s="57"/>
      <c r="AO294" s="59">
        <f t="shared" ref="AO294:AO316" si="121">IF(MIN(IF(ISBLANK(AL294),AM294,AL294),IF(ISBLANK(AM294),AL294,AM294))=0,"",MIN(IF(ISBLANK(AL294),AM294,AL294),IF(ISBLANK(AM294),AL294,AM294)))</f>
        <v>7.4537037037037028E-3</v>
      </c>
      <c r="AP294" s="57"/>
      <c r="AQ294" s="59">
        <f t="shared" si="112"/>
        <v>7.4537037037037028E-3</v>
      </c>
      <c r="AR294" s="57"/>
      <c r="AS294" s="57"/>
      <c r="AT294" s="59">
        <f t="shared" si="113"/>
        <v>7.4537037037037028E-3</v>
      </c>
    </row>
    <row r="295" spans="1:46" hidden="1">
      <c r="A295" s="24"/>
      <c r="B295" s="26" t="s">
        <v>710</v>
      </c>
      <c r="C295" s="26"/>
      <c r="D295" s="50"/>
      <c r="E295" s="51"/>
      <c r="F295" s="50"/>
      <c r="G295" s="52"/>
      <c r="H295" s="50"/>
      <c r="I295" s="53"/>
      <c r="J295" s="50"/>
      <c r="K295" s="53"/>
      <c r="L295" s="50"/>
      <c r="M295" s="57"/>
      <c r="N295" s="55"/>
      <c r="O295" s="57"/>
      <c r="P295" s="57"/>
      <c r="Q295" s="59"/>
      <c r="R295" s="57"/>
      <c r="S295" s="57"/>
      <c r="T295" s="59"/>
      <c r="U295" s="57"/>
      <c r="V295" s="57"/>
      <c r="W295" s="59"/>
      <c r="X295" s="57"/>
      <c r="Y295" s="57"/>
      <c r="Z295" s="59"/>
      <c r="AA295" s="57">
        <v>5.0578703703703706E-3</v>
      </c>
      <c r="AB295" s="57"/>
      <c r="AC295" s="59">
        <f>IF(MIN(IF(ISBLANK(Z295),AA295,Z295),IF(ISBLANK(AA295),Z295,AA295))=0,"",MIN(IF(ISBLANK(Z295),AA295,Z295),IF(ISBLANK(AA295),Z295,AA295)))</f>
        <v>5.0578703703703706E-3</v>
      </c>
      <c r="AD295" s="57"/>
      <c r="AE295" s="57"/>
      <c r="AF295" s="59">
        <f>IF(MIN(IF(ISBLANK(AC295),AD295,AC295),IF(ISBLANK(AD295),AC295,AD295))=0,"",MIN(IF(ISBLANK(AC295),AD295,AC295),IF(ISBLANK(AD295),AC295,AD295)))</f>
        <v>5.0578703703703706E-3</v>
      </c>
      <c r="AG295" s="57"/>
      <c r="AH295" s="57"/>
      <c r="AI295" s="59">
        <f>IF(MIN(IF(ISBLANK(AF295),AG295,AF295),IF(ISBLANK(AG295),AF295,AG295))=0,"",MIN(IF(ISBLANK(AF295),AG295,AF295),IF(ISBLANK(AG295),AF295,AG295)))</f>
        <v>5.0578703703703706E-3</v>
      </c>
      <c r="AJ295" s="57"/>
      <c r="AK295" s="57"/>
      <c r="AL295" s="59">
        <f t="shared" si="120"/>
        <v>5.0578703703703706E-3</v>
      </c>
      <c r="AM295" s="57"/>
      <c r="AN295" s="57"/>
      <c r="AO295" s="59">
        <f t="shared" si="121"/>
        <v>5.0578703703703706E-3</v>
      </c>
      <c r="AP295" s="57"/>
      <c r="AQ295" s="59">
        <f t="shared" si="112"/>
        <v>5.0578703703703706E-3</v>
      </c>
      <c r="AR295" s="57"/>
      <c r="AS295" s="57"/>
      <c r="AT295" s="59">
        <f t="shared" si="113"/>
        <v>5.0578703703703706E-3</v>
      </c>
    </row>
    <row r="296" spans="1:46" hidden="1">
      <c r="A296" s="24"/>
      <c r="B296" s="26" t="s">
        <v>547</v>
      </c>
      <c r="C296" s="26"/>
      <c r="D296" s="50"/>
      <c r="E296" s="51"/>
      <c r="F296" s="50"/>
      <c r="G296" s="52"/>
      <c r="H296" s="50"/>
      <c r="I296" s="53"/>
      <c r="J296" s="50"/>
      <c r="K296" s="53"/>
      <c r="L296" s="50"/>
      <c r="M296" s="57"/>
      <c r="N296" s="55"/>
      <c r="O296" s="57">
        <v>4.3749999999999995E-3</v>
      </c>
      <c r="P296" s="57"/>
      <c r="Q296" s="59">
        <f>IF(MIN(IF(ISBLANK(O296),N296,O296),IF(ISBLANK(N296),O296,N296))=0,"",MIN(IF(ISBLANK(O296),N296,O296),IF(ISBLANK(N296),O296,N296)))</f>
        <v>4.3749999999999995E-3</v>
      </c>
      <c r="R296" s="57"/>
      <c r="S296" s="57"/>
      <c r="T296" s="59">
        <f>IF(MIN(IF(ISBLANK(R296),Q296,R296),IF(ISBLANK(Q296),R296,Q296))=0,"",MIN(IF(ISBLANK(R296),Q296,R296),IF(ISBLANK(Q296),R296,Q296)))</f>
        <v>4.3749999999999995E-3</v>
      </c>
      <c r="U296" s="57"/>
      <c r="V296" s="57"/>
      <c r="W296" s="59">
        <f>IF(MIN(IF(ISBLANK(U296),T296,U296),IF(ISBLANK(T296),U296,T296))=0,"",MIN(IF(ISBLANK(U296),T296,U296),IF(ISBLANK(T296),U296,T296)))</f>
        <v>4.3749999999999995E-3</v>
      </c>
      <c r="X296" s="57">
        <v>4.4328703703703709E-3</v>
      </c>
      <c r="Y296" s="57"/>
      <c r="Z296" s="59">
        <f>IF(MIN(IF(ISBLANK(X296),W296,X296),IF(ISBLANK(W296),X296,W296))=0,"",MIN(IF(ISBLANK(X296),W296,X296),IF(ISBLANK(W296),X296,W296)))</f>
        <v>4.3749999999999995E-3</v>
      </c>
      <c r="AA296" s="57"/>
      <c r="AB296" s="57"/>
      <c r="AC296" s="59">
        <f>IF(MIN(IF(ISBLANK(Z296),AA296,Z296),IF(ISBLANK(AA296),Z296,AA296))=0,"",MIN(IF(ISBLANK(Z296),AA296,Z296),IF(ISBLANK(AA296),Z296,AA296)))</f>
        <v>4.3749999999999995E-3</v>
      </c>
      <c r="AD296" s="57"/>
      <c r="AE296" s="57"/>
      <c r="AF296" s="59">
        <f>IF(MIN(IF(ISBLANK(AC296),AD296,AC296),IF(ISBLANK(AD296),AC296,AD296))=0,"",MIN(IF(ISBLANK(AC296),AD296,AC296),IF(ISBLANK(AD296),AC296,AD296)))</f>
        <v>4.3749999999999995E-3</v>
      </c>
      <c r="AG296" s="57"/>
      <c r="AH296" s="57"/>
      <c r="AI296" s="59">
        <f>IF(MIN(IF(ISBLANK(AF296),AG296,AF296),IF(ISBLANK(AG296),AF296,AG296))=0,"",MIN(IF(ISBLANK(AF296),AG296,AF296),IF(ISBLANK(AG296),AF296,AG296)))</f>
        <v>4.3749999999999995E-3</v>
      </c>
      <c r="AJ296" s="57"/>
      <c r="AK296" s="57"/>
      <c r="AL296" s="59">
        <f t="shared" si="120"/>
        <v>4.3749999999999995E-3</v>
      </c>
      <c r="AM296" s="57"/>
      <c r="AN296" s="57"/>
      <c r="AO296" s="59">
        <f t="shared" si="121"/>
        <v>4.3749999999999995E-3</v>
      </c>
      <c r="AP296" s="57"/>
      <c r="AQ296" s="59">
        <f t="shared" si="112"/>
        <v>4.3749999999999995E-3</v>
      </c>
      <c r="AR296" s="57"/>
      <c r="AS296" s="57"/>
      <c r="AT296" s="59">
        <f t="shared" si="113"/>
        <v>4.3749999999999995E-3</v>
      </c>
    </row>
    <row r="297" spans="1:46" hidden="1">
      <c r="A297" s="24"/>
      <c r="B297" s="26" t="s">
        <v>483</v>
      </c>
      <c r="C297" s="26" t="s">
        <v>443</v>
      </c>
      <c r="D297" s="50"/>
      <c r="E297" s="51"/>
      <c r="F297" s="50"/>
      <c r="G297" s="52"/>
      <c r="H297" s="50"/>
      <c r="I297" s="53"/>
      <c r="J297" s="50"/>
      <c r="K297" s="53">
        <v>6.24</v>
      </c>
      <c r="L297" s="50">
        <v>6.24</v>
      </c>
      <c r="M297" s="57"/>
      <c r="N297" s="55">
        <v>4.4444444444444444E-3</v>
      </c>
      <c r="O297" s="57"/>
      <c r="P297" s="57"/>
      <c r="Q297" s="59">
        <f>IF(MIN(IF(ISBLANK(O297),N297,O297),IF(ISBLANK(N297),O297,N297))=0,"",MIN(IF(ISBLANK(O297),N297,O297),IF(ISBLANK(N297),O297,N297)))</f>
        <v>4.4444444444444444E-3</v>
      </c>
      <c r="R297" s="57"/>
      <c r="S297" s="57"/>
      <c r="T297" s="59">
        <f>IF(MIN(IF(ISBLANK(R297),Q297,R297),IF(ISBLANK(Q297),R297,Q297))=0,"",MIN(IF(ISBLANK(R297),Q297,R297),IF(ISBLANK(Q297),R297,Q297)))</f>
        <v>4.4444444444444444E-3</v>
      </c>
      <c r="U297" s="57"/>
      <c r="V297" s="57"/>
      <c r="W297" s="59">
        <f>IF(MIN(IF(ISBLANK(U297),T297,U297),IF(ISBLANK(T297),U297,T297))=0,"",MIN(IF(ISBLANK(U297),T297,U297),IF(ISBLANK(T297),U297,T297)))</f>
        <v>4.4444444444444444E-3</v>
      </c>
      <c r="X297" s="57"/>
      <c r="Y297" s="57"/>
      <c r="Z297" s="59">
        <f>IF(MIN(IF(ISBLANK(X297),W297,X297),IF(ISBLANK(W297),X297,W297))=0,"",MIN(IF(ISBLANK(X297),W297,X297),IF(ISBLANK(W297),X297,W297)))</f>
        <v>4.4444444444444444E-3</v>
      </c>
      <c r="AA297" s="57"/>
      <c r="AB297" s="57"/>
      <c r="AC297" s="59">
        <f>IF(MIN(IF(ISBLANK(Z297),AA297,Z297),IF(ISBLANK(AA297),Z297,AA297))=0,"",MIN(IF(ISBLANK(Z297),AA297,Z297),IF(ISBLANK(AA297),Z297,AA297)))</f>
        <v>4.4444444444444444E-3</v>
      </c>
      <c r="AD297" s="57"/>
      <c r="AE297" s="57"/>
      <c r="AF297" s="59">
        <f>IF(MIN(IF(ISBLANK(AC297),AD297,AC297),IF(ISBLANK(AD297),AC297,AD297))=0,"",MIN(IF(ISBLANK(AC297),AD297,AC297),IF(ISBLANK(AD297),AC297,AD297)))</f>
        <v>4.4444444444444444E-3</v>
      </c>
      <c r="AG297" s="57"/>
      <c r="AH297" s="57"/>
      <c r="AI297" s="59">
        <f>IF(MIN(IF(ISBLANK(AF297),AG297,AF297),IF(ISBLANK(AG297),AF297,AG297))=0,"",MIN(IF(ISBLANK(AF297),AG297,AF297),IF(ISBLANK(AG297),AF297,AG297)))</f>
        <v>4.4444444444444444E-3</v>
      </c>
      <c r="AJ297" s="57"/>
      <c r="AK297" s="57"/>
      <c r="AL297" s="59">
        <f t="shared" si="120"/>
        <v>4.4444444444444444E-3</v>
      </c>
      <c r="AM297" s="57"/>
      <c r="AN297" s="57"/>
      <c r="AO297" s="59">
        <f t="shared" si="121"/>
        <v>4.4444444444444444E-3</v>
      </c>
      <c r="AP297" s="57"/>
      <c r="AQ297" s="59">
        <f t="shared" si="112"/>
        <v>4.4444444444444444E-3</v>
      </c>
      <c r="AR297" s="57"/>
      <c r="AS297" s="57"/>
      <c r="AT297" s="59">
        <f t="shared" si="113"/>
        <v>4.4444444444444444E-3</v>
      </c>
    </row>
    <row r="298" spans="1:46" hidden="1">
      <c r="A298" s="24"/>
      <c r="B298" s="26" t="s">
        <v>760</v>
      </c>
      <c r="C298" s="26"/>
      <c r="D298" s="50"/>
      <c r="E298" s="51"/>
      <c r="F298" s="50"/>
      <c r="G298" s="52"/>
      <c r="H298" s="50"/>
      <c r="I298" s="53"/>
      <c r="J298" s="50"/>
      <c r="K298" s="53"/>
      <c r="L298" s="50"/>
      <c r="M298" s="57"/>
      <c r="N298" s="55"/>
      <c r="O298" s="57"/>
      <c r="P298" s="57"/>
      <c r="Q298" s="59"/>
      <c r="R298" s="57"/>
      <c r="S298" s="57"/>
      <c r="T298" s="59"/>
      <c r="U298" s="57"/>
      <c r="V298" s="57"/>
      <c r="W298" s="59"/>
      <c r="X298" s="57"/>
      <c r="Y298" s="57"/>
      <c r="Z298" s="59"/>
      <c r="AA298" s="57"/>
      <c r="AB298" s="57"/>
      <c r="AC298" s="59"/>
      <c r="AD298" s="57"/>
      <c r="AE298" s="57"/>
      <c r="AF298" s="59"/>
      <c r="AG298" s="57"/>
      <c r="AH298" s="57"/>
      <c r="AI298" s="59"/>
      <c r="AJ298" s="57"/>
      <c r="AK298" s="57"/>
      <c r="AL298" s="59" t="str">
        <f t="shared" si="120"/>
        <v/>
      </c>
      <c r="AM298" s="57"/>
      <c r="AN298" s="57"/>
      <c r="AO298" s="59" t="str">
        <f t="shared" si="121"/>
        <v/>
      </c>
      <c r="AP298" s="57"/>
      <c r="AQ298" s="59" t="str">
        <f t="shared" si="112"/>
        <v/>
      </c>
      <c r="AR298" s="57"/>
      <c r="AS298" s="57"/>
      <c r="AT298" s="59" t="str">
        <f t="shared" si="113"/>
        <v/>
      </c>
    </row>
    <row r="299" spans="1:46" hidden="1">
      <c r="A299" s="24"/>
      <c r="B299" s="26" t="s">
        <v>117</v>
      </c>
      <c r="C299" s="26" t="s">
        <v>443</v>
      </c>
      <c r="D299" s="50">
        <v>6.17</v>
      </c>
      <c r="E299" s="51" t="s">
        <v>293</v>
      </c>
      <c r="F299" s="50">
        <v>6.17</v>
      </c>
      <c r="G299" s="52">
        <v>6.24</v>
      </c>
      <c r="H299" s="50">
        <v>6.17</v>
      </c>
      <c r="I299" s="53"/>
      <c r="J299" s="50">
        <v>6.17</v>
      </c>
      <c r="K299" s="53">
        <v>6.11</v>
      </c>
      <c r="L299" s="50">
        <v>6.11</v>
      </c>
      <c r="M299" s="57">
        <v>4.3981481481481484E-3</v>
      </c>
      <c r="N299" s="55">
        <v>4.2939814814814811E-3</v>
      </c>
      <c r="O299" s="57">
        <v>4.340277777777778E-3</v>
      </c>
      <c r="P299" s="57"/>
      <c r="Q299" s="59">
        <f>IF(MIN(IF(ISBLANK(O299),N299,O299),IF(ISBLANK(N299),O299,N299))=0,"",MIN(IF(ISBLANK(O299),N299,O299),IF(ISBLANK(N299),O299,N299)))</f>
        <v>4.2939814814814811E-3</v>
      </c>
      <c r="R299" s="57"/>
      <c r="S299" s="57"/>
      <c r="T299" s="59">
        <f>IF(MIN(IF(ISBLANK(R299),Q299,R299),IF(ISBLANK(Q299),R299,Q299))=0,"",MIN(IF(ISBLANK(R299),Q299,R299),IF(ISBLANK(Q299),R299,Q299)))</f>
        <v>4.2939814814814811E-3</v>
      </c>
      <c r="U299" s="57"/>
      <c r="V299" s="57"/>
      <c r="W299" s="59">
        <f>IF(MIN(IF(ISBLANK(U299),T299,U299),IF(ISBLANK(T299),U299,T299))=0,"",MIN(IF(ISBLANK(U299),T299,U299),IF(ISBLANK(T299),U299,T299)))</f>
        <v>4.2939814814814811E-3</v>
      </c>
      <c r="X299" s="57"/>
      <c r="Y299" s="57"/>
      <c r="Z299" s="59">
        <f>IF(MIN(IF(ISBLANK(X299),W299,X299),IF(ISBLANK(W299),X299,W299))=0,"",MIN(IF(ISBLANK(X299),W299,X299),IF(ISBLANK(W299),X299,W299)))</f>
        <v>4.2939814814814811E-3</v>
      </c>
      <c r="AA299" s="57"/>
      <c r="AB299" s="57"/>
      <c r="AC299" s="59">
        <f>IF(MIN(IF(ISBLANK(Z299),AA299,Z299),IF(ISBLANK(AA299),Z299,AA299))=0,"",MIN(IF(ISBLANK(Z299),AA299,Z299),IF(ISBLANK(AA299),Z299,AA299)))</f>
        <v>4.2939814814814811E-3</v>
      </c>
      <c r="AD299" s="57"/>
      <c r="AE299" s="57"/>
      <c r="AF299" s="59">
        <f t="shared" ref="AF299:AF308" si="122">IF(MIN(IF(ISBLANK(AC299),AD299,AC299),IF(ISBLANK(AD299),AC299,AD299))=0,"",MIN(IF(ISBLANK(AC299),AD299,AC299),IF(ISBLANK(AD299),AC299,AD299)))</f>
        <v>4.2939814814814811E-3</v>
      </c>
      <c r="AG299" s="57"/>
      <c r="AH299" s="57"/>
      <c r="AI299" s="59">
        <f t="shared" ref="AI299:AI308" si="123">IF(MIN(IF(ISBLANK(AF299),AG299,AF299),IF(ISBLANK(AG299),AF299,AG299))=0,"",MIN(IF(ISBLANK(AF299),AG299,AF299),IF(ISBLANK(AG299),AF299,AG299)))</f>
        <v>4.2939814814814811E-3</v>
      </c>
      <c r="AJ299" s="57"/>
      <c r="AK299" s="57"/>
      <c r="AL299" s="59">
        <f t="shared" si="120"/>
        <v>4.2939814814814811E-3</v>
      </c>
      <c r="AM299" s="57"/>
      <c r="AN299" s="57"/>
      <c r="AO299" s="59">
        <f t="shared" si="121"/>
        <v>4.2939814814814811E-3</v>
      </c>
      <c r="AP299" s="57"/>
      <c r="AQ299" s="59">
        <f t="shared" si="112"/>
        <v>4.2939814814814811E-3</v>
      </c>
      <c r="AR299" s="57"/>
      <c r="AS299" s="57"/>
      <c r="AT299" s="59">
        <f t="shared" si="113"/>
        <v>4.2939814814814811E-3</v>
      </c>
    </row>
    <row r="300" spans="1:46" hidden="1">
      <c r="A300" s="24"/>
      <c r="B300" s="26" t="s">
        <v>123</v>
      </c>
      <c r="C300" s="26" t="s">
        <v>443</v>
      </c>
      <c r="D300" s="50"/>
      <c r="E300" s="51"/>
      <c r="F300" s="50" t="s">
        <v>448</v>
      </c>
      <c r="G300" s="52"/>
      <c r="H300" s="50"/>
      <c r="I300" s="53"/>
      <c r="J300" s="50" t="s">
        <v>448</v>
      </c>
      <c r="K300" s="53"/>
      <c r="L300" s="50"/>
      <c r="M300" s="57"/>
      <c r="N300" s="55" t="s">
        <v>448</v>
      </c>
      <c r="O300" s="57"/>
      <c r="P300" s="57"/>
      <c r="Q300" s="59" t="str">
        <f>IF(MIN(IF(ISBLANK(O300),N300,O300),IF(ISBLANK(N300),O300,N300))=0,"",MIN(IF(ISBLANK(O300),N300,O300),IF(ISBLANK(N300),O300,N300)))</f>
        <v/>
      </c>
      <c r="R300" s="57"/>
      <c r="S300" s="57"/>
      <c r="T300" s="59" t="str">
        <f>IF(MIN(IF(ISBLANK(R300),Q300,R300),IF(ISBLANK(Q300),R300,Q300))=0,"",MIN(IF(ISBLANK(R300),Q300,R300),IF(ISBLANK(Q300),R300,Q300)))</f>
        <v/>
      </c>
      <c r="U300" s="57"/>
      <c r="V300" s="57"/>
      <c r="W300" s="59" t="str">
        <f>IF(MIN(IF(ISBLANK(U300),T300,U300),IF(ISBLANK(T300),U300,T300))=0,"",MIN(IF(ISBLANK(U300),T300,U300),IF(ISBLANK(T300),U300,T300)))</f>
        <v/>
      </c>
      <c r="X300" s="57"/>
      <c r="Y300" s="57"/>
      <c r="Z300" s="59" t="str">
        <f>IF(MIN(IF(ISBLANK(X300),W300,X300),IF(ISBLANK(W300),X300,W300))=0,"",MIN(IF(ISBLANK(X300),W300,X300),IF(ISBLANK(W300),X300,W300)))</f>
        <v/>
      </c>
      <c r="AA300" s="57"/>
      <c r="AB300" s="57"/>
      <c r="AC300" s="59" t="str">
        <f>IF(MIN(IF(ISBLANK(Z300),AA300,Z300),IF(ISBLANK(AA300),Z300,AA300))=0,"",MIN(IF(ISBLANK(Z300),AA300,Z300),IF(ISBLANK(AA300),Z300,AA300)))</f>
        <v/>
      </c>
      <c r="AD300" s="57"/>
      <c r="AE300" s="57"/>
      <c r="AF300" s="59" t="str">
        <f t="shared" si="122"/>
        <v/>
      </c>
      <c r="AG300" s="57"/>
      <c r="AH300" s="57"/>
      <c r="AI300" s="59" t="str">
        <f t="shared" si="123"/>
        <v/>
      </c>
      <c r="AJ300" s="57"/>
      <c r="AK300" s="57"/>
      <c r="AL300" s="59" t="str">
        <f t="shared" si="120"/>
        <v/>
      </c>
      <c r="AM300" s="57"/>
      <c r="AN300" s="57"/>
      <c r="AO300" s="59" t="str">
        <f t="shared" si="121"/>
        <v/>
      </c>
      <c r="AP300" s="57"/>
      <c r="AQ300" s="59" t="str">
        <f t="shared" si="112"/>
        <v/>
      </c>
      <c r="AR300" s="57"/>
      <c r="AS300" s="57"/>
      <c r="AT300" s="59" t="str">
        <f t="shared" si="113"/>
        <v/>
      </c>
    </row>
    <row r="301" spans="1:46">
      <c r="A301" s="24" t="s">
        <v>792</v>
      </c>
      <c r="B301" s="26" t="s">
        <v>707</v>
      </c>
      <c r="C301" s="26"/>
      <c r="D301" s="50"/>
      <c r="E301" s="51"/>
      <c r="F301" s="50"/>
      <c r="G301" s="52"/>
      <c r="H301" s="50"/>
      <c r="I301" s="53"/>
      <c r="J301" s="50"/>
      <c r="K301" s="53"/>
      <c r="L301" s="50"/>
      <c r="M301" s="57"/>
      <c r="N301" s="55"/>
      <c r="O301" s="57"/>
      <c r="P301" s="57"/>
      <c r="Q301" s="59"/>
      <c r="R301" s="57"/>
      <c r="S301" s="57"/>
      <c r="T301" s="59"/>
      <c r="U301" s="57"/>
      <c r="V301" s="57"/>
      <c r="W301" s="59"/>
      <c r="X301" s="57"/>
      <c r="Y301" s="57"/>
      <c r="Z301" s="59"/>
      <c r="AA301" s="57">
        <v>6.6666666666666671E-3</v>
      </c>
      <c r="AB301" s="57"/>
      <c r="AC301" s="59">
        <f>IF(MIN(IF(ISBLANK(Z301),AA301,Z301),IF(ISBLANK(AA301),Z301,AA301))=0,"",MIN(IF(ISBLANK(Z301),AA301,Z301),IF(ISBLANK(AA301),Z301,AA301)))</f>
        <v>6.6666666666666671E-3</v>
      </c>
      <c r="AD301" s="57"/>
      <c r="AE301" s="57"/>
      <c r="AF301" s="59">
        <f t="shared" si="122"/>
        <v>6.6666666666666671E-3</v>
      </c>
      <c r="AG301" s="57"/>
      <c r="AH301" s="57"/>
      <c r="AI301" s="59">
        <f t="shared" si="123"/>
        <v>6.6666666666666671E-3</v>
      </c>
      <c r="AJ301" s="57"/>
      <c r="AK301" s="57"/>
      <c r="AL301" s="59">
        <f t="shared" si="120"/>
        <v>6.6666666666666671E-3</v>
      </c>
      <c r="AM301" s="57"/>
      <c r="AN301" s="57"/>
      <c r="AO301" s="59">
        <f t="shared" si="121"/>
        <v>6.6666666666666671E-3</v>
      </c>
      <c r="AP301" s="57">
        <v>5.3356481481481484E-3</v>
      </c>
      <c r="AQ301" s="59">
        <f t="shared" si="112"/>
        <v>5.3356481481481484E-3</v>
      </c>
      <c r="AR301" s="57"/>
      <c r="AS301" s="57"/>
      <c r="AT301" s="59">
        <f t="shared" si="113"/>
        <v>5.3356481481481484E-3</v>
      </c>
    </row>
    <row r="302" spans="1:46" hidden="1">
      <c r="A302" s="24"/>
      <c r="B302" s="26" t="s">
        <v>134</v>
      </c>
      <c r="C302" s="26" t="s">
        <v>444</v>
      </c>
      <c r="D302" s="50"/>
      <c r="E302" s="51"/>
      <c r="F302" s="50" t="s">
        <v>448</v>
      </c>
      <c r="G302" s="52"/>
      <c r="H302" s="50"/>
      <c r="I302" s="53"/>
      <c r="J302" s="50" t="s">
        <v>448</v>
      </c>
      <c r="K302" s="53"/>
      <c r="L302" s="50"/>
      <c r="M302" s="57"/>
      <c r="N302" s="55" t="s">
        <v>448</v>
      </c>
      <c r="O302" s="57"/>
      <c r="P302" s="57"/>
      <c r="Q302" s="59" t="str">
        <f>IF(MIN(IF(ISBLANK(O302),N302,O302),IF(ISBLANK(N302),O302,N302))=0,"",MIN(IF(ISBLANK(O302),N302,O302),IF(ISBLANK(N302),O302,N302)))</f>
        <v/>
      </c>
      <c r="R302" s="57"/>
      <c r="S302" s="57"/>
      <c r="T302" s="59" t="str">
        <f>IF(MIN(IF(ISBLANK(R302),Q302,R302),IF(ISBLANK(Q302),R302,Q302))=0,"",MIN(IF(ISBLANK(R302),Q302,R302),IF(ISBLANK(Q302),R302,Q302)))</f>
        <v/>
      </c>
      <c r="U302" s="57"/>
      <c r="V302" s="57"/>
      <c r="W302" s="59" t="str">
        <f>IF(MIN(IF(ISBLANK(U302),T302,U302),IF(ISBLANK(T302),U302,T302))=0,"",MIN(IF(ISBLANK(U302),T302,U302),IF(ISBLANK(T302),U302,T302)))</f>
        <v/>
      </c>
      <c r="X302" s="57"/>
      <c r="Y302" s="57"/>
      <c r="Z302" s="59" t="str">
        <f>IF(MIN(IF(ISBLANK(X302),W302,X302),IF(ISBLANK(W302),X302,W302))=0,"",MIN(IF(ISBLANK(X302),W302,X302),IF(ISBLANK(W302),X302,W302)))</f>
        <v/>
      </c>
      <c r="AA302" s="57"/>
      <c r="AB302" s="57"/>
      <c r="AC302" s="59" t="str">
        <f>IF(MIN(IF(ISBLANK(Z302),AA302,Z302),IF(ISBLANK(AA302),Z302,AA302))=0,"",MIN(IF(ISBLANK(Z302),AA302,Z302),IF(ISBLANK(AA302),Z302,AA302)))</f>
        <v/>
      </c>
      <c r="AD302" s="57"/>
      <c r="AE302" s="57"/>
      <c r="AF302" s="59" t="str">
        <f t="shared" si="122"/>
        <v/>
      </c>
      <c r="AG302" s="57"/>
      <c r="AH302" s="57"/>
      <c r="AI302" s="59" t="str">
        <f t="shared" si="123"/>
        <v/>
      </c>
      <c r="AJ302" s="57"/>
      <c r="AK302" s="57"/>
      <c r="AL302" s="59" t="str">
        <f t="shared" si="120"/>
        <v/>
      </c>
      <c r="AM302" s="57"/>
      <c r="AN302" s="57"/>
      <c r="AO302" s="59" t="str">
        <f t="shared" si="121"/>
        <v/>
      </c>
      <c r="AP302" s="57"/>
      <c r="AQ302" s="59" t="str">
        <f t="shared" si="112"/>
        <v/>
      </c>
      <c r="AR302" s="57"/>
      <c r="AS302" s="57"/>
      <c r="AT302" s="59" t="str">
        <f t="shared" si="113"/>
        <v/>
      </c>
    </row>
    <row r="303" spans="1:46" hidden="1">
      <c r="A303" s="24"/>
      <c r="B303" s="26" t="s">
        <v>735</v>
      </c>
      <c r="C303" s="26"/>
      <c r="D303" s="50"/>
      <c r="E303" s="51"/>
      <c r="F303" s="50"/>
      <c r="G303" s="52"/>
      <c r="H303" s="50"/>
      <c r="I303" s="53"/>
      <c r="J303" s="50"/>
      <c r="K303" s="53"/>
      <c r="L303" s="50"/>
      <c r="M303" s="57"/>
      <c r="N303" s="55"/>
      <c r="O303" s="57"/>
      <c r="P303" s="57"/>
      <c r="Q303" s="59"/>
      <c r="R303" s="57"/>
      <c r="S303" s="57"/>
      <c r="T303" s="59"/>
      <c r="U303" s="57"/>
      <c r="V303" s="57"/>
      <c r="W303" s="59"/>
      <c r="X303" s="57"/>
      <c r="Y303" s="57"/>
      <c r="Z303" s="59"/>
      <c r="AA303" s="57"/>
      <c r="AB303" s="57"/>
      <c r="AC303" s="59"/>
      <c r="AD303" s="57"/>
      <c r="AE303" s="57"/>
      <c r="AF303" s="59" t="str">
        <f t="shared" si="122"/>
        <v/>
      </c>
      <c r="AG303" s="57"/>
      <c r="AH303" s="57"/>
      <c r="AI303" s="59" t="str">
        <f t="shared" si="123"/>
        <v/>
      </c>
      <c r="AJ303" s="57"/>
      <c r="AK303" s="57"/>
      <c r="AL303" s="59" t="str">
        <f t="shared" si="120"/>
        <v/>
      </c>
      <c r="AM303" s="57"/>
      <c r="AN303" s="57"/>
      <c r="AO303" s="59" t="str">
        <f t="shared" si="121"/>
        <v/>
      </c>
      <c r="AP303" s="57"/>
      <c r="AQ303" s="59" t="str">
        <f t="shared" si="112"/>
        <v/>
      </c>
      <c r="AR303" s="57"/>
      <c r="AS303" s="57"/>
      <c r="AT303" s="59" t="str">
        <f t="shared" si="113"/>
        <v/>
      </c>
    </row>
    <row r="304" spans="1:46" hidden="1">
      <c r="A304" s="24"/>
      <c r="B304" s="26" t="s">
        <v>394</v>
      </c>
      <c r="C304" s="26" t="s">
        <v>443</v>
      </c>
      <c r="D304" s="50"/>
      <c r="E304" s="51"/>
      <c r="F304" s="50"/>
      <c r="G304" s="52"/>
      <c r="H304" s="50"/>
      <c r="I304" s="53"/>
      <c r="J304" s="50" t="s">
        <v>448</v>
      </c>
      <c r="K304" s="53"/>
      <c r="L304" s="50"/>
      <c r="M304" s="57"/>
      <c r="N304" s="55" t="s">
        <v>448</v>
      </c>
      <c r="O304" s="57"/>
      <c r="P304" s="57"/>
      <c r="Q304" s="59" t="str">
        <f>IF(MIN(IF(ISBLANK(O304),N304,O304),IF(ISBLANK(N304),O304,N304))=0,"",MIN(IF(ISBLANK(O304),N304,O304),IF(ISBLANK(N304),O304,N304)))</f>
        <v/>
      </c>
      <c r="R304" s="57"/>
      <c r="S304" s="57"/>
      <c r="T304" s="59" t="str">
        <f>IF(MIN(IF(ISBLANK(R304),Q304,R304),IF(ISBLANK(Q304),R304,Q304))=0,"",MIN(IF(ISBLANK(R304),Q304,R304),IF(ISBLANK(Q304),R304,Q304)))</f>
        <v/>
      </c>
      <c r="U304" s="57"/>
      <c r="V304" s="57"/>
      <c r="W304" s="59" t="str">
        <f>IF(MIN(IF(ISBLANK(U304),T304,U304),IF(ISBLANK(T304),U304,T304))=0,"",MIN(IF(ISBLANK(U304),T304,U304),IF(ISBLANK(T304),U304,T304)))</f>
        <v/>
      </c>
      <c r="X304" s="57"/>
      <c r="Y304" s="57"/>
      <c r="Z304" s="59" t="str">
        <f>IF(MIN(IF(ISBLANK(X304),W304,X304),IF(ISBLANK(W304),X304,W304))=0,"",MIN(IF(ISBLANK(X304),W304,X304),IF(ISBLANK(W304),X304,W304)))</f>
        <v/>
      </c>
      <c r="AA304" s="57"/>
      <c r="AB304" s="57"/>
      <c r="AC304" s="59" t="str">
        <f>IF(MIN(IF(ISBLANK(Z304),AA304,Z304),IF(ISBLANK(AA304),Z304,AA304))=0,"",MIN(IF(ISBLANK(Z304),AA304,Z304),IF(ISBLANK(AA304),Z304,AA304)))</f>
        <v/>
      </c>
      <c r="AD304" s="57"/>
      <c r="AE304" s="57"/>
      <c r="AF304" s="59" t="str">
        <f t="shared" si="122"/>
        <v/>
      </c>
      <c r="AG304" s="57"/>
      <c r="AH304" s="57"/>
      <c r="AI304" s="59" t="str">
        <f t="shared" si="123"/>
        <v/>
      </c>
      <c r="AJ304" s="57"/>
      <c r="AK304" s="57"/>
      <c r="AL304" s="59" t="str">
        <f t="shared" si="120"/>
        <v/>
      </c>
      <c r="AM304" s="57"/>
      <c r="AN304" s="57"/>
      <c r="AO304" s="59" t="str">
        <f t="shared" si="121"/>
        <v/>
      </c>
      <c r="AP304" s="57"/>
      <c r="AQ304" s="59" t="str">
        <f t="shared" si="112"/>
        <v/>
      </c>
      <c r="AR304" s="57"/>
      <c r="AS304" s="57"/>
      <c r="AT304" s="59" t="str">
        <f t="shared" si="113"/>
        <v/>
      </c>
    </row>
    <row r="305" spans="1:46" hidden="1">
      <c r="A305" s="24"/>
      <c r="B305" s="26" t="s">
        <v>549</v>
      </c>
      <c r="C305" s="26"/>
      <c r="D305" s="50"/>
      <c r="E305" s="51"/>
      <c r="F305" s="50"/>
      <c r="G305" s="52"/>
      <c r="H305" s="50"/>
      <c r="I305" s="53"/>
      <c r="J305" s="50"/>
      <c r="K305" s="53"/>
      <c r="L305" s="50"/>
      <c r="M305" s="57"/>
      <c r="N305" s="55" t="s">
        <v>448</v>
      </c>
      <c r="O305" s="57"/>
      <c r="P305" s="57"/>
      <c r="Q305" s="59" t="str">
        <f>IF(MIN(IF(ISBLANK(O305),N305,O305),IF(ISBLANK(N305),O305,N305))=0,"",MIN(IF(ISBLANK(O305),N305,O305),IF(ISBLANK(N305),O305,N305)))</f>
        <v/>
      </c>
      <c r="R305" s="57"/>
      <c r="S305" s="57"/>
      <c r="T305" s="59" t="str">
        <f>IF(MIN(IF(ISBLANK(R305),Q305,R305),IF(ISBLANK(Q305),R305,Q305))=0,"",MIN(IF(ISBLANK(R305),Q305,R305),IF(ISBLANK(Q305),R305,Q305)))</f>
        <v/>
      </c>
      <c r="U305" s="57"/>
      <c r="V305" s="57"/>
      <c r="W305" s="59" t="str">
        <f>IF(MIN(IF(ISBLANK(U305),T305,U305),IF(ISBLANK(T305),U305,T305))=0,"",MIN(IF(ISBLANK(U305),T305,U305),IF(ISBLANK(T305),U305,T305)))</f>
        <v/>
      </c>
      <c r="X305" s="57"/>
      <c r="Y305" s="57"/>
      <c r="Z305" s="59" t="str">
        <f>IF(MIN(IF(ISBLANK(X305),W305,X305),IF(ISBLANK(W305),X305,W305))=0,"",MIN(IF(ISBLANK(X305),W305,X305),IF(ISBLANK(W305),X305,W305)))</f>
        <v/>
      </c>
      <c r="AA305" s="57"/>
      <c r="AB305" s="57"/>
      <c r="AC305" s="59" t="str">
        <f>IF(MIN(IF(ISBLANK(Z305),AA305,Z305),IF(ISBLANK(AA305),Z305,AA305))=0,"",MIN(IF(ISBLANK(Z305),AA305,Z305),IF(ISBLANK(AA305),Z305,AA305)))</f>
        <v/>
      </c>
      <c r="AD305" s="57"/>
      <c r="AE305" s="57"/>
      <c r="AF305" s="59" t="str">
        <f t="shared" si="122"/>
        <v/>
      </c>
      <c r="AG305" s="57"/>
      <c r="AH305" s="57"/>
      <c r="AI305" s="59" t="str">
        <f t="shared" si="123"/>
        <v/>
      </c>
      <c r="AJ305" s="57"/>
      <c r="AK305" s="57"/>
      <c r="AL305" s="59" t="str">
        <f t="shared" si="120"/>
        <v/>
      </c>
      <c r="AM305" s="57"/>
      <c r="AN305" s="57"/>
      <c r="AO305" s="59" t="str">
        <f t="shared" si="121"/>
        <v/>
      </c>
      <c r="AP305" s="57"/>
      <c r="AQ305" s="59" t="str">
        <f t="shared" si="112"/>
        <v/>
      </c>
      <c r="AR305" s="57"/>
      <c r="AS305" s="57"/>
      <c r="AT305" s="59" t="str">
        <f t="shared" si="113"/>
        <v/>
      </c>
    </row>
    <row r="306" spans="1:46" hidden="1">
      <c r="A306" s="24"/>
      <c r="B306" s="26" t="s">
        <v>140</v>
      </c>
      <c r="C306" s="26" t="s">
        <v>443</v>
      </c>
      <c r="D306" s="50">
        <v>7.12</v>
      </c>
      <c r="E306" s="51"/>
      <c r="F306" s="50">
        <v>7.12</v>
      </c>
      <c r="G306" s="52"/>
      <c r="H306" s="50">
        <v>7.12</v>
      </c>
      <c r="I306" s="53"/>
      <c r="J306" s="50">
        <v>7.12</v>
      </c>
      <c r="K306" s="53"/>
      <c r="L306" s="50">
        <v>7.12</v>
      </c>
      <c r="M306" s="57"/>
      <c r="N306" s="55">
        <v>5.0000000000000001E-3</v>
      </c>
      <c r="O306" s="57"/>
      <c r="P306" s="57"/>
      <c r="Q306" s="59">
        <f>IF(MIN(IF(ISBLANK(O306),N306,O306),IF(ISBLANK(N306),O306,N306))=0,"",MIN(IF(ISBLANK(O306),N306,O306),IF(ISBLANK(N306),O306,N306)))</f>
        <v>5.0000000000000001E-3</v>
      </c>
      <c r="R306" s="57"/>
      <c r="S306" s="57"/>
      <c r="T306" s="59">
        <f>IF(MIN(IF(ISBLANK(R306),Q306,R306),IF(ISBLANK(Q306),R306,Q306))=0,"",MIN(IF(ISBLANK(R306),Q306,R306),IF(ISBLANK(Q306),R306,Q306)))</f>
        <v>5.0000000000000001E-3</v>
      </c>
      <c r="U306" s="57"/>
      <c r="V306" s="57"/>
      <c r="W306" s="59">
        <f>IF(MIN(IF(ISBLANK(U306),T306,U306),IF(ISBLANK(T306),U306,T306))=0,"",MIN(IF(ISBLANK(U306),T306,U306),IF(ISBLANK(T306),U306,T306)))</f>
        <v>5.0000000000000001E-3</v>
      </c>
      <c r="X306" s="57"/>
      <c r="Y306" s="57"/>
      <c r="Z306" s="59">
        <f>IF(MIN(IF(ISBLANK(X306),W306,X306),IF(ISBLANK(W306),X306,W306))=0,"",MIN(IF(ISBLANK(X306),W306,X306),IF(ISBLANK(W306),X306,W306)))</f>
        <v>5.0000000000000001E-3</v>
      </c>
      <c r="AA306" s="57"/>
      <c r="AB306" s="57"/>
      <c r="AC306" s="59">
        <f>IF(MIN(IF(ISBLANK(Z306),AA306,Z306),IF(ISBLANK(AA306),Z306,AA306))=0,"",MIN(IF(ISBLANK(Z306),AA306,Z306),IF(ISBLANK(AA306),Z306,AA306)))</f>
        <v>5.0000000000000001E-3</v>
      </c>
      <c r="AD306" s="57"/>
      <c r="AE306" s="57"/>
      <c r="AF306" s="59">
        <f t="shared" si="122"/>
        <v>5.0000000000000001E-3</v>
      </c>
      <c r="AG306" s="57"/>
      <c r="AH306" s="57"/>
      <c r="AI306" s="59">
        <f t="shared" si="123"/>
        <v>5.0000000000000001E-3</v>
      </c>
      <c r="AJ306" s="57"/>
      <c r="AK306" s="57"/>
      <c r="AL306" s="59">
        <f t="shared" si="120"/>
        <v>5.0000000000000001E-3</v>
      </c>
      <c r="AM306" s="57"/>
      <c r="AN306" s="57"/>
      <c r="AO306" s="59">
        <f t="shared" si="121"/>
        <v>5.0000000000000001E-3</v>
      </c>
      <c r="AP306" s="57"/>
      <c r="AQ306" s="59">
        <f t="shared" si="112"/>
        <v>5.0000000000000001E-3</v>
      </c>
      <c r="AR306" s="57"/>
      <c r="AS306" s="57"/>
      <c r="AT306" s="59">
        <f t="shared" si="113"/>
        <v>5.0000000000000001E-3</v>
      </c>
    </row>
    <row r="307" spans="1:46" hidden="1">
      <c r="A307" s="24"/>
      <c r="B307" s="26" t="s">
        <v>432</v>
      </c>
      <c r="C307" s="26" t="s">
        <v>443</v>
      </c>
      <c r="D307" s="50"/>
      <c r="E307" s="51"/>
      <c r="F307" s="50"/>
      <c r="G307" s="52"/>
      <c r="H307" s="50"/>
      <c r="I307" s="53"/>
      <c r="J307" s="50" t="s">
        <v>448</v>
      </c>
      <c r="K307" s="53"/>
      <c r="L307" s="50"/>
      <c r="M307" s="57"/>
      <c r="N307" s="55"/>
      <c r="O307" s="57"/>
      <c r="P307" s="57"/>
      <c r="Q307" s="59" t="str">
        <f>IF(MIN(IF(ISBLANK(O307),N307,O307),IF(ISBLANK(N307),O307,N307))=0,"",MIN(IF(ISBLANK(O307),N307,O307),IF(ISBLANK(N307),O307,N307)))</f>
        <v/>
      </c>
      <c r="R307" s="57"/>
      <c r="S307" s="57"/>
      <c r="T307" s="59" t="str">
        <f>IF(MIN(IF(ISBLANK(R307),Q307,R307),IF(ISBLANK(Q307),R307,Q307))=0,"",MIN(IF(ISBLANK(R307),Q307,R307),IF(ISBLANK(Q307),R307,Q307)))</f>
        <v/>
      </c>
      <c r="U307" s="57"/>
      <c r="V307" s="57"/>
      <c r="W307" s="59" t="str">
        <f>IF(MIN(IF(ISBLANK(U307),T307,U307),IF(ISBLANK(T307),U307,T307))=0,"",MIN(IF(ISBLANK(U307),T307,U307),IF(ISBLANK(T307),U307,T307)))</f>
        <v/>
      </c>
      <c r="X307" s="57"/>
      <c r="Y307" s="57"/>
      <c r="Z307" s="59" t="str">
        <f>IF(MIN(IF(ISBLANK(X307),W307,X307),IF(ISBLANK(W307),X307,W307))=0,"",MIN(IF(ISBLANK(X307),W307,X307),IF(ISBLANK(W307),X307,W307)))</f>
        <v/>
      </c>
      <c r="AA307" s="57"/>
      <c r="AB307" s="57"/>
      <c r="AC307" s="59" t="str">
        <f>IF(MIN(IF(ISBLANK(Z307),AA307,Z307),IF(ISBLANK(AA307),Z307,AA307))=0,"",MIN(IF(ISBLANK(Z307),AA307,Z307),IF(ISBLANK(AA307),Z307,AA307)))</f>
        <v/>
      </c>
      <c r="AD307" s="57"/>
      <c r="AE307" s="57"/>
      <c r="AF307" s="59" t="str">
        <f t="shared" si="122"/>
        <v/>
      </c>
      <c r="AG307" s="57"/>
      <c r="AH307" s="57"/>
      <c r="AI307" s="59" t="str">
        <f t="shared" si="123"/>
        <v/>
      </c>
      <c r="AJ307" s="57"/>
      <c r="AK307" s="57"/>
      <c r="AL307" s="59" t="str">
        <f t="shared" si="120"/>
        <v/>
      </c>
      <c r="AM307" s="57"/>
      <c r="AN307" s="57"/>
      <c r="AO307" s="59" t="str">
        <f t="shared" si="121"/>
        <v/>
      </c>
      <c r="AP307" s="57"/>
      <c r="AQ307" s="59" t="str">
        <f t="shared" si="112"/>
        <v/>
      </c>
      <c r="AR307" s="57"/>
      <c r="AS307" s="57"/>
      <c r="AT307" s="59" t="str">
        <f t="shared" si="113"/>
        <v/>
      </c>
    </row>
    <row r="308" spans="1:46" hidden="1">
      <c r="A308" s="24"/>
      <c r="B308" s="26" t="s">
        <v>395</v>
      </c>
      <c r="C308" s="26" t="s">
        <v>443</v>
      </c>
      <c r="D308" s="50"/>
      <c r="E308" s="51"/>
      <c r="F308" s="50"/>
      <c r="G308" s="52"/>
      <c r="H308" s="50"/>
      <c r="I308" s="53">
        <v>9.58</v>
      </c>
      <c r="J308" s="50">
        <v>9.58</v>
      </c>
      <c r="K308" s="53"/>
      <c r="L308" s="50">
        <v>9.58</v>
      </c>
      <c r="M308" s="57"/>
      <c r="N308" s="55">
        <v>6.9212962962962969E-3</v>
      </c>
      <c r="O308" s="57"/>
      <c r="P308" s="57"/>
      <c r="Q308" s="59">
        <f>IF(MIN(IF(ISBLANK(O308),N308,O308),IF(ISBLANK(N308),O308,N308))=0,"",MIN(IF(ISBLANK(O308),N308,O308),IF(ISBLANK(N308),O308,N308)))</f>
        <v>6.9212962962962969E-3</v>
      </c>
      <c r="R308" s="57"/>
      <c r="S308" s="57"/>
      <c r="T308" s="59">
        <f>IF(MIN(IF(ISBLANK(R308),Q308,R308),IF(ISBLANK(Q308),R308,Q308))=0,"",MIN(IF(ISBLANK(R308),Q308,R308),IF(ISBLANK(Q308),R308,Q308)))</f>
        <v>6.9212962962962969E-3</v>
      </c>
      <c r="U308" s="57"/>
      <c r="V308" s="57"/>
      <c r="W308" s="59">
        <f>IF(MIN(IF(ISBLANK(U308),T308,U308),IF(ISBLANK(T308),U308,T308))=0,"",MIN(IF(ISBLANK(U308),T308,U308),IF(ISBLANK(T308),U308,T308)))</f>
        <v>6.9212962962962969E-3</v>
      </c>
      <c r="X308" s="57"/>
      <c r="Y308" s="57"/>
      <c r="Z308" s="59">
        <f>IF(MIN(IF(ISBLANK(X308),W308,X308),IF(ISBLANK(W308),X308,W308))=0,"",MIN(IF(ISBLANK(X308),W308,X308),IF(ISBLANK(W308),X308,W308)))</f>
        <v>6.9212962962962969E-3</v>
      </c>
      <c r="AA308" s="57"/>
      <c r="AB308" s="57"/>
      <c r="AC308" s="59">
        <f>IF(MIN(IF(ISBLANK(Z308),AA308,Z308),IF(ISBLANK(AA308),Z308,AA308))=0,"",MIN(IF(ISBLANK(Z308),AA308,Z308),IF(ISBLANK(AA308),Z308,AA308)))</f>
        <v>6.9212962962962969E-3</v>
      </c>
      <c r="AD308" s="57"/>
      <c r="AE308" s="57"/>
      <c r="AF308" s="59">
        <f t="shared" si="122"/>
        <v>6.9212962962962969E-3</v>
      </c>
      <c r="AG308" s="57"/>
      <c r="AH308" s="57"/>
      <c r="AI308" s="59">
        <f t="shared" si="123"/>
        <v>6.9212962962962969E-3</v>
      </c>
      <c r="AJ308" s="57"/>
      <c r="AK308" s="57"/>
      <c r="AL308" s="59">
        <f t="shared" si="120"/>
        <v>6.9212962962962969E-3</v>
      </c>
      <c r="AM308" s="57"/>
      <c r="AN308" s="57"/>
      <c r="AO308" s="59">
        <f t="shared" si="121"/>
        <v>6.9212962962962969E-3</v>
      </c>
      <c r="AP308" s="57"/>
      <c r="AQ308" s="59">
        <f t="shared" si="112"/>
        <v>6.9212962962962969E-3</v>
      </c>
      <c r="AR308" s="57"/>
      <c r="AS308" s="57"/>
      <c r="AT308" s="59">
        <f t="shared" si="113"/>
        <v>6.9212962962962969E-3</v>
      </c>
    </row>
    <row r="309" spans="1:46" hidden="1">
      <c r="A309" s="24"/>
      <c r="B309" s="26" t="s">
        <v>764</v>
      </c>
      <c r="C309" s="26"/>
      <c r="D309" s="50"/>
      <c r="E309" s="51"/>
      <c r="F309" s="50"/>
      <c r="G309" s="52"/>
      <c r="H309" s="50"/>
      <c r="I309" s="53"/>
      <c r="J309" s="50"/>
      <c r="K309" s="53"/>
      <c r="L309" s="50"/>
      <c r="M309" s="57"/>
      <c r="N309" s="55"/>
      <c r="O309" s="57"/>
      <c r="P309" s="57"/>
      <c r="Q309" s="59"/>
      <c r="R309" s="57"/>
      <c r="S309" s="57"/>
      <c r="T309" s="59"/>
      <c r="U309" s="57"/>
      <c r="V309" s="57"/>
      <c r="W309" s="59"/>
      <c r="X309" s="57"/>
      <c r="Y309" s="57"/>
      <c r="Z309" s="59"/>
      <c r="AA309" s="57"/>
      <c r="AB309" s="57"/>
      <c r="AC309" s="59"/>
      <c r="AD309" s="57"/>
      <c r="AE309" s="57"/>
      <c r="AF309" s="59"/>
      <c r="AG309" s="57"/>
      <c r="AH309" s="57"/>
      <c r="AI309" s="59"/>
      <c r="AJ309" s="57"/>
      <c r="AK309" s="57"/>
      <c r="AL309" s="59" t="str">
        <f t="shared" si="120"/>
        <v/>
      </c>
      <c r="AM309" s="57"/>
      <c r="AN309" s="57"/>
      <c r="AO309" s="59" t="str">
        <f t="shared" si="121"/>
        <v/>
      </c>
      <c r="AP309" s="57"/>
      <c r="AQ309" s="59" t="str">
        <f t="shared" si="112"/>
        <v/>
      </c>
      <c r="AR309" s="57"/>
      <c r="AS309" s="57"/>
      <c r="AT309" s="59" t="str">
        <f t="shared" si="113"/>
        <v/>
      </c>
    </row>
    <row r="310" spans="1:46">
      <c r="A310" s="24" t="s">
        <v>792</v>
      </c>
      <c r="B310" s="26" t="s">
        <v>147</v>
      </c>
      <c r="C310" s="26" t="s">
        <v>443</v>
      </c>
      <c r="D310" s="50">
        <v>7.19</v>
      </c>
      <c r="E310" s="51"/>
      <c r="F310" s="50">
        <v>7.19</v>
      </c>
      <c r="G310" s="52"/>
      <c r="H310" s="50">
        <v>7.19</v>
      </c>
      <c r="I310" s="53"/>
      <c r="J310" s="50">
        <v>7.19</v>
      </c>
      <c r="K310" s="53"/>
      <c r="L310" s="50">
        <v>7.19</v>
      </c>
      <c r="M310" s="57"/>
      <c r="N310" s="55">
        <v>5.0810185185185186E-3</v>
      </c>
      <c r="O310" s="57"/>
      <c r="P310" s="57"/>
      <c r="Q310" s="59">
        <f>IF(MIN(IF(ISBLANK(O310),N310,O310),IF(ISBLANK(N310),O310,N310))=0,"",MIN(IF(ISBLANK(O310),N310,O310),IF(ISBLANK(N310),O310,N310)))</f>
        <v>5.0810185185185186E-3</v>
      </c>
      <c r="R310" s="57"/>
      <c r="S310" s="57"/>
      <c r="T310" s="59">
        <f>IF(MIN(IF(ISBLANK(R310),Q310,R310),IF(ISBLANK(Q310),R310,Q310))=0,"",MIN(IF(ISBLANK(R310),Q310,R310),IF(ISBLANK(Q310),R310,Q310)))</f>
        <v>5.0810185185185186E-3</v>
      </c>
      <c r="U310" s="57">
        <v>5.208333333333333E-3</v>
      </c>
      <c r="V310" s="57"/>
      <c r="W310" s="59">
        <f>IF(MIN(IF(ISBLANK(U310),T310,U310),IF(ISBLANK(T310),U310,T310))=0,"",MIN(IF(ISBLANK(U310),T310,U310),IF(ISBLANK(T310),U310,T310)))</f>
        <v>5.0810185185185186E-3</v>
      </c>
      <c r="X310" s="57">
        <v>5.185185185185185E-3</v>
      </c>
      <c r="Y310" s="57"/>
      <c r="Z310" s="59">
        <f t="shared" ref="Z310:Z316" si="124">IF(MIN(IF(ISBLANK(X310),W310,X310),IF(ISBLANK(W310),X310,W310))=0,"",MIN(IF(ISBLANK(X310),W310,X310),IF(ISBLANK(W310),X310,W310)))</f>
        <v>5.0810185185185186E-3</v>
      </c>
      <c r="AA310" s="57"/>
      <c r="AB310" s="57"/>
      <c r="AC310" s="59">
        <f t="shared" ref="AC310:AC316" si="125">IF(MIN(IF(ISBLANK(Z310),AA310,Z310),IF(ISBLANK(AA310),Z310,AA310))=0,"",MIN(IF(ISBLANK(Z310),AA310,Z310),IF(ISBLANK(AA310),Z310,AA310)))</f>
        <v>5.0810185185185186E-3</v>
      </c>
      <c r="AD310" s="57"/>
      <c r="AE310" s="57"/>
      <c r="AF310" s="59">
        <f t="shared" ref="AF310:AF316" si="126">IF(MIN(IF(ISBLANK(AC310),AD310,AC310),IF(ISBLANK(AD310),AC310,AD310))=0,"",MIN(IF(ISBLANK(AC310),AD310,AC310),IF(ISBLANK(AD310),AC310,AD310)))</f>
        <v>5.0810185185185186E-3</v>
      </c>
      <c r="AG310" s="57"/>
      <c r="AH310" s="57"/>
      <c r="AI310" s="59">
        <f t="shared" ref="AI310:AI316" si="127">IF(MIN(IF(ISBLANK(AF310),AG310,AF310),IF(ISBLANK(AG310),AF310,AG310))=0,"",MIN(IF(ISBLANK(AF310),AG310,AF310),IF(ISBLANK(AG310),AF310,AG310)))</f>
        <v>5.0810185185185186E-3</v>
      </c>
      <c r="AJ310" s="57"/>
      <c r="AK310" s="57"/>
      <c r="AL310" s="59">
        <f t="shared" si="120"/>
        <v>5.0810185185185186E-3</v>
      </c>
      <c r="AM310" s="57">
        <v>5.0231481481481481E-3</v>
      </c>
      <c r="AN310" s="57"/>
      <c r="AO310" s="59">
        <f t="shared" si="121"/>
        <v>5.0231481481481481E-3</v>
      </c>
      <c r="AP310" s="57">
        <v>4.7916666666666672E-3</v>
      </c>
      <c r="AQ310" s="59">
        <f t="shared" si="112"/>
        <v>4.7916666666666672E-3</v>
      </c>
      <c r="AR310" s="57">
        <v>4.7337962962962958E-3</v>
      </c>
      <c r="AS310" s="57"/>
      <c r="AT310" s="59">
        <f t="shared" si="113"/>
        <v>4.7337962962962958E-3</v>
      </c>
    </row>
    <row r="311" spans="1:46" hidden="1">
      <c r="A311" s="24"/>
      <c r="B311" s="26" t="s">
        <v>534</v>
      </c>
      <c r="C311" s="26" t="s">
        <v>443</v>
      </c>
      <c r="D311" s="50"/>
      <c r="E311" s="51"/>
      <c r="F311" s="50"/>
      <c r="G311" s="52"/>
      <c r="H311" s="50"/>
      <c r="I311" s="53"/>
      <c r="J311" s="50"/>
      <c r="K311" s="53"/>
      <c r="L311" s="50"/>
      <c r="M311" s="57"/>
      <c r="N311" s="55"/>
      <c r="O311" s="57">
        <v>5.37037037037037E-3</v>
      </c>
      <c r="P311" s="57"/>
      <c r="Q311" s="59">
        <f>IF(MIN(IF(ISBLANK(O311),N311,O311),IF(ISBLANK(N311),O311,N311))=0,"",MIN(IF(ISBLANK(O311),N311,O311),IF(ISBLANK(N311),O311,N311)))</f>
        <v>5.37037037037037E-3</v>
      </c>
      <c r="R311" s="57"/>
      <c r="S311" s="57"/>
      <c r="T311" s="59">
        <f>IF(MIN(IF(ISBLANK(R311),Q311,R311),IF(ISBLANK(Q311),R311,Q311))=0,"",MIN(IF(ISBLANK(R311),Q311,R311),IF(ISBLANK(Q311),R311,Q311)))</f>
        <v>5.37037037037037E-3</v>
      </c>
      <c r="U311" s="57"/>
      <c r="V311" s="57"/>
      <c r="W311" s="59">
        <f>IF(MIN(IF(ISBLANK(U311),T311,U311),IF(ISBLANK(T311),U311,T311))=0,"",MIN(IF(ISBLANK(U311),T311,U311),IF(ISBLANK(T311),U311,T311)))</f>
        <v>5.37037037037037E-3</v>
      </c>
      <c r="X311" s="57"/>
      <c r="Y311" s="57"/>
      <c r="Z311" s="59">
        <f t="shared" si="124"/>
        <v>5.37037037037037E-3</v>
      </c>
      <c r="AA311" s="57"/>
      <c r="AB311" s="57"/>
      <c r="AC311" s="59">
        <f t="shared" si="125"/>
        <v>5.37037037037037E-3</v>
      </c>
      <c r="AD311" s="57"/>
      <c r="AE311" s="57"/>
      <c r="AF311" s="59">
        <f t="shared" si="126"/>
        <v>5.37037037037037E-3</v>
      </c>
      <c r="AG311" s="57"/>
      <c r="AH311" s="57"/>
      <c r="AI311" s="59">
        <f t="shared" si="127"/>
        <v>5.37037037037037E-3</v>
      </c>
      <c r="AJ311" s="57"/>
      <c r="AK311" s="57"/>
      <c r="AL311" s="59">
        <f t="shared" si="120"/>
        <v>5.37037037037037E-3</v>
      </c>
      <c r="AM311" s="57"/>
      <c r="AN311" s="57"/>
      <c r="AO311" s="59">
        <f t="shared" si="121"/>
        <v>5.37037037037037E-3</v>
      </c>
      <c r="AP311" s="57"/>
      <c r="AQ311" s="59">
        <f t="shared" si="112"/>
        <v>5.37037037037037E-3</v>
      </c>
      <c r="AR311" s="57"/>
      <c r="AS311" s="57"/>
      <c r="AT311" s="59">
        <f t="shared" si="113"/>
        <v>5.37037037037037E-3</v>
      </c>
    </row>
    <row r="312" spans="1:46" hidden="1">
      <c r="A312" s="24"/>
      <c r="B312" s="26" t="s">
        <v>641</v>
      </c>
      <c r="C312" s="26"/>
      <c r="D312" s="50"/>
      <c r="E312" s="51"/>
      <c r="F312" s="50"/>
      <c r="G312" s="52"/>
      <c r="H312" s="50"/>
      <c r="I312" s="53"/>
      <c r="J312" s="50"/>
      <c r="K312" s="53"/>
      <c r="L312" s="50"/>
      <c r="M312" s="57"/>
      <c r="N312" s="55"/>
      <c r="O312" s="57"/>
      <c r="P312" s="57"/>
      <c r="Q312" s="59"/>
      <c r="R312" s="57"/>
      <c r="S312" s="57"/>
      <c r="T312" s="59"/>
      <c r="U312" s="57"/>
      <c r="V312" s="57"/>
      <c r="W312" s="59"/>
      <c r="X312" s="57">
        <v>4.5138888888888893E-3</v>
      </c>
      <c r="Y312" s="57"/>
      <c r="Z312" s="59">
        <f t="shared" si="124"/>
        <v>4.5138888888888893E-3</v>
      </c>
      <c r="AA312" s="57"/>
      <c r="AB312" s="57"/>
      <c r="AC312" s="59">
        <f t="shared" si="125"/>
        <v>4.5138888888888893E-3</v>
      </c>
      <c r="AD312" s="57"/>
      <c r="AE312" s="57"/>
      <c r="AF312" s="59">
        <f t="shared" si="126"/>
        <v>4.5138888888888893E-3</v>
      </c>
      <c r="AG312" s="57"/>
      <c r="AH312" s="57"/>
      <c r="AI312" s="59">
        <f t="shared" si="127"/>
        <v>4.5138888888888893E-3</v>
      </c>
      <c r="AJ312" s="57"/>
      <c r="AK312" s="57"/>
      <c r="AL312" s="59">
        <f t="shared" si="120"/>
        <v>4.5138888888888893E-3</v>
      </c>
      <c r="AM312" s="57"/>
      <c r="AN312" s="57"/>
      <c r="AO312" s="59">
        <f t="shared" si="121"/>
        <v>4.5138888888888893E-3</v>
      </c>
      <c r="AP312" s="57"/>
      <c r="AQ312" s="59">
        <f t="shared" si="112"/>
        <v>4.5138888888888893E-3</v>
      </c>
      <c r="AR312" s="57"/>
      <c r="AS312" s="57"/>
      <c r="AT312" s="59">
        <f t="shared" si="113"/>
        <v>4.5138888888888893E-3</v>
      </c>
    </row>
    <row r="313" spans="1:46" hidden="1">
      <c r="A313" s="24"/>
      <c r="B313" s="26" t="s">
        <v>152</v>
      </c>
      <c r="C313" s="26" t="s">
        <v>443</v>
      </c>
      <c r="D313" s="50">
        <v>8.31</v>
      </c>
      <c r="E313" s="51"/>
      <c r="F313" s="50">
        <v>8.31</v>
      </c>
      <c r="G313" s="52"/>
      <c r="H313" s="50">
        <v>8.31</v>
      </c>
      <c r="I313" s="53"/>
      <c r="J313" s="50">
        <v>8.31</v>
      </c>
      <c r="K313" s="53"/>
      <c r="L313" s="50">
        <v>8.31</v>
      </c>
      <c r="M313" s="57"/>
      <c r="N313" s="55">
        <v>5.9143518518518521E-3</v>
      </c>
      <c r="O313" s="57">
        <v>5.9027777777777776E-3</v>
      </c>
      <c r="P313" s="57"/>
      <c r="Q313" s="59">
        <f>IF(MIN(IF(ISBLANK(O313),N313,O313),IF(ISBLANK(N313),O313,N313))=0,"",MIN(IF(ISBLANK(O313),N313,O313),IF(ISBLANK(N313),O313,N313)))</f>
        <v>5.9027777777777776E-3</v>
      </c>
      <c r="R313" s="57"/>
      <c r="S313" s="57"/>
      <c r="T313" s="59">
        <f>IF(MIN(IF(ISBLANK(R313),Q313,R313),IF(ISBLANK(Q313),R313,Q313))=0,"",MIN(IF(ISBLANK(R313),Q313,R313),IF(ISBLANK(Q313),R313,Q313)))</f>
        <v>5.9027777777777776E-3</v>
      </c>
      <c r="U313" s="57"/>
      <c r="V313" s="57"/>
      <c r="W313" s="59">
        <f>IF(MIN(IF(ISBLANK(U313),T313,U313),IF(ISBLANK(T313),U313,T313))=0,"",MIN(IF(ISBLANK(U313),T313,U313),IF(ISBLANK(T313),U313,T313)))</f>
        <v>5.9027777777777776E-3</v>
      </c>
      <c r="X313" s="57"/>
      <c r="Y313" s="57"/>
      <c r="Z313" s="59">
        <f t="shared" si="124"/>
        <v>5.9027777777777776E-3</v>
      </c>
      <c r="AA313" s="57"/>
      <c r="AB313" s="57"/>
      <c r="AC313" s="59">
        <f t="shared" si="125"/>
        <v>5.9027777777777776E-3</v>
      </c>
      <c r="AD313" s="57"/>
      <c r="AE313" s="57"/>
      <c r="AF313" s="59">
        <f t="shared" si="126"/>
        <v>5.9027777777777776E-3</v>
      </c>
      <c r="AG313" s="57"/>
      <c r="AH313" s="57"/>
      <c r="AI313" s="59">
        <f t="shared" si="127"/>
        <v>5.9027777777777776E-3</v>
      </c>
      <c r="AJ313" s="57"/>
      <c r="AK313" s="57"/>
      <c r="AL313" s="59">
        <f t="shared" si="120"/>
        <v>5.9027777777777776E-3</v>
      </c>
      <c r="AM313" s="57"/>
      <c r="AN313" s="57"/>
      <c r="AO313" s="59">
        <f t="shared" si="121"/>
        <v>5.9027777777777776E-3</v>
      </c>
      <c r="AP313" s="57"/>
      <c r="AQ313" s="59">
        <f t="shared" si="112"/>
        <v>5.9027777777777776E-3</v>
      </c>
      <c r="AR313" s="57"/>
      <c r="AS313" s="57"/>
      <c r="AT313" s="59">
        <f t="shared" si="113"/>
        <v>5.9027777777777776E-3</v>
      </c>
    </row>
    <row r="314" spans="1:46">
      <c r="A314" s="24" t="s">
        <v>792</v>
      </c>
      <c r="B314" s="26" t="s">
        <v>611</v>
      </c>
      <c r="C314" s="26"/>
      <c r="D314" s="50"/>
      <c r="E314" s="51"/>
      <c r="F314" s="50"/>
      <c r="G314" s="52"/>
      <c r="H314" s="50"/>
      <c r="I314" s="53"/>
      <c r="J314" s="50"/>
      <c r="K314" s="53"/>
      <c r="L314" s="50"/>
      <c r="M314" s="57"/>
      <c r="N314" s="55"/>
      <c r="O314" s="57"/>
      <c r="P314" s="57"/>
      <c r="Q314" s="59"/>
      <c r="R314" s="57"/>
      <c r="S314" s="57"/>
      <c r="T314" s="59" t="str">
        <f>IF(MIN(IF(ISBLANK(R314),Q314,R314),IF(ISBLANK(Q314),R314,Q314))=0,"",MIN(IF(ISBLANK(R314),Q314,R314),IF(ISBLANK(Q314),R314,Q314)))</f>
        <v/>
      </c>
      <c r="U314" s="57">
        <v>4.8379629629629632E-3</v>
      </c>
      <c r="V314" s="57"/>
      <c r="W314" s="59">
        <f>IF(MIN(IF(ISBLANK(U314),T314,U314),IF(ISBLANK(T314),U314,T314))=0,"",MIN(IF(ISBLANK(U314),T314,U314),IF(ISBLANK(T314),U314,T314)))</f>
        <v>4.8379629629629632E-3</v>
      </c>
      <c r="X314" s="57"/>
      <c r="Y314" s="57"/>
      <c r="Z314" s="59">
        <f t="shared" si="124"/>
        <v>4.8379629629629632E-3</v>
      </c>
      <c r="AA314" s="57"/>
      <c r="AB314" s="57"/>
      <c r="AC314" s="59">
        <f t="shared" si="125"/>
        <v>4.8379629629629632E-3</v>
      </c>
      <c r="AD314" s="57"/>
      <c r="AE314" s="57"/>
      <c r="AF314" s="59">
        <f t="shared" si="126"/>
        <v>4.8379629629629632E-3</v>
      </c>
      <c r="AG314" s="57">
        <v>4.6643518518518518E-3</v>
      </c>
      <c r="AH314" s="57"/>
      <c r="AI314" s="59">
        <f t="shared" si="127"/>
        <v>4.6643518518518518E-3</v>
      </c>
      <c r="AJ314" s="57"/>
      <c r="AK314" s="57"/>
      <c r="AL314" s="59">
        <f t="shared" si="120"/>
        <v>4.6643518518518518E-3</v>
      </c>
      <c r="AM314" s="57"/>
      <c r="AN314" s="57"/>
      <c r="AO314" s="59">
        <f t="shared" si="121"/>
        <v>4.6643518518518518E-3</v>
      </c>
      <c r="AP314" s="57"/>
      <c r="AQ314" s="59">
        <f t="shared" si="112"/>
        <v>4.6643518518518518E-3</v>
      </c>
      <c r="AR314" s="57"/>
      <c r="AS314" s="57"/>
      <c r="AT314" s="59">
        <f t="shared" si="113"/>
        <v>4.6643518518518518E-3</v>
      </c>
    </row>
    <row r="315" spans="1:46" hidden="1">
      <c r="A315" s="24"/>
      <c r="B315" s="26" t="s">
        <v>369</v>
      </c>
      <c r="C315" s="26" t="s">
        <v>443</v>
      </c>
      <c r="D315" s="50"/>
      <c r="E315" s="51"/>
      <c r="F315" s="50"/>
      <c r="G315" s="52" t="s">
        <v>346</v>
      </c>
      <c r="H315" s="50">
        <v>9.06</v>
      </c>
      <c r="I315" s="53"/>
      <c r="J315" s="50">
        <v>9.06</v>
      </c>
      <c r="K315" s="53"/>
      <c r="L315" s="50">
        <v>9.06</v>
      </c>
      <c r="M315" s="57"/>
      <c r="N315" s="55">
        <v>6.3194444444444444E-3</v>
      </c>
      <c r="O315" s="57"/>
      <c r="P315" s="57"/>
      <c r="Q315" s="59">
        <f>IF(MIN(IF(ISBLANK(O315),N315,O315),IF(ISBLANK(N315),O315,N315))=0,"",MIN(IF(ISBLANK(O315),N315,O315),IF(ISBLANK(N315),O315,N315)))</f>
        <v>6.3194444444444444E-3</v>
      </c>
      <c r="R315" s="57"/>
      <c r="S315" s="57"/>
      <c r="T315" s="59">
        <f>IF(MIN(IF(ISBLANK(R315),Q315,R315),IF(ISBLANK(Q315),R315,Q315))=0,"",MIN(IF(ISBLANK(R315),Q315,R315),IF(ISBLANK(Q315),R315,Q315)))</f>
        <v>6.3194444444444444E-3</v>
      </c>
      <c r="U315" s="57"/>
      <c r="V315" s="57"/>
      <c r="W315" s="59">
        <f>IF(MIN(IF(ISBLANK(U315),T315,U315),IF(ISBLANK(T315),U315,T315))=0,"",MIN(IF(ISBLANK(U315),T315,U315),IF(ISBLANK(T315),U315,T315)))</f>
        <v>6.3194444444444444E-3</v>
      </c>
      <c r="X315" s="57"/>
      <c r="Y315" s="57"/>
      <c r="Z315" s="59">
        <f t="shared" si="124"/>
        <v>6.3194444444444444E-3</v>
      </c>
      <c r="AA315" s="57"/>
      <c r="AB315" s="57"/>
      <c r="AC315" s="59">
        <f t="shared" si="125"/>
        <v>6.3194444444444444E-3</v>
      </c>
      <c r="AD315" s="57"/>
      <c r="AE315" s="57"/>
      <c r="AF315" s="59">
        <f t="shared" si="126"/>
        <v>6.3194444444444444E-3</v>
      </c>
      <c r="AG315" s="57"/>
      <c r="AH315" s="57"/>
      <c r="AI315" s="59">
        <f t="shared" si="127"/>
        <v>6.3194444444444444E-3</v>
      </c>
      <c r="AJ315" s="57"/>
      <c r="AK315" s="57"/>
      <c r="AL315" s="59">
        <f t="shared" si="120"/>
        <v>6.3194444444444444E-3</v>
      </c>
      <c r="AM315" s="57"/>
      <c r="AN315" s="57"/>
      <c r="AO315" s="59">
        <f t="shared" si="121"/>
        <v>6.3194444444444444E-3</v>
      </c>
      <c r="AP315" s="57"/>
      <c r="AQ315" s="59">
        <f t="shared" si="112"/>
        <v>6.3194444444444444E-3</v>
      </c>
      <c r="AR315" s="57"/>
      <c r="AS315" s="57"/>
      <c r="AT315" s="59">
        <f t="shared" si="113"/>
        <v>6.3194444444444444E-3</v>
      </c>
    </row>
    <row r="316" spans="1:46" hidden="1">
      <c r="A316" s="24"/>
      <c r="B316" s="26" t="s">
        <v>368</v>
      </c>
      <c r="C316" s="26" t="s">
        <v>443</v>
      </c>
      <c r="D316" s="50"/>
      <c r="E316" s="51"/>
      <c r="F316" s="50"/>
      <c r="G316" s="52" t="s">
        <v>294</v>
      </c>
      <c r="H316" s="50">
        <v>10.27</v>
      </c>
      <c r="I316" s="53">
        <v>9.4700000000000006</v>
      </c>
      <c r="J316" s="50">
        <v>9.4700000000000006</v>
      </c>
      <c r="K316" s="53"/>
      <c r="L316" s="50">
        <v>9.4700000000000006</v>
      </c>
      <c r="M316" s="57"/>
      <c r="N316" s="55">
        <v>6.7939814814814816E-3</v>
      </c>
      <c r="O316" s="57"/>
      <c r="P316" s="57"/>
      <c r="Q316" s="59">
        <f>IF(MIN(IF(ISBLANK(O316),N316,O316),IF(ISBLANK(N316),O316,N316))=0,"",MIN(IF(ISBLANK(O316),N316,O316),IF(ISBLANK(N316),O316,N316)))</f>
        <v>6.7939814814814816E-3</v>
      </c>
      <c r="R316" s="57"/>
      <c r="S316" s="57"/>
      <c r="T316" s="59">
        <f>IF(MIN(IF(ISBLANK(R316),Q316,R316),IF(ISBLANK(Q316),R316,Q316))=0,"",MIN(IF(ISBLANK(R316),Q316,R316),IF(ISBLANK(Q316),R316,Q316)))</f>
        <v>6.7939814814814816E-3</v>
      </c>
      <c r="U316" s="57"/>
      <c r="V316" s="57"/>
      <c r="W316" s="59">
        <f>IF(MIN(IF(ISBLANK(U316),T316,U316),IF(ISBLANK(T316),U316,T316))=0,"",MIN(IF(ISBLANK(U316),T316,U316),IF(ISBLANK(T316),U316,T316)))</f>
        <v>6.7939814814814816E-3</v>
      </c>
      <c r="X316" s="57"/>
      <c r="Y316" s="57"/>
      <c r="Z316" s="59">
        <f t="shared" si="124"/>
        <v>6.7939814814814816E-3</v>
      </c>
      <c r="AA316" s="57"/>
      <c r="AB316" s="57"/>
      <c r="AC316" s="59">
        <f t="shared" si="125"/>
        <v>6.7939814814814816E-3</v>
      </c>
      <c r="AD316" s="57"/>
      <c r="AE316" s="57"/>
      <c r="AF316" s="59">
        <f t="shared" si="126"/>
        <v>6.7939814814814816E-3</v>
      </c>
      <c r="AG316" s="57"/>
      <c r="AH316" s="57"/>
      <c r="AI316" s="59">
        <f t="shared" si="127"/>
        <v>6.7939814814814816E-3</v>
      </c>
      <c r="AJ316" s="57"/>
      <c r="AK316" s="57"/>
      <c r="AL316" s="59">
        <f t="shared" si="120"/>
        <v>6.7939814814814816E-3</v>
      </c>
      <c r="AM316" s="57"/>
      <c r="AN316" s="57"/>
      <c r="AO316" s="59">
        <f t="shared" si="121"/>
        <v>6.7939814814814816E-3</v>
      </c>
      <c r="AP316" s="57"/>
      <c r="AQ316" s="59">
        <f t="shared" si="112"/>
        <v>6.7939814814814816E-3</v>
      </c>
      <c r="AR316" s="57"/>
      <c r="AS316" s="57"/>
      <c r="AT316" s="59">
        <f t="shared" si="113"/>
        <v>6.7939814814814816E-3</v>
      </c>
    </row>
    <row r="317" spans="1:46">
      <c r="A317" s="24" t="s">
        <v>792</v>
      </c>
      <c r="B317" s="26" t="s">
        <v>850</v>
      </c>
      <c r="C317" s="26"/>
      <c r="D317" s="50"/>
      <c r="E317" s="51"/>
      <c r="F317" s="50"/>
      <c r="G317" s="52"/>
      <c r="H317" s="50"/>
      <c r="I317" s="53"/>
      <c r="J317" s="50"/>
      <c r="K317" s="53"/>
      <c r="L317" s="50"/>
      <c r="M317" s="57"/>
      <c r="N317" s="55"/>
      <c r="O317" s="57"/>
      <c r="P317" s="57"/>
      <c r="Q317" s="59"/>
      <c r="R317" s="57"/>
      <c r="S317" s="57"/>
      <c r="T317" s="59"/>
      <c r="U317" s="57"/>
      <c r="V317" s="57"/>
      <c r="W317" s="59"/>
      <c r="X317" s="57"/>
      <c r="Y317" s="57"/>
      <c r="Z317" s="59"/>
      <c r="AA317" s="57"/>
      <c r="AB317" s="57"/>
      <c r="AC317" s="59"/>
      <c r="AD317" s="57"/>
      <c r="AE317" s="57"/>
      <c r="AF317" s="59"/>
      <c r="AG317" s="57"/>
      <c r="AH317" s="57"/>
      <c r="AI317" s="59"/>
      <c r="AJ317" s="57"/>
      <c r="AK317" s="57"/>
      <c r="AL317" s="59"/>
      <c r="AM317" s="57"/>
      <c r="AN317" s="57"/>
      <c r="AO317" s="59"/>
      <c r="AP317" s="57"/>
      <c r="AQ317" s="59" t="str">
        <f t="shared" si="112"/>
        <v/>
      </c>
      <c r="AR317" s="57"/>
      <c r="AS317" s="57"/>
      <c r="AT317" s="59" t="str">
        <f t="shared" si="113"/>
        <v/>
      </c>
    </row>
    <row r="318" spans="1:46" hidden="1">
      <c r="A318" s="24"/>
      <c r="B318" s="26" t="s">
        <v>804</v>
      </c>
      <c r="C318" s="26"/>
      <c r="D318" s="50"/>
      <c r="E318" s="51"/>
      <c r="F318" s="50"/>
      <c r="G318" s="52"/>
      <c r="H318" s="50"/>
      <c r="I318" s="53"/>
      <c r="J318" s="50"/>
      <c r="K318" s="53"/>
      <c r="L318" s="50"/>
      <c r="M318" s="57"/>
      <c r="N318" s="55"/>
      <c r="O318" s="57"/>
      <c r="P318" s="57"/>
      <c r="Q318" s="59"/>
      <c r="R318" s="57"/>
      <c r="S318" s="57"/>
      <c r="T318" s="59"/>
      <c r="U318" s="57"/>
      <c r="V318" s="57"/>
      <c r="W318" s="59"/>
      <c r="X318" s="57"/>
      <c r="Y318" s="57"/>
      <c r="Z318" s="59"/>
      <c r="AA318" s="57"/>
      <c r="AB318" s="57"/>
      <c r="AC318" s="59"/>
      <c r="AD318" s="57"/>
      <c r="AE318" s="57"/>
      <c r="AF318" s="59"/>
      <c r="AG318" s="57"/>
      <c r="AH318" s="57"/>
      <c r="AI318" s="59"/>
      <c r="AJ318" s="57"/>
      <c r="AK318" s="57"/>
      <c r="AL318" s="59"/>
      <c r="AM318" s="57">
        <v>4.8379629629629632E-3</v>
      </c>
      <c r="AN318" s="57"/>
      <c r="AO318" s="59">
        <f t="shared" ref="AO318:AO326" si="128">IF(MIN(IF(ISBLANK(AL318),AM318,AL318),IF(ISBLANK(AM318),AL318,AM318))=0,"",MIN(IF(ISBLANK(AL318),AM318,AL318),IF(ISBLANK(AM318),AL318,AM318)))</f>
        <v>4.8379629629629632E-3</v>
      </c>
      <c r="AP318" s="57"/>
      <c r="AQ318" s="59">
        <f t="shared" si="112"/>
        <v>4.8379629629629632E-3</v>
      </c>
      <c r="AR318" s="57"/>
      <c r="AS318" s="57"/>
      <c r="AT318" s="59">
        <f t="shared" si="113"/>
        <v>4.8379629629629632E-3</v>
      </c>
    </row>
    <row r="319" spans="1:46" hidden="1">
      <c r="A319" s="24"/>
      <c r="B319" s="26" t="s">
        <v>158</v>
      </c>
      <c r="C319" s="26" t="s">
        <v>444</v>
      </c>
      <c r="D319" s="50"/>
      <c r="E319" s="51"/>
      <c r="F319" s="50" t="s">
        <v>448</v>
      </c>
      <c r="G319" s="52" t="s">
        <v>371</v>
      </c>
      <c r="H319" s="50" t="s">
        <v>371</v>
      </c>
      <c r="I319" s="53"/>
      <c r="J319" s="50" t="s">
        <v>371</v>
      </c>
      <c r="K319" s="53"/>
      <c r="L319" s="50">
        <v>11.08</v>
      </c>
      <c r="M319" s="57"/>
      <c r="N319" s="55">
        <v>7.7314814814814815E-3</v>
      </c>
      <c r="O319" s="57"/>
      <c r="P319" s="57"/>
      <c r="Q319" s="59">
        <f>IF(MIN(IF(ISBLANK(O319),N319,O319),IF(ISBLANK(N319),O319,N319))=0,"",MIN(IF(ISBLANK(O319),N319,O319),IF(ISBLANK(N319),O319,N319)))</f>
        <v>7.7314814814814815E-3</v>
      </c>
      <c r="R319" s="57"/>
      <c r="S319" s="57"/>
      <c r="T319" s="59">
        <f>IF(MIN(IF(ISBLANK(R319),Q319,R319),IF(ISBLANK(Q319),R319,Q319))=0,"",MIN(IF(ISBLANK(R319),Q319,R319),IF(ISBLANK(Q319),R319,Q319)))</f>
        <v>7.7314814814814815E-3</v>
      </c>
      <c r="U319" s="57"/>
      <c r="V319" s="57"/>
      <c r="W319" s="59">
        <f>IF(MIN(IF(ISBLANK(U319),T319,U319),IF(ISBLANK(T319),U319,T319))=0,"",MIN(IF(ISBLANK(U319),T319,U319),IF(ISBLANK(T319),U319,T319)))</f>
        <v>7.7314814814814815E-3</v>
      </c>
      <c r="X319" s="57"/>
      <c r="Y319" s="57"/>
      <c r="Z319" s="59">
        <f>IF(MIN(IF(ISBLANK(X319),W319,X319),IF(ISBLANK(W319),X319,W319))=0,"",MIN(IF(ISBLANK(X319),W319,X319),IF(ISBLANK(W319),X319,W319)))</f>
        <v>7.7314814814814815E-3</v>
      </c>
      <c r="AA319" s="57"/>
      <c r="AB319" s="57"/>
      <c r="AC319" s="59">
        <f>IF(MIN(IF(ISBLANK(Z319),AA319,Z319),IF(ISBLANK(AA319),Z319,AA319))=0,"",MIN(IF(ISBLANK(Z319),AA319,Z319),IF(ISBLANK(AA319),Z319,AA319)))</f>
        <v>7.7314814814814815E-3</v>
      </c>
      <c r="AD319" s="57"/>
      <c r="AE319" s="57"/>
      <c r="AF319" s="59">
        <f>IF(MIN(IF(ISBLANK(AC319),AD319,AC319),IF(ISBLANK(AD319),AC319,AD319))=0,"",MIN(IF(ISBLANK(AC319),AD319,AC319),IF(ISBLANK(AD319),AC319,AD319)))</f>
        <v>7.7314814814814815E-3</v>
      </c>
      <c r="AG319" s="57"/>
      <c r="AH319" s="57"/>
      <c r="AI319" s="59">
        <f>IF(MIN(IF(ISBLANK(AF319),AG319,AF319),IF(ISBLANK(AG319),AF319,AG319))=0,"",MIN(IF(ISBLANK(AF319),AG319,AF319),IF(ISBLANK(AG319),AF319,AG319)))</f>
        <v>7.7314814814814815E-3</v>
      </c>
      <c r="AJ319" s="57"/>
      <c r="AK319" s="57"/>
      <c r="AL319" s="59">
        <f t="shared" ref="AL319:AL326" si="129">IF(MIN(IF(ISBLANK(AI319),AJ319,AI319),IF(ISBLANK(AJ319),AI319,AJ319))=0,"",MIN(IF(ISBLANK(AI319),AJ319,AI319),IF(ISBLANK(AJ319),AI319,AJ319)))</f>
        <v>7.7314814814814815E-3</v>
      </c>
      <c r="AM319" s="57"/>
      <c r="AN319" s="57"/>
      <c r="AO319" s="59">
        <f t="shared" si="128"/>
        <v>7.7314814814814815E-3</v>
      </c>
      <c r="AP319" s="57"/>
      <c r="AQ319" s="59">
        <f t="shared" si="112"/>
        <v>7.7314814814814815E-3</v>
      </c>
      <c r="AR319" s="57"/>
      <c r="AS319" s="57"/>
      <c r="AT319" s="59">
        <f t="shared" si="113"/>
        <v>7.7314814814814815E-3</v>
      </c>
    </row>
    <row r="320" spans="1:46" hidden="1">
      <c r="A320" s="24"/>
      <c r="B320" s="26" t="s">
        <v>526</v>
      </c>
      <c r="C320" s="26"/>
      <c r="D320" s="50"/>
      <c r="E320" s="51"/>
      <c r="F320" s="50"/>
      <c r="G320" s="52"/>
      <c r="H320" s="50"/>
      <c r="I320" s="53"/>
      <c r="J320" s="50"/>
      <c r="K320" s="53"/>
      <c r="L320" s="50"/>
      <c r="M320" s="57"/>
      <c r="N320" s="55"/>
      <c r="O320" s="57"/>
      <c r="P320" s="57"/>
      <c r="Q320" s="59" t="str">
        <f>IF(MIN(IF(ISBLANK(O320),N320,O320),IF(ISBLANK(N320),O320,N320))=0,"",MIN(IF(ISBLANK(O320),N320,O320),IF(ISBLANK(N320),O320,N320)))</f>
        <v/>
      </c>
      <c r="R320" s="57"/>
      <c r="S320" s="57"/>
      <c r="T320" s="59" t="str">
        <f>IF(MIN(IF(ISBLANK(R320),Q320,R320),IF(ISBLANK(Q320),R320,Q320))=0,"",MIN(IF(ISBLANK(R320),Q320,R320),IF(ISBLANK(Q320),R320,Q320)))</f>
        <v/>
      </c>
      <c r="U320" s="57"/>
      <c r="V320" s="57"/>
      <c r="W320" s="59" t="str">
        <f>IF(MIN(IF(ISBLANK(U320),T320,U320),IF(ISBLANK(T320),U320,T320))=0,"",MIN(IF(ISBLANK(U320),T320,U320),IF(ISBLANK(T320),U320,T320)))</f>
        <v/>
      </c>
      <c r="X320" s="57"/>
      <c r="Y320" s="57"/>
      <c r="Z320" s="59" t="str">
        <f>IF(MIN(IF(ISBLANK(X320),W320,X320),IF(ISBLANK(W320),X320,W320))=0,"",MIN(IF(ISBLANK(X320),W320,X320),IF(ISBLANK(W320),X320,W320)))</f>
        <v/>
      </c>
      <c r="AA320" s="57"/>
      <c r="AB320" s="57"/>
      <c r="AC320" s="59" t="str">
        <f>IF(MIN(IF(ISBLANK(Z320),AA320,Z320),IF(ISBLANK(AA320),Z320,AA320))=0,"",MIN(IF(ISBLANK(Z320),AA320,Z320),IF(ISBLANK(AA320),Z320,AA320)))</f>
        <v/>
      </c>
      <c r="AD320" s="57"/>
      <c r="AE320" s="57"/>
      <c r="AF320" s="59" t="str">
        <f>IF(MIN(IF(ISBLANK(AC320),AD320,AC320),IF(ISBLANK(AD320),AC320,AD320))=0,"",MIN(IF(ISBLANK(AC320),AD320,AC320),IF(ISBLANK(AD320),AC320,AD320)))</f>
        <v/>
      </c>
      <c r="AG320" s="57"/>
      <c r="AH320" s="57"/>
      <c r="AI320" s="59" t="str">
        <f>IF(MIN(IF(ISBLANK(AF320),AG320,AF320),IF(ISBLANK(AG320),AF320,AG320))=0,"",MIN(IF(ISBLANK(AF320),AG320,AF320),IF(ISBLANK(AG320),AF320,AG320)))</f>
        <v/>
      </c>
      <c r="AJ320" s="57"/>
      <c r="AK320" s="57"/>
      <c r="AL320" s="59" t="str">
        <f t="shared" si="129"/>
        <v/>
      </c>
      <c r="AM320" s="57"/>
      <c r="AN320" s="57"/>
      <c r="AO320" s="59" t="str">
        <f t="shared" si="128"/>
        <v/>
      </c>
      <c r="AP320" s="57"/>
      <c r="AQ320" s="59" t="str">
        <f t="shared" si="112"/>
        <v/>
      </c>
      <c r="AR320" s="57"/>
      <c r="AS320" s="57"/>
      <c r="AT320" s="59" t="str">
        <f t="shared" si="113"/>
        <v/>
      </c>
    </row>
    <row r="321" spans="1:46" hidden="1">
      <c r="A321" s="24"/>
      <c r="B321" s="26" t="s">
        <v>769</v>
      </c>
      <c r="C321" s="26"/>
      <c r="D321" s="50"/>
      <c r="E321" s="51"/>
      <c r="F321" s="50"/>
      <c r="G321" s="52"/>
      <c r="H321" s="50"/>
      <c r="I321" s="53"/>
      <c r="J321" s="50"/>
      <c r="K321" s="53"/>
      <c r="L321" s="50"/>
      <c r="M321" s="57"/>
      <c r="N321" s="55"/>
      <c r="O321" s="57"/>
      <c r="P321" s="57"/>
      <c r="Q321" s="59"/>
      <c r="R321" s="57"/>
      <c r="S321" s="57"/>
      <c r="T321" s="59"/>
      <c r="U321" s="57"/>
      <c r="V321" s="57"/>
      <c r="W321" s="59"/>
      <c r="X321" s="57"/>
      <c r="Y321" s="57"/>
      <c r="Z321" s="59"/>
      <c r="AA321" s="57"/>
      <c r="AB321" s="57"/>
      <c r="AC321" s="59"/>
      <c r="AD321" s="57"/>
      <c r="AE321" s="57"/>
      <c r="AF321" s="59"/>
      <c r="AG321" s="57"/>
      <c r="AH321" s="57"/>
      <c r="AI321" s="59"/>
      <c r="AJ321" s="57"/>
      <c r="AK321" s="57"/>
      <c r="AL321" s="59" t="str">
        <f t="shared" si="129"/>
        <v/>
      </c>
      <c r="AM321" s="57"/>
      <c r="AN321" s="57"/>
      <c r="AO321" s="59" t="str">
        <f t="shared" si="128"/>
        <v/>
      </c>
      <c r="AP321" s="57"/>
      <c r="AQ321" s="59" t="str">
        <f t="shared" si="112"/>
        <v/>
      </c>
      <c r="AR321" s="57"/>
      <c r="AS321" s="57"/>
      <c r="AT321" s="59" t="str">
        <f t="shared" si="113"/>
        <v/>
      </c>
    </row>
    <row r="322" spans="1:46" hidden="1">
      <c r="A322" s="24"/>
      <c r="B322" s="26" t="s">
        <v>601</v>
      </c>
      <c r="C322" s="26"/>
      <c r="D322" s="50"/>
      <c r="E322" s="51"/>
      <c r="F322" s="50"/>
      <c r="G322" s="52"/>
      <c r="H322" s="50"/>
      <c r="I322" s="53"/>
      <c r="J322" s="50"/>
      <c r="K322" s="53"/>
      <c r="L322" s="50"/>
      <c r="M322" s="57"/>
      <c r="N322" s="55"/>
      <c r="O322" s="57"/>
      <c r="P322" s="57"/>
      <c r="Q322" s="59"/>
      <c r="R322" s="57"/>
      <c r="S322" s="57"/>
      <c r="T322" s="59" t="str">
        <f>IF(MIN(IF(ISBLANK(R322),Q322,R322),IF(ISBLANK(Q322),R322,Q322))=0,"",MIN(IF(ISBLANK(R322),Q322,R322),IF(ISBLANK(Q322),R322,Q322)))</f>
        <v/>
      </c>
      <c r="U322" s="57"/>
      <c r="V322" s="57"/>
      <c r="W322" s="59" t="str">
        <f>IF(MIN(IF(ISBLANK(U322),T322,U322),IF(ISBLANK(T322),U322,T322))=0,"",MIN(IF(ISBLANK(U322),T322,U322),IF(ISBLANK(T322),U322,T322)))</f>
        <v/>
      </c>
      <c r="X322" s="57"/>
      <c r="Y322" s="57"/>
      <c r="Z322" s="59" t="str">
        <f>IF(MIN(IF(ISBLANK(X322),W322,X322),IF(ISBLANK(W322),X322,W322))=0,"",MIN(IF(ISBLANK(X322),W322,X322),IF(ISBLANK(W322),X322,W322)))</f>
        <v/>
      </c>
      <c r="AA322" s="57"/>
      <c r="AB322" s="57"/>
      <c r="AC322" s="59" t="str">
        <f>IF(MIN(IF(ISBLANK(Z322),AA322,Z322),IF(ISBLANK(AA322),Z322,AA322))=0,"",MIN(IF(ISBLANK(Z322),AA322,Z322),IF(ISBLANK(AA322),Z322,AA322)))</f>
        <v/>
      </c>
      <c r="AD322" s="57"/>
      <c r="AE322" s="57"/>
      <c r="AF322" s="59" t="str">
        <f>IF(MIN(IF(ISBLANK(AC322),AD322,AC322),IF(ISBLANK(AD322),AC322,AD322))=0,"",MIN(IF(ISBLANK(AC322),AD322,AC322),IF(ISBLANK(AD322),AC322,AD322)))</f>
        <v/>
      </c>
      <c r="AG322" s="57"/>
      <c r="AH322" s="57"/>
      <c r="AI322" s="59" t="str">
        <f>IF(MIN(IF(ISBLANK(AF322),AG322,AF322),IF(ISBLANK(AG322),AF322,AG322))=0,"",MIN(IF(ISBLANK(AF322),AG322,AF322),IF(ISBLANK(AG322),AF322,AG322)))</f>
        <v/>
      </c>
      <c r="AJ322" s="57"/>
      <c r="AK322" s="57"/>
      <c r="AL322" s="59" t="str">
        <f t="shared" si="129"/>
        <v/>
      </c>
      <c r="AM322" s="57"/>
      <c r="AN322" s="57"/>
      <c r="AO322" s="59" t="str">
        <f t="shared" si="128"/>
        <v/>
      </c>
      <c r="AP322" s="57"/>
      <c r="AQ322" s="59" t="str">
        <f t="shared" si="112"/>
        <v/>
      </c>
      <c r="AR322" s="57"/>
      <c r="AS322" s="57"/>
      <c r="AT322" s="59" t="str">
        <f t="shared" si="113"/>
        <v/>
      </c>
    </row>
    <row r="323" spans="1:46">
      <c r="A323" s="24" t="s">
        <v>792</v>
      </c>
      <c r="B323" s="26" t="s">
        <v>165</v>
      </c>
      <c r="C323" s="26" t="s">
        <v>444</v>
      </c>
      <c r="D323" s="50">
        <v>9.4600000000000009</v>
      </c>
      <c r="E323" s="51" t="s">
        <v>294</v>
      </c>
      <c r="F323" s="50">
        <v>9.4600000000000009</v>
      </c>
      <c r="G323" s="52" t="s">
        <v>348</v>
      </c>
      <c r="H323" s="50">
        <v>9.4600000000000009</v>
      </c>
      <c r="I323" s="53">
        <v>9.4499999999999993</v>
      </c>
      <c r="J323" s="50">
        <v>9.4499999999999993</v>
      </c>
      <c r="K323" s="53">
        <v>10.25</v>
      </c>
      <c r="L323" s="50">
        <v>9.4499999999999993</v>
      </c>
      <c r="M323" s="57">
        <v>7.1180555555555554E-3</v>
      </c>
      <c r="N323" s="55">
        <v>6.7708333333333336E-3</v>
      </c>
      <c r="O323" s="57">
        <v>6.782407407407408E-3</v>
      </c>
      <c r="P323" s="57"/>
      <c r="Q323" s="59">
        <f>IF(MIN(IF(ISBLANK(O323),N323,O323),IF(ISBLANK(N323),O323,N323))=0,"",MIN(IF(ISBLANK(O323),N323,O323),IF(ISBLANK(N323),O323,N323)))</f>
        <v>6.7708333333333336E-3</v>
      </c>
      <c r="R323" s="57"/>
      <c r="S323" s="57" t="s">
        <v>594</v>
      </c>
      <c r="T323" s="59">
        <f>IF(MIN(IF(ISBLANK(R323),Q323,R323),IF(ISBLANK(Q323),R323,Q323))=0,"",MIN(IF(ISBLANK(R323),Q323,R323),IF(ISBLANK(Q323),R323,Q323)))</f>
        <v>6.7708333333333336E-3</v>
      </c>
      <c r="U323" s="57">
        <v>8.1018518518518514E-3</v>
      </c>
      <c r="V323" s="57"/>
      <c r="W323" s="59">
        <f>IF(MIN(IF(ISBLANK(U323),T323,U323),IF(ISBLANK(T323),U323,T323))=0,"",MIN(IF(ISBLANK(U323),T323,U323),IF(ISBLANK(T323),U323,T323)))</f>
        <v>6.7708333333333336E-3</v>
      </c>
      <c r="X323" s="57">
        <v>6.9212962962962969E-3</v>
      </c>
      <c r="Y323" s="57"/>
      <c r="Z323" s="59">
        <f>IF(MIN(IF(ISBLANK(X323),W323,X323),IF(ISBLANK(W323),X323,W323))=0,"",MIN(IF(ISBLANK(X323),W323,X323),IF(ISBLANK(W323),X323,W323)))</f>
        <v>6.7708333333333336E-3</v>
      </c>
      <c r="AA323" s="57">
        <v>7.0717592592592594E-3</v>
      </c>
      <c r="AB323" s="57"/>
      <c r="AC323" s="59">
        <f>IF(MIN(IF(ISBLANK(Z323),AA323,Z323),IF(ISBLANK(AA323),Z323,AA323))=0,"",MIN(IF(ISBLANK(Z323),AA323,Z323),IF(ISBLANK(AA323),Z323,AA323)))</f>
        <v>6.7708333333333336E-3</v>
      </c>
      <c r="AD323" s="57">
        <v>7.013888888888889E-3</v>
      </c>
      <c r="AE323" s="57"/>
      <c r="AF323" s="59">
        <f>IF(MIN(IF(ISBLANK(AC323),AD323,AC323),IF(ISBLANK(AD323),AC323,AD323))=0,"",MIN(IF(ISBLANK(AC323),AD323,AC323),IF(ISBLANK(AD323),AC323,AD323)))</f>
        <v>6.7708333333333336E-3</v>
      </c>
      <c r="AG323" s="57"/>
      <c r="AH323" s="57"/>
      <c r="AI323" s="59">
        <f>IF(MIN(IF(ISBLANK(AF323),AG323,AF323),IF(ISBLANK(AG323),AF323,AG323))=0,"",MIN(IF(ISBLANK(AF323),AG323,AF323),IF(ISBLANK(AG323),AF323,AG323)))</f>
        <v>6.7708333333333336E-3</v>
      </c>
      <c r="AJ323" s="57">
        <v>7.4768518518518526E-3</v>
      </c>
      <c r="AK323" s="57"/>
      <c r="AL323" s="59">
        <f t="shared" si="129"/>
        <v>6.7708333333333336E-3</v>
      </c>
      <c r="AM323" s="57">
        <v>7.951388888888888E-3</v>
      </c>
      <c r="AN323" s="57"/>
      <c r="AO323" s="59">
        <f t="shared" si="128"/>
        <v>6.7708333333333336E-3</v>
      </c>
      <c r="AP323" s="57">
        <v>7.5578703703703702E-3</v>
      </c>
      <c r="AQ323" s="59">
        <f t="shared" si="112"/>
        <v>6.7708333333333336E-3</v>
      </c>
      <c r="AR323" s="57">
        <v>7.2337962962962963E-3</v>
      </c>
      <c r="AS323" s="57"/>
      <c r="AT323" s="59">
        <f t="shared" si="113"/>
        <v>6.7708333333333336E-3</v>
      </c>
    </row>
    <row r="324" spans="1:46" hidden="1">
      <c r="A324" s="24"/>
      <c r="B324" s="26" t="s">
        <v>719</v>
      </c>
      <c r="C324" s="26"/>
      <c r="D324" s="50"/>
      <c r="E324" s="51"/>
      <c r="F324" s="50"/>
      <c r="G324" s="52"/>
      <c r="H324" s="50"/>
      <c r="I324" s="53"/>
      <c r="J324" s="50"/>
      <c r="K324" s="53"/>
      <c r="L324" s="50"/>
      <c r="M324" s="57"/>
      <c r="N324" s="55"/>
      <c r="O324" s="57"/>
      <c r="P324" s="57"/>
      <c r="Q324" s="59"/>
      <c r="R324" s="57"/>
      <c r="S324" s="57"/>
      <c r="T324" s="59"/>
      <c r="U324" s="57"/>
      <c r="V324" s="57"/>
      <c r="W324" s="59"/>
      <c r="X324" s="57"/>
      <c r="Y324" s="57"/>
      <c r="Z324" s="59"/>
      <c r="AA324" s="57"/>
      <c r="AB324" s="57"/>
      <c r="AC324" s="59"/>
      <c r="AD324" s="57">
        <v>5.9722222222222225E-3</v>
      </c>
      <c r="AE324" s="57"/>
      <c r="AF324" s="59">
        <f>IF(MIN(IF(ISBLANK(AC324),AD324,AC324),IF(ISBLANK(AD324),AC324,AD324))=0,"",MIN(IF(ISBLANK(AC324),AD324,AC324),IF(ISBLANK(AD324),AC324,AD324)))</f>
        <v>5.9722222222222225E-3</v>
      </c>
      <c r="AG324" s="57">
        <v>5.5787037037037038E-3</v>
      </c>
      <c r="AH324" s="57"/>
      <c r="AI324" s="59">
        <f>IF(MIN(IF(ISBLANK(AF324),AG324,AF324),IF(ISBLANK(AG324),AF324,AG324))=0,"",MIN(IF(ISBLANK(AF324),AG324,AF324),IF(ISBLANK(AG324),AF324,AG324)))</f>
        <v>5.5787037037037038E-3</v>
      </c>
      <c r="AJ324" s="57"/>
      <c r="AK324" s="57"/>
      <c r="AL324" s="59">
        <f t="shared" si="129"/>
        <v>5.5787037037037038E-3</v>
      </c>
      <c r="AM324" s="57">
        <v>5.3819444444444453E-3</v>
      </c>
      <c r="AN324" s="57"/>
      <c r="AO324" s="59">
        <f t="shared" si="128"/>
        <v>5.3819444444444453E-3</v>
      </c>
      <c r="AP324" s="57"/>
      <c r="AQ324" s="59">
        <f t="shared" si="112"/>
        <v>5.3819444444444453E-3</v>
      </c>
      <c r="AR324" s="57"/>
      <c r="AS324" s="57"/>
      <c r="AT324" s="59">
        <f t="shared" si="113"/>
        <v>5.3819444444444453E-3</v>
      </c>
    </row>
    <row r="325" spans="1:46" hidden="1">
      <c r="A325" s="24"/>
      <c r="B325" s="26" t="s">
        <v>794</v>
      </c>
      <c r="C325" s="26"/>
      <c r="D325" s="50"/>
      <c r="E325" s="51"/>
      <c r="F325" s="50"/>
      <c r="G325" s="52"/>
      <c r="H325" s="50"/>
      <c r="I325" s="53"/>
      <c r="J325" s="50"/>
      <c r="K325" s="53"/>
      <c r="L325" s="50"/>
      <c r="M325" s="57"/>
      <c r="N325" s="55"/>
      <c r="O325" s="57"/>
      <c r="P325" s="57"/>
      <c r="Q325" s="59"/>
      <c r="R325" s="57"/>
      <c r="S325" s="57"/>
      <c r="T325" s="59"/>
      <c r="U325" s="57"/>
      <c r="V325" s="57"/>
      <c r="W325" s="59"/>
      <c r="X325" s="57"/>
      <c r="Y325" s="57"/>
      <c r="Z325" s="59"/>
      <c r="AA325" s="57"/>
      <c r="AB325" s="57"/>
      <c r="AC325" s="59"/>
      <c r="AD325" s="57"/>
      <c r="AE325" s="57"/>
      <c r="AF325" s="59"/>
      <c r="AG325" s="57"/>
      <c r="AH325" s="57"/>
      <c r="AI325" s="59"/>
      <c r="AJ325" s="57">
        <v>5.8101851851851856E-3</v>
      </c>
      <c r="AK325" s="57"/>
      <c r="AL325" s="59">
        <f t="shared" si="129"/>
        <v>5.8101851851851856E-3</v>
      </c>
      <c r="AM325" s="57"/>
      <c r="AN325" s="57"/>
      <c r="AO325" s="59">
        <f t="shared" si="128"/>
        <v>5.8101851851851856E-3</v>
      </c>
      <c r="AP325" s="57"/>
      <c r="AQ325" s="59">
        <f t="shared" si="112"/>
        <v>5.8101851851851856E-3</v>
      </c>
      <c r="AR325" s="57"/>
      <c r="AS325" s="57"/>
      <c r="AT325" s="59">
        <f t="shared" si="113"/>
        <v>5.8101851851851856E-3</v>
      </c>
    </row>
    <row r="326" spans="1:46" hidden="1">
      <c r="A326" s="24"/>
      <c r="B326" s="26" t="s">
        <v>172</v>
      </c>
      <c r="C326" s="26" t="s">
        <v>443</v>
      </c>
      <c r="D326" s="50"/>
      <c r="E326" s="51"/>
      <c r="F326" s="50" t="s">
        <v>448</v>
      </c>
      <c r="G326" s="52"/>
      <c r="H326" s="50"/>
      <c r="I326" s="53"/>
      <c r="J326" s="50" t="s">
        <v>448</v>
      </c>
      <c r="K326" s="53"/>
      <c r="L326" s="50"/>
      <c r="M326" s="57"/>
      <c r="N326" s="55"/>
      <c r="O326" s="57"/>
      <c r="P326" s="57"/>
      <c r="Q326" s="59" t="str">
        <f>IF(MIN(IF(ISBLANK(O326),N326,O326),IF(ISBLANK(N326),O326,N326))=0,"",MIN(IF(ISBLANK(O326),N326,O326),IF(ISBLANK(N326),O326,N326)))</f>
        <v/>
      </c>
      <c r="R326" s="57"/>
      <c r="S326" s="57"/>
      <c r="T326" s="59" t="str">
        <f>IF(MIN(IF(ISBLANK(R326),Q326,R326),IF(ISBLANK(Q326),R326,Q326))=0,"",MIN(IF(ISBLANK(R326),Q326,R326),IF(ISBLANK(Q326),R326,Q326)))</f>
        <v/>
      </c>
      <c r="U326" s="57"/>
      <c r="V326" s="57"/>
      <c r="W326" s="59" t="str">
        <f>IF(MIN(IF(ISBLANK(U326),T326,U326),IF(ISBLANK(T326),U326,T326))=0,"",MIN(IF(ISBLANK(U326),T326,U326),IF(ISBLANK(T326),U326,T326)))</f>
        <v/>
      </c>
      <c r="X326" s="57"/>
      <c r="Y326" s="57"/>
      <c r="Z326" s="59" t="str">
        <f>IF(MIN(IF(ISBLANK(X326),W326,X326),IF(ISBLANK(W326),X326,W326))=0,"",MIN(IF(ISBLANK(X326),W326,X326),IF(ISBLANK(W326),X326,W326)))</f>
        <v/>
      </c>
      <c r="AA326" s="57"/>
      <c r="AB326" s="57"/>
      <c r="AC326" s="59" t="str">
        <f>IF(MIN(IF(ISBLANK(Z326),AA326,Z326),IF(ISBLANK(AA326),Z326,AA326))=0,"",MIN(IF(ISBLANK(Z326),AA326,Z326),IF(ISBLANK(AA326),Z326,AA326)))</f>
        <v/>
      </c>
      <c r="AD326" s="57"/>
      <c r="AE326" s="57"/>
      <c r="AF326" s="59" t="str">
        <f>IF(MIN(IF(ISBLANK(AC326),AD326,AC326),IF(ISBLANK(AD326),AC326,AD326))=0,"",MIN(IF(ISBLANK(AC326),AD326,AC326),IF(ISBLANK(AD326),AC326,AD326)))</f>
        <v/>
      </c>
      <c r="AG326" s="57"/>
      <c r="AH326" s="57"/>
      <c r="AI326" s="59" t="str">
        <f>IF(MIN(IF(ISBLANK(AF326),AG326,AF326),IF(ISBLANK(AG326),AF326,AG326))=0,"",MIN(IF(ISBLANK(AF326),AG326,AF326),IF(ISBLANK(AG326),AF326,AG326)))</f>
        <v/>
      </c>
      <c r="AJ326" s="57"/>
      <c r="AK326" s="57"/>
      <c r="AL326" s="59" t="str">
        <f t="shared" si="129"/>
        <v/>
      </c>
      <c r="AM326" s="57"/>
      <c r="AN326" s="57"/>
      <c r="AO326" s="59" t="str">
        <f t="shared" si="128"/>
        <v/>
      </c>
      <c r="AP326" s="57"/>
      <c r="AQ326" s="59" t="str">
        <f t="shared" si="112"/>
        <v/>
      </c>
      <c r="AR326" s="57"/>
      <c r="AS326" s="57"/>
      <c r="AT326" s="59" t="str">
        <f t="shared" si="113"/>
        <v/>
      </c>
    </row>
    <row r="327" spans="1:46">
      <c r="A327" s="24" t="s">
        <v>792</v>
      </c>
      <c r="B327" s="26" t="s">
        <v>886</v>
      </c>
      <c r="C327" s="26"/>
      <c r="D327" s="50"/>
      <c r="E327" s="51"/>
      <c r="F327" s="50"/>
      <c r="G327" s="52"/>
      <c r="H327" s="50"/>
      <c r="I327" s="53"/>
      <c r="J327" s="50"/>
      <c r="K327" s="53"/>
      <c r="L327" s="50"/>
      <c r="M327" s="57"/>
      <c r="N327" s="55"/>
      <c r="O327" s="57"/>
      <c r="P327" s="57"/>
      <c r="Q327" s="59"/>
      <c r="R327" s="57"/>
      <c r="S327" s="57"/>
      <c r="T327" s="59"/>
      <c r="U327" s="57"/>
      <c r="V327" s="57"/>
      <c r="W327" s="59"/>
      <c r="X327" s="57"/>
      <c r="Y327" s="57"/>
      <c r="Z327" s="59"/>
      <c r="AA327" s="57"/>
      <c r="AB327" s="57"/>
      <c r="AC327" s="59"/>
      <c r="AD327" s="57"/>
      <c r="AE327" s="57"/>
      <c r="AF327" s="59"/>
      <c r="AG327" s="57"/>
      <c r="AH327" s="57"/>
      <c r="AI327" s="59"/>
      <c r="AJ327" s="57"/>
      <c r="AK327" s="57"/>
      <c r="AL327" s="59"/>
      <c r="AM327" s="57"/>
      <c r="AN327" s="57"/>
      <c r="AO327" s="59"/>
      <c r="AP327" s="57">
        <v>7.0254629629629634E-3</v>
      </c>
      <c r="AQ327" s="59">
        <f t="shared" si="112"/>
        <v>7.0254629629629634E-3</v>
      </c>
      <c r="AR327" s="57"/>
      <c r="AS327" s="57"/>
      <c r="AT327" s="59">
        <f t="shared" si="113"/>
        <v>7.0254629629629634E-3</v>
      </c>
    </row>
    <row r="328" spans="1:46" hidden="1">
      <c r="A328" s="24"/>
      <c r="B328" s="26" t="s">
        <v>736</v>
      </c>
      <c r="C328" s="26"/>
      <c r="D328" s="50"/>
      <c r="E328" s="51"/>
      <c r="F328" s="50"/>
      <c r="G328" s="52"/>
      <c r="H328" s="50"/>
      <c r="I328" s="53"/>
      <c r="J328" s="50"/>
      <c r="K328" s="53"/>
      <c r="L328" s="50"/>
      <c r="M328" s="57"/>
      <c r="N328" s="55"/>
      <c r="O328" s="57"/>
      <c r="P328" s="57"/>
      <c r="Q328" s="59"/>
      <c r="R328" s="57"/>
      <c r="S328" s="57"/>
      <c r="T328" s="59"/>
      <c r="U328" s="57"/>
      <c r="V328" s="57"/>
      <c r="W328" s="59"/>
      <c r="X328" s="57"/>
      <c r="Y328" s="57"/>
      <c r="Z328" s="59"/>
      <c r="AA328" s="57"/>
      <c r="AB328" s="57"/>
      <c r="AC328" s="59"/>
      <c r="AD328" s="57"/>
      <c r="AE328" s="57"/>
      <c r="AF328" s="59" t="str">
        <f>IF(MIN(IF(ISBLANK(AC328),AD328,AC328),IF(ISBLANK(AD328),AC328,AD328))=0,"",MIN(IF(ISBLANK(AC328),AD328,AC328),IF(ISBLANK(AD328),AC328,AD328)))</f>
        <v/>
      </c>
      <c r="AG328" s="57">
        <v>6.851851851851852E-3</v>
      </c>
      <c r="AH328" s="57"/>
      <c r="AI328" s="59">
        <f>IF(MIN(IF(ISBLANK(AF328),AG328,AF328),IF(ISBLANK(AG328),AF328,AG328))=0,"",MIN(IF(ISBLANK(AF328),AG328,AF328),IF(ISBLANK(AG328),AF328,AG328)))</f>
        <v>6.851851851851852E-3</v>
      </c>
      <c r="AJ328" s="57"/>
      <c r="AK328" s="57"/>
      <c r="AL328" s="59">
        <f>IF(MIN(IF(ISBLANK(AI328),AJ328,AI328),IF(ISBLANK(AJ328),AI328,AJ328))=0,"",MIN(IF(ISBLANK(AI328),AJ328,AI328),IF(ISBLANK(AJ328),AI328,AJ328)))</f>
        <v>6.851851851851852E-3</v>
      </c>
      <c r="AM328" s="57"/>
      <c r="AN328" s="57"/>
      <c r="AO328" s="59">
        <f>IF(MIN(IF(ISBLANK(AL328),AM328,AL328),IF(ISBLANK(AM328),AL328,AM328))=0,"",MIN(IF(ISBLANK(AL328),AM328,AL328),IF(ISBLANK(AM328),AL328,AM328)))</f>
        <v>6.851851851851852E-3</v>
      </c>
      <c r="AP328" s="57"/>
      <c r="AQ328" s="59">
        <f t="shared" si="112"/>
        <v>6.851851851851852E-3</v>
      </c>
      <c r="AR328" s="57"/>
      <c r="AS328" s="57"/>
      <c r="AT328" s="59">
        <f t="shared" si="113"/>
        <v>6.851851851851852E-3</v>
      </c>
    </row>
    <row r="329" spans="1:46" hidden="1">
      <c r="A329" s="24"/>
      <c r="B329" s="26" t="s">
        <v>179</v>
      </c>
      <c r="C329" s="26" t="s">
        <v>443</v>
      </c>
      <c r="D329" s="50">
        <v>8.5500000000000007</v>
      </c>
      <c r="E329" s="51"/>
      <c r="F329" s="50">
        <v>8.5500000000000007</v>
      </c>
      <c r="G329" s="52" t="s">
        <v>297</v>
      </c>
      <c r="H329" s="50">
        <v>8.5500000000000007</v>
      </c>
      <c r="I329" s="53"/>
      <c r="J329" s="50">
        <v>8.5500000000000007</v>
      </c>
      <c r="K329" s="53">
        <v>9.24</v>
      </c>
      <c r="L329" s="50">
        <v>8.5500000000000007</v>
      </c>
      <c r="M329" s="57"/>
      <c r="N329" s="55">
        <v>6.1921296296296299E-3</v>
      </c>
      <c r="O329" s="57"/>
      <c r="P329" s="57"/>
      <c r="Q329" s="59">
        <f>IF(MIN(IF(ISBLANK(O329),N329,O329),IF(ISBLANK(N329),O329,N329))=0,"",MIN(IF(ISBLANK(O329),N329,O329),IF(ISBLANK(N329),O329,N329)))</f>
        <v>6.1921296296296299E-3</v>
      </c>
      <c r="R329" s="57"/>
      <c r="S329" s="57"/>
      <c r="T329" s="59">
        <f>IF(MIN(IF(ISBLANK(R329),Q329,R329),IF(ISBLANK(Q329),R329,Q329))=0,"",MIN(IF(ISBLANK(R329),Q329,R329),IF(ISBLANK(Q329),R329,Q329)))</f>
        <v>6.1921296296296299E-3</v>
      </c>
      <c r="U329" s="57"/>
      <c r="V329" s="57"/>
      <c r="W329" s="59">
        <f>IF(MIN(IF(ISBLANK(U329),T329,U329),IF(ISBLANK(T329),U329,T329))=0,"",MIN(IF(ISBLANK(U329),T329,U329),IF(ISBLANK(T329),U329,T329)))</f>
        <v>6.1921296296296299E-3</v>
      </c>
      <c r="X329" s="57"/>
      <c r="Y329" s="57"/>
      <c r="Z329" s="59">
        <f>IF(MIN(IF(ISBLANK(X329),W329,X329),IF(ISBLANK(W329),X329,W329))=0,"",MIN(IF(ISBLANK(X329),W329,X329),IF(ISBLANK(W329),X329,W329)))</f>
        <v>6.1921296296296299E-3</v>
      </c>
      <c r="AA329" s="57"/>
      <c r="AB329" s="57"/>
      <c r="AC329" s="59">
        <f>IF(MIN(IF(ISBLANK(Z329),AA329,Z329),IF(ISBLANK(AA329),Z329,AA329))=0,"",MIN(IF(ISBLANK(Z329),AA329,Z329),IF(ISBLANK(AA329),Z329,AA329)))</f>
        <v>6.1921296296296299E-3</v>
      </c>
      <c r="AD329" s="57"/>
      <c r="AE329" s="57"/>
      <c r="AF329" s="59">
        <f>IF(MIN(IF(ISBLANK(AC329),AD329,AC329),IF(ISBLANK(AD329),AC329,AD329))=0,"",MIN(IF(ISBLANK(AC329),AD329,AC329),IF(ISBLANK(AD329),AC329,AD329)))</f>
        <v>6.1921296296296299E-3</v>
      </c>
      <c r="AG329" s="57"/>
      <c r="AH329" s="57"/>
      <c r="AI329" s="59">
        <f>IF(MIN(IF(ISBLANK(AF329),AG329,AF329),IF(ISBLANK(AG329),AF329,AG329))=0,"",MIN(IF(ISBLANK(AF329),AG329,AF329),IF(ISBLANK(AG329),AF329,AG329)))</f>
        <v>6.1921296296296299E-3</v>
      </c>
      <c r="AJ329" s="57"/>
      <c r="AK329" s="57"/>
      <c r="AL329" s="59">
        <f>IF(MIN(IF(ISBLANK(AI329),AJ329,AI329),IF(ISBLANK(AJ329),AI329,AJ329))=0,"",MIN(IF(ISBLANK(AI329),AJ329,AI329),IF(ISBLANK(AJ329),AI329,AJ329)))</f>
        <v>6.1921296296296299E-3</v>
      </c>
      <c r="AM329" s="57"/>
      <c r="AN329" s="57"/>
      <c r="AO329" s="59">
        <f>IF(MIN(IF(ISBLANK(AL329),AM329,AL329),IF(ISBLANK(AM329),AL329,AM329))=0,"",MIN(IF(ISBLANK(AL329),AM329,AL329),IF(ISBLANK(AM329),AL329,AM329)))</f>
        <v>6.1921296296296299E-3</v>
      </c>
      <c r="AP329" s="57"/>
      <c r="AQ329" s="59">
        <f t="shared" si="112"/>
        <v>6.1921296296296299E-3</v>
      </c>
      <c r="AR329" s="57"/>
      <c r="AS329" s="57"/>
      <c r="AT329" s="59">
        <f t="shared" si="113"/>
        <v>6.1921296296296299E-3</v>
      </c>
    </row>
    <row r="330" spans="1:46" hidden="1">
      <c r="A330" s="24"/>
      <c r="B330" s="26" t="s">
        <v>233</v>
      </c>
      <c r="C330" s="26" t="s">
        <v>443</v>
      </c>
      <c r="D330" s="50">
        <v>7.12</v>
      </c>
      <c r="E330" s="51" t="s">
        <v>295</v>
      </c>
      <c r="F330" s="50">
        <v>7.04</v>
      </c>
      <c r="G330" s="52"/>
      <c r="H330" s="50">
        <v>7.04</v>
      </c>
      <c r="I330" s="53"/>
      <c r="J330" s="50">
        <v>7.04</v>
      </c>
      <c r="K330" s="53"/>
      <c r="L330" s="50">
        <v>7.04</v>
      </c>
      <c r="M330" s="57"/>
      <c r="N330" s="55">
        <v>4.9074074074074072E-3</v>
      </c>
      <c r="O330" s="57"/>
      <c r="P330" s="57"/>
      <c r="Q330" s="59">
        <f>IF(MIN(IF(ISBLANK(O330),N330,O330),IF(ISBLANK(N330),O330,N330))=0,"",MIN(IF(ISBLANK(O330),N330,O330),IF(ISBLANK(N330),O330,N330)))</f>
        <v>4.9074074074074072E-3</v>
      </c>
      <c r="R330" s="57">
        <v>5.0347222222222225E-3</v>
      </c>
      <c r="S330" s="57"/>
      <c r="T330" s="59">
        <f>IF(MIN(IF(ISBLANK(R330),Q330,R330),IF(ISBLANK(Q330),R330,Q330))=0,"",MIN(IF(ISBLANK(R330),Q330,R330),IF(ISBLANK(Q330),R330,Q330)))</f>
        <v>4.9074074074074072E-3</v>
      </c>
      <c r="U330" s="57"/>
      <c r="V330" s="57"/>
      <c r="W330" s="59">
        <f>IF(MIN(IF(ISBLANK(U330),T330,U330),IF(ISBLANK(T330),U330,T330))=0,"",MIN(IF(ISBLANK(U330),T330,U330),IF(ISBLANK(T330),U330,T330)))</f>
        <v>4.9074074074074072E-3</v>
      </c>
      <c r="X330" s="57"/>
      <c r="Y330" s="57"/>
      <c r="Z330" s="59">
        <f>IF(MIN(IF(ISBLANK(X330),W330,X330),IF(ISBLANK(W330),X330,W330))=0,"",MIN(IF(ISBLANK(X330),W330,X330),IF(ISBLANK(W330),X330,W330)))</f>
        <v>4.9074074074074072E-3</v>
      </c>
      <c r="AA330" s="57"/>
      <c r="AB330" s="57"/>
      <c r="AC330" s="59">
        <f>IF(MIN(IF(ISBLANK(Z330),AA330,Z330),IF(ISBLANK(AA330),Z330,AA330))=0,"",MIN(IF(ISBLANK(Z330),AA330,Z330),IF(ISBLANK(AA330),Z330,AA330)))</f>
        <v>4.9074074074074072E-3</v>
      </c>
      <c r="AD330" s="57"/>
      <c r="AE330" s="57"/>
      <c r="AF330" s="59">
        <f>IF(MIN(IF(ISBLANK(AC330),AD330,AC330),IF(ISBLANK(AD330),AC330,AD330))=0,"",MIN(IF(ISBLANK(AC330),AD330,AC330),IF(ISBLANK(AD330),AC330,AD330)))</f>
        <v>4.9074074074074072E-3</v>
      </c>
      <c r="AG330" s="57"/>
      <c r="AH330" s="57"/>
      <c r="AI330" s="59">
        <f>IF(MIN(IF(ISBLANK(AF330),AG330,AF330),IF(ISBLANK(AG330),AF330,AG330))=0,"",MIN(IF(ISBLANK(AF330),AG330,AF330),IF(ISBLANK(AG330),AF330,AG330)))</f>
        <v>4.9074074074074072E-3</v>
      </c>
      <c r="AJ330" s="57"/>
      <c r="AK330" s="57"/>
      <c r="AL330" s="59">
        <f>IF(MIN(IF(ISBLANK(AI330),AJ330,AI330),IF(ISBLANK(AJ330),AI330,AJ330))=0,"",MIN(IF(ISBLANK(AI330),AJ330,AI330),IF(ISBLANK(AJ330),AI330,AJ330)))</f>
        <v>4.9074074074074072E-3</v>
      </c>
      <c r="AM330" s="57"/>
      <c r="AN330" s="57"/>
      <c r="AO330" s="59">
        <f>IF(MIN(IF(ISBLANK(AL330),AM330,AL330),IF(ISBLANK(AM330),AL330,AM330))=0,"",MIN(IF(ISBLANK(AL330),AM330,AL330),IF(ISBLANK(AM330),AL330,AM330)))</f>
        <v>4.9074074074074072E-3</v>
      </c>
      <c r="AP330" s="57"/>
      <c r="AQ330" s="59">
        <f t="shared" si="112"/>
        <v>4.9074074074074072E-3</v>
      </c>
      <c r="AR330" s="57"/>
      <c r="AS330" s="57"/>
      <c r="AT330" s="59">
        <f t="shared" si="113"/>
        <v>4.9074074074074072E-3</v>
      </c>
    </row>
    <row r="331" spans="1:46" hidden="1">
      <c r="A331" s="24"/>
      <c r="B331" s="26" t="s">
        <v>610</v>
      </c>
      <c r="C331" s="26"/>
      <c r="D331" s="50"/>
      <c r="E331" s="51"/>
      <c r="F331" s="50"/>
      <c r="G331" s="52"/>
      <c r="H331" s="50"/>
      <c r="I331" s="53"/>
      <c r="J331" s="50"/>
      <c r="K331" s="53"/>
      <c r="L331" s="50"/>
      <c r="M331" s="57"/>
      <c r="N331" s="55"/>
      <c r="O331" s="57"/>
      <c r="P331" s="57"/>
      <c r="Q331" s="59"/>
      <c r="R331" s="57"/>
      <c r="S331" s="57"/>
      <c r="T331" s="59" t="str">
        <f>IF(MIN(IF(ISBLANK(R331),Q331,R331),IF(ISBLANK(Q331),R331,Q331))=0,"",MIN(IF(ISBLANK(R331),Q331,R331),IF(ISBLANK(Q331),R331,Q331)))</f>
        <v/>
      </c>
      <c r="U331" s="57"/>
      <c r="V331" s="57"/>
      <c r="W331" s="59" t="str">
        <f>IF(MIN(IF(ISBLANK(U331),T331,U331),IF(ISBLANK(T331),U331,T331))=0,"",MIN(IF(ISBLANK(U331),T331,U331),IF(ISBLANK(T331),U331,T331)))</f>
        <v/>
      </c>
      <c r="X331" s="57">
        <v>6.6203703703703702E-3</v>
      </c>
      <c r="Y331" s="57"/>
      <c r="Z331" s="59">
        <f>IF(MIN(IF(ISBLANK(X331),W331,X331),IF(ISBLANK(W331),X331,W331))=0,"",MIN(IF(ISBLANK(X331),W331,X331),IF(ISBLANK(W331),X331,W331)))</f>
        <v>6.6203703703703702E-3</v>
      </c>
      <c r="AA331" s="57">
        <v>6.828703703703704E-3</v>
      </c>
      <c r="AB331" s="57"/>
      <c r="AC331" s="59">
        <f>IF(MIN(IF(ISBLANK(Z331),AA331,Z331),IF(ISBLANK(AA331),Z331,AA331))=0,"",MIN(IF(ISBLANK(Z331),AA331,Z331),IF(ISBLANK(AA331),Z331,AA331)))</f>
        <v>6.6203703703703702E-3</v>
      </c>
      <c r="AD331" s="57">
        <v>7.0949074074074074E-3</v>
      </c>
      <c r="AE331" s="57"/>
      <c r="AF331" s="59">
        <f>IF(MIN(IF(ISBLANK(AC331),AD331,AC331),IF(ISBLANK(AD331),AC331,AD331))=0,"",MIN(IF(ISBLANK(AC331),AD331,AC331),IF(ISBLANK(AD331),AC331,AD331)))</f>
        <v>6.6203703703703702E-3</v>
      </c>
      <c r="AG331" s="57"/>
      <c r="AH331" s="57"/>
      <c r="AI331" s="59">
        <f>IF(MIN(IF(ISBLANK(AF331),AG331,AF331),IF(ISBLANK(AG331),AF331,AG331))=0,"",MIN(IF(ISBLANK(AF331),AG331,AF331),IF(ISBLANK(AG331),AF331,AG331)))</f>
        <v>6.6203703703703702E-3</v>
      </c>
      <c r="AJ331" s="57"/>
      <c r="AK331" s="57"/>
      <c r="AL331" s="59">
        <f>IF(MIN(IF(ISBLANK(AI331),AJ331,AI331),IF(ISBLANK(AJ331),AI331,AJ331))=0,"",MIN(IF(ISBLANK(AI331),AJ331,AI331),IF(ISBLANK(AJ331),AI331,AJ331)))</f>
        <v>6.6203703703703702E-3</v>
      </c>
      <c r="AM331" s="57"/>
      <c r="AN331" s="57"/>
      <c r="AO331" s="59">
        <f>IF(MIN(IF(ISBLANK(AL331),AM331,AL331),IF(ISBLANK(AM331),AL331,AM331))=0,"",MIN(IF(ISBLANK(AL331),AM331,AL331),IF(ISBLANK(AM331),AL331,AM331)))</f>
        <v>6.6203703703703702E-3</v>
      </c>
      <c r="AP331" s="57"/>
      <c r="AQ331" s="59">
        <f t="shared" ref="AQ331:AQ394" si="130">IF(MIN(IF(ISBLANK(AO331),AP331,AO331),IF(ISBLANK(AP331),AO331,AP331))=0,"",MIN(IF(ISBLANK(AO331),AP331,AO331),IF(ISBLANK(AP331),AO331,AP331)))</f>
        <v>6.6203703703703702E-3</v>
      </c>
      <c r="AR331" s="57"/>
      <c r="AS331" s="57"/>
      <c r="AT331" s="59">
        <f t="shared" ref="AT331:AT394" si="131">IF(MIN(IF(ISBLANK(AQ331),AR331,AQ331),IF(ISBLANK(AR331),AQ331,AR331))=0,"",MIN(IF(ISBLANK(AQ331),AR331,AQ331),IF(ISBLANK(AR331),AQ331,AR331)))</f>
        <v>6.6203703703703702E-3</v>
      </c>
    </row>
    <row r="332" spans="1:46" hidden="1">
      <c r="A332" s="24"/>
      <c r="B332" s="26" t="s">
        <v>517</v>
      </c>
      <c r="C332" s="26"/>
      <c r="D332" s="50"/>
      <c r="E332" s="51"/>
      <c r="F332" s="50"/>
      <c r="G332" s="52"/>
      <c r="H332" s="50"/>
      <c r="I332" s="53"/>
      <c r="J332" s="50"/>
      <c r="K332" s="53"/>
      <c r="L332" s="50"/>
      <c r="M332" s="57">
        <v>7.9629629629629634E-3</v>
      </c>
      <c r="N332" s="55">
        <v>7.9629629629629634E-3</v>
      </c>
      <c r="O332" s="57">
        <v>7.0601851851851841E-3</v>
      </c>
      <c r="P332" s="57"/>
      <c r="Q332" s="59">
        <f>IF(MIN(IF(ISBLANK(O332),N332,O332),IF(ISBLANK(N332),O332,N332))=0,"",MIN(IF(ISBLANK(O332),N332,O332),IF(ISBLANK(N332),O332,N332)))</f>
        <v>7.0601851851851841E-3</v>
      </c>
      <c r="R332" s="57"/>
      <c r="S332" s="57"/>
      <c r="T332" s="59">
        <f>IF(MIN(IF(ISBLANK(R332),Q332,R332),IF(ISBLANK(Q332),R332,Q332))=0,"",MIN(IF(ISBLANK(R332),Q332,R332),IF(ISBLANK(Q332),R332,Q332)))</f>
        <v>7.0601851851851841E-3</v>
      </c>
      <c r="U332" s="57"/>
      <c r="V332" s="57"/>
      <c r="W332" s="59">
        <f>IF(MIN(IF(ISBLANK(U332),T332,U332),IF(ISBLANK(T332),U332,T332))=0,"",MIN(IF(ISBLANK(U332),T332,U332),IF(ISBLANK(T332),U332,T332)))</f>
        <v>7.0601851851851841E-3</v>
      </c>
      <c r="X332" s="57"/>
      <c r="Y332" s="57"/>
      <c r="Z332" s="59">
        <f>IF(MIN(IF(ISBLANK(X332),W332,X332),IF(ISBLANK(W332),X332,W332))=0,"",MIN(IF(ISBLANK(X332),W332,X332),IF(ISBLANK(W332),X332,W332)))</f>
        <v>7.0601851851851841E-3</v>
      </c>
      <c r="AA332" s="57"/>
      <c r="AB332" s="57"/>
      <c r="AC332" s="59">
        <f>IF(MIN(IF(ISBLANK(Z332),AA332,Z332),IF(ISBLANK(AA332),Z332,AA332))=0,"",MIN(IF(ISBLANK(Z332),AA332,Z332),IF(ISBLANK(AA332),Z332,AA332)))</f>
        <v>7.0601851851851841E-3</v>
      </c>
      <c r="AD332" s="57"/>
      <c r="AE332" s="57"/>
      <c r="AF332" s="59">
        <f>IF(MIN(IF(ISBLANK(AC332),AD332,AC332),IF(ISBLANK(AD332),AC332,AD332))=0,"",MIN(IF(ISBLANK(AC332),AD332,AC332),IF(ISBLANK(AD332),AC332,AD332)))</f>
        <v>7.0601851851851841E-3</v>
      </c>
      <c r="AG332" s="57"/>
      <c r="AH332" s="57"/>
      <c r="AI332" s="59">
        <f>IF(MIN(IF(ISBLANK(AF332),AG332,AF332),IF(ISBLANK(AG332),AF332,AG332))=0,"",MIN(IF(ISBLANK(AF332),AG332,AF332),IF(ISBLANK(AG332),AF332,AG332)))</f>
        <v>7.0601851851851841E-3</v>
      </c>
      <c r="AJ332" s="57"/>
      <c r="AK332" s="57"/>
      <c r="AL332" s="59">
        <f>IF(MIN(IF(ISBLANK(AI332),AJ332,AI332),IF(ISBLANK(AJ332),AI332,AJ332))=0,"",MIN(IF(ISBLANK(AI332),AJ332,AI332),IF(ISBLANK(AJ332),AI332,AJ332)))</f>
        <v>7.0601851851851841E-3</v>
      </c>
      <c r="AM332" s="57"/>
      <c r="AN332" s="57"/>
      <c r="AO332" s="59">
        <f>IF(MIN(IF(ISBLANK(AL332),AM332,AL332),IF(ISBLANK(AM332),AL332,AM332))=0,"",MIN(IF(ISBLANK(AL332),AM332,AL332),IF(ISBLANK(AM332),AL332,AM332)))</f>
        <v>7.0601851851851841E-3</v>
      </c>
      <c r="AP332" s="57"/>
      <c r="AQ332" s="59">
        <f t="shared" si="130"/>
        <v>7.0601851851851841E-3</v>
      </c>
      <c r="AR332" s="57"/>
      <c r="AS332" s="57"/>
      <c r="AT332" s="59">
        <f t="shared" si="131"/>
        <v>7.0601851851851841E-3</v>
      </c>
    </row>
    <row r="333" spans="1:46">
      <c r="A333" s="24" t="s">
        <v>792</v>
      </c>
      <c r="B333" s="26" t="s">
        <v>854</v>
      </c>
      <c r="C333" s="26"/>
      <c r="D333" s="50"/>
      <c r="E333" s="51"/>
      <c r="F333" s="50"/>
      <c r="G333" s="52"/>
      <c r="H333" s="50"/>
      <c r="I333" s="53"/>
      <c r="J333" s="50"/>
      <c r="K333" s="53"/>
      <c r="L333" s="50"/>
      <c r="M333" s="57"/>
      <c r="N333" s="55"/>
      <c r="O333" s="57"/>
      <c r="P333" s="57"/>
      <c r="Q333" s="59"/>
      <c r="R333" s="57"/>
      <c r="S333" s="57"/>
      <c r="T333" s="59"/>
      <c r="U333" s="57"/>
      <c r="V333" s="57"/>
      <c r="W333" s="59"/>
      <c r="X333" s="57"/>
      <c r="Y333" s="57"/>
      <c r="Z333" s="59"/>
      <c r="AA333" s="57"/>
      <c r="AB333" s="57"/>
      <c r="AC333" s="59"/>
      <c r="AD333" s="57"/>
      <c r="AE333" s="57"/>
      <c r="AF333" s="59"/>
      <c r="AG333" s="57"/>
      <c r="AH333" s="57"/>
      <c r="AI333" s="59"/>
      <c r="AJ333" s="57"/>
      <c r="AK333" s="57"/>
      <c r="AL333" s="59"/>
      <c r="AM333" s="57"/>
      <c r="AN333" s="57"/>
      <c r="AO333" s="59"/>
      <c r="AP333" s="57"/>
      <c r="AQ333" s="59" t="str">
        <f t="shared" si="130"/>
        <v/>
      </c>
      <c r="AR333" s="57"/>
      <c r="AS333" s="57"/>
      <c r="AT333" s="59" t="str">
        <f t="shared" si="131"/>
        <v/>
      </c>
    </row>
    <row r="334" spans="1:46" hidden="1">
      <c r="A334" s="24"/>
      <c r="B334" s="26" t="s">
        <v>642</v>
      </c>
      <c r="C334" s="26"/>
      <c r="D334" s="50"/>
      <c r="E334" s="51"/>
      <c r="F334" s="50"/>
      <c r="G334" s="52"/>
      <c r="H334" s="50"/>
      <c r="I334" s="53"/>
      <c r="J334" s="50"/>
      <c r="K334" s="53"/>
      <c r="L334" s="50"/>
      <c r="M334" s="57"/>
      <c r="N334" s="55"/>
      <c r="O334" s="57"/>
      <c r="P334" s="57"/>
      <c r="Q334" s="59"/>
      <c r="R334" s="57"/>
      <c r="S334" s="57"/>
      <c r="T334" s="59"/>
      <c r="U334" s="57"/>
      <c r="V334" s="57"/>
      <c r="W334" s="59"/>
      <c r="X334" s="57">
        <v>7.4652777777777781E-3</v>
      </c>
      <c r="Y334" s="57"/>
      <c r="Z334" s="59">
        <f t="shared" ref="Z334:Z341" si="132">IF(MIN(IF(ISBLANK(X334),W334,X334),IF(ISBLANK(W334),X334,W334))=0,"",MIN(IF(ISBLANK(X334),W334,X334),IF(ISBLANK(W334),X334,W334)))</f>
        <v>7.4652777777777781E-3</v>
      </c>
      <c r="AA334" s="57"/>
      <c r="AB334" s="57"/>
      <c r="AC334" s="59">
        <f t="shared" ref="AC334:AC341" si="133">IF(MIN(IF(ISBLANK(Z334),AA334,Z334),IF(ISBLANK(AA334),Z334,AA334))=0,"",MIN(IF(ISBLANK(Z334),AA334,Z334),IF(ISBLANK(AA334),Z334,AA334)))</f>
        <v>7.4652777777777781E-3</v>
      </c>
      <c r="AD334" s="57"/>
      <c r="AE334" s="57"/>
      <c r="AF334" s="59">
        <f t="shared" ref="AF334:AF341" si="134">IF(MIN(IF(ISBLANK(AC334),AD334,AC334),IF(ISBLANK(AD334),AC334,AD334))=0,"",MIN(IF(ISBLANK(AC334),AD334,AC334),IF(ISBLANK(AD334),AC334,AD334)))</f>
        <v>7.4652777777777781E-3</v>
      </c>
      <c r="AG334" s="57"/>
      <c r="AH334" s="57"/>
      <c r="AI334" s="59">
        <f t="shared" ref="AI334:AI357" si="135">IF(MIN(IF(ISBLANK(AF334),AG334,AF334),IF(ISBLANK(AG334),AF334,AG334))=0,"",MIN(IF(ISBLANK(AF334),AG334,AF334),IF(ISBLANK(AG334),AF334,AG334)))</f>
        <v>7.4652777777777781E-3</v>
      </c>
      <c r="AJ334" s="57"/>
      <c r="AK334" s="57"/>
      <c r="AL334" s="59">
        <f t="shared" ref="AL334:AL357" si="136">IF(MIN(IF(ISBLANK(AI334),AJ334,AI334),IF(ISBLANK(AJ334),AI334,AJ334))=0,"",MIN(IF(ISBLANK(AI334),AJ334,AI334),IF(ISBLANK(AJ334),AI334,AJ334)))</f>
        <v>7.4652777777777781E-3</v>
      </c>
      <c r="AM334" s="57"/>
      <c r="AN334" s="57"/>
      <c r="AO334" s="59">
        <f t="shared" ref="AO334:AO357" si="137">IF(MIN(IF(ISBLANK(AL334),AM334,AL334),IF(ISBLANK(AM334),AL334,AM334))=0,"",MIN(IF(ISBLANK(AL334),AM334,AL334),IF(ISBLANK(AM334),AL334,AM334)))</f>
        <v>7.4652777777777781E-3</v>
      </c>
      <c r="AP334" s="57"/>
      <c r="AQ334" s="59">
        <f t="shared" si="130"/>
        <v>7.4652777777777781E-3</v>
      </c>
      <c r="AR334" s="57"/>
      <c r="AS334" s="57"/>
      <c r="AT334" s="59">
        <f t="shared" si="131"/>
        <v>7.4652777777777781E-3</v>
      </c>
    </row>
    <row r="335" spans="1:46" hidden="1">
      <c r="A335" s="24"/>
      <c r="B335" s="26" t="s">
        <v>184</v>
      </c>
      <c r="C335" s="26" t="s">
        <v>444</v>
      </c>
      <c r="D335" s="50"/>
      <c r="E335" s="51"/>
      <c r="F335" s="50" t="s">
        <v>448</v>
      </c>
      <c r="G335" s="52"/>
      <c r="H335" s="50"/>
      <c r="I335" s="53"/>
      <c r="J335" s="50" t="s">
        <v>448</v>
      </c>
      <c r="K335" s="53"/>
      <c r="L335" s="50"/>
      <c r="M335" s="57"/>
      <c r="N335" s="55"/>
      <c r="O335" s="57"/>
      <c r="P335" s="57"/>
      <c r="Q335" s="59" t="str">
        <f>IF(MIN(IF(ISBLANK(O335),N335,O335),IF(ISBLANK(N335),O335,N335))=0,"",MIN(IF(ISBLANK(O335),N335,O335),IF(ISBLANK(N335),O335,N335)))</f>
        <v/>
      </c>
      <c r="R335" s="57"/>
      <c r="S335" s="57"/>
      <c r="T335" s="59" t="str">
        <f>IF(MIN(IF(ISBLANK(R335),Q335,R335),IF(ISBLANK(Q335),R335,Q335))=0,"",MIN(IF(ISBLANK(R335),Q335,R335),IF(ISBLANK(Q335),R335,Q335)))</f>
        <v/>
      </c>
      <c r="U335" s="57"/>
      <c r="V335" s="57"/>
      <c r="W335" s="59" t="str">
        <f>IF(MIN(IF(ISBLANK(U335),T335,U335),IF(ISBLANK(T335),U335,T335))=0,"",MIN(IF(ISBLANK(U335),T335,U335),IF(ISBLANK(T335),U335,T335)))</f>
        <v/>
      </c>
      <c r="X335" s="57"/>
      <c r="Y335" s="57"/>
      <c r="Z335" s="59" t="str">
        <f t="shared" si="132"/>
        <v/>
      </c>
      <c r="AA335" s="57"/>
      <c r="AB335" s="57"/>
      <c r="AC335" s="59" t="str">
        <f t="shared" si="133"/>
        <v/>
      </c>
      <c r="AD335" s="57"/>
      <c r="AE335" s="57"/>
      <c r="AF335" s="59" t="str">
        <f t="shared" si="134"/>
        <v/>
      </c>
      <c r="AG335" s="57"/>
      <c r="AH335" s="57"/>
      <c r="AI335" s="59" t="str">
        <f t="shared" si="135"/>
        <v/>
      </c>
      <c r="AJ335" s="57"/>
      <c r="AK335" s="57"/>
      <c r="AL335" s="59" t="str">
        <f t="shared" si="136"/>
        <v/>
      </c>
      <c r="AM335" s="57"/>
      <c r="AN335" s="57"/>
      <c r="AO335" s="59" t="str">
        <f t="shared" si="137"/>
        <v/>
      </c>
      <c r="AP335" s="57"/>
      <c r="AQ335" s="59" t="str">
        <f t="shared" si="130"/>
        <v/>
      </c>
      <c r="AR335" s="57"/>
      <c r="AS335" s="57"/>
      <c r="AT335" s="59" t="str">
        <f t="shared" si="131"/>
        <v/>
      </c>
    </row>
    <row r="336" spans="1:46" hidden="1">
      <c r="A336" s="24"/>
      <c r="B336" s="26" t="s">
        <v>643</v>
      </c>
      <c r="C336" s="26"/>
      <c r="D336" s="50"/>
      <c r="E336" s="51"/>
      <c r="F336" s="50"/>
      <c r="G336" s="52"/>
      <c r="H336" s="50"/>
      <c r="I336" s="53"/>
      <c r="J336" s="50"/>
      <c r="K336" s="53"/>
      <c r="L336" s="50"/>
      <c r="M336" s="57"/>
      <c r="N336" s="55"/>
      <c r="O336" s="57"/>
      <c r="P336" s="57"/>
      <c r="Q336" s="59"/>
      <c r="R336" s="57"/>
      <c r="S336" s="57"/>
      <c r="T336" s="59"/>
      <c r="U336" s="57"/>
      <c r="V336" s="57"/>
      <c r="W336" s="59"/>
      <c r="X336" s="57"/>
      <c r="Y336" s="57"/>
      <c r="Z336" s="59" t="str">
        <f t="shared" si="132"/>
        <v/>
      </c>
      <c r="AA336" s="57"/>
      <c r="AB336" s="57"/>
      <c r="AC336" s="59" t="str">
        <f t="shared" si="133"/>
        <v/>
      </c>
      <c r="AD336" s="57"/>
      <c r="AE336" s="57"/>
      <c r="AF336" s="59" t="str">
        <f t="shared" si="134"/>
        <v/>
      </c>
      <c r="AG336" s="57"/>
      <c r="AH336" s="57"/>
      <c r="AI336" s="59" t="str">
        <f t="shared" si="135"/>
        <v/>
      </c>
      <c r="AJ336" s="57"/>
      <c r="AK336" s="57"/>
      <c r="AL336" s="59" t="str">
        <f t="shared" si="136"/>
        <v/>
      </c>
      <c r="AM336" s="57"/>
      <c r="AN336" s="57"/>
      <c r="AO336" s="59" t="str">
        <f t="shared" si="137"/>
        <v/>
      </c>
      <c r="AP336" s="57"/>
      <c r="AQ336" s="59" t="str">
        <f t="shared" si="130"/>
        <v/>
      </c>
      <c r="AR336" s="57"/>
      <c r="AS336" s="57"/>
      <c r="AT336" s="59" t="str">
        <f t="shared" si="131"/>
        <v/>
      </c>
    </row>
    <row r="337" spans="1:46" hidden="1">
      <c r="A337" s="24"/>
      <c r="B337" s="26" t="s">
        <v>342</v>
      </c>
      <c r="C337" s="26" t="s">
        <v>444</v>
      </c>
      <c r="D337" s="50"/>
      <c r="E337" s="51"/>
      <c r="F337" s="50" t="s">
        <v>448</v>
      </c>
      <c r="G337" s="52"/>
      <c r="H337" s="50"/>
      <c r="I337" s="53"/>
      <c r="J337" s="50" t="s">
        <v>448</v>
      </c>
      <c r="K337" s="53"/>
      <c r="L337" s="50"/>
      <c r="M337" s="57"/>
      <c r="N337" s="55"/>
      <c r="O337" s="57"/>
      <c r="P337" s="57"/>
      <c r="Q337" s="59" t="str">
        <f>IF(MIN(IF(ISBLANK(O337),N337,O337),IF(ISBLANK(N337),O337,N337))=0,"",MIN(IF(ISBLANK(O337),N337,O337),IF(ISBLANK(N337),O337,N337)))</f>
        <v/>
      </c>
      <c r="R337" s="57"/>
      <c r="S337" s="57"/>
      <c r="T337" s="59" t="str">
        <f>IF(MIN(IF(ISBLANK(R337),Q337,R337),IF(ISBLANK(Q337),R337,Q337))=0,"",MIN(IF(ISBLANK(R337),Q337,R337),IF(ISBLANK(Q337),R337,Q337)))</f>
        <v/>
      </c>
      <c r="U337" s="57"/>
      <c r="V337" s="57"/>
      <c r="W337" s="59" t="str">
        <f>IF(MIN(IF(ISBLANK(U337),T337,U337),IF(ISBLANK(T337),U337,T337))=0,"",MIN(IF(ISBLANK(U337),T337,U337),IF(ISBLANK(T337),U337,T337)))</f>
        <v/>
      </c>
      <c r="X337" s="57"/>
      <c r="Y337" s="57"/>
      <c r="Z337" s="59" t="str">
        <f t="shared" si="132"/>
        <v/>
      </c>
      <c r="AA337" s="57"/>
      <c r="AB337" s="57"/>
      <c r="AC337" s="59" t="str">
        <f t="shared" si="133"/>
        <v/>
      </c>
      <c r="AD337" s="57"/>
      <c r="AE337" s="57"/>
      <c r="AF337" s="59" t="str">
        <f t="shared" si="134"/>
        <v/>
      </c>
      <c r="AG337" s="57"/>
      <c r="AH337" s="57"/>
      <c r="AI337" s="59" t="str">
        <f t="shared" si="135"/>
        <v/>
      </c>
      <c r="AJ337" s="57"/>
      <c r="AK337" s="57"/>
      <c r="AL337" s="59" t="str">
        <f t="shared" si="136"/>
        <v/>
      </c>
      <c r="AM337" s="57"/>
      <c r="AN337" s="57"/>
      <c r="AO337" s="59" t="str">
        <f t="shared" si="137"/>
        <v/>
      </c>
      <c r="AP337" s="57"/>
      <c r="AQ337" s="59" t="str">
        <f t="shared" si="130"/>
        <v/>
      </c>
      <c r="AR337" s="57"/>
      <c r="AS337" s="57"/>
      <c r="AT337" s="59" t="str">
        <f t="shared" si="131"/>
        <v/>
      </c>
    </row>
    <row r="338" spans="1:46">
      <c r="A338" s="24" t="s">
        <v>792</v>
      </c>
      <c r="B338" s="26" t="s">
        <v>190</v>
      </c>
      <c r="C338" s="26"/>
      <c r="D338" s="50">
        <v>8.2100000000000009</v>
      </c>
      <c r="E338" s="51"/>
      <c r="F338" s="50">
        <v>8.2100000000000009</v>
      </c>
      <c r="G338" s="52"/>
      <c r="H338" s="50">
        <v>8.2100000000000009</v>
      </c>
      <c r="I338" s="53"/>
      <c r="J338" s="50">
        <v>8.2100000000000009</v>
      </c>
      <c r="K338" s="53"/>
      <c r="L338" s="50">
        <v>8.2100000000000009</v>
      </c>
      <c r="M338" s="57"/>
      <c r="N338" s="55">
        <v>5.7986111111111112E-3</v>
      </c>
      <c r="O338" s="57"/>
      <c r="P338" s="57"/>
      <c r="Q338" s="59">
        <f>IF(MIN(IF(ISBLANK(O338),N338,O338),IF(ISBLANK(N338),O338,N338))=0,"",MIN(IF(ISBLANK(O338),N338,O338),IF(ISBLANK(N338),O338,N338)))</f>
        <v>5.7986111111111112E-3</v>
      </c>
      <c r="R338" s="57"/>
      <c r="S338" s="57"/>
      <c r="T338" s="59">
        <f>IF(MIN(IF(ISBLANK(R338),Q338,R338),IF(ISBLANK(Q338),R338,Q338))=0,"",MIN(IF(ISBLANK(R338),Q338,R338),IF(ISBLANK(Q338),R338,Q338)))</f>
        <v>5.7986111111111112E-3</v>
      </c>
      <c r="U338" s="57"/>
      <c r="V338" s="57"/>
      <c r="W338" s="59">
        <f>IF(MIN(IF(ISBLANK(U338),T338,U338),IF(ISBLANK(T338),U338,T338))=0,"",MIN(IF(ISBLANK(U338),T338,U338),IF(ISBLANK(T338),U338,T338)))</f>
        <v>5.7986111111111112E-3</v>
      </c>
      <c r="X338" s="57"/>
      <c r="Y338" s="57"/>
      <c r="Z338" s="59">
        <f t="shared" si="132"/>
        <v>5.7986111111111112E-3</v>
      </c>
      <c r="AA338" s="57"/>
      <c r="AB338" s="57"/>
      <c r="AC338" s="59">
        <f t="shared" si="133"/>
        <v>5.7986111111111112E-3</v>
      </c>
      <c r="AD338" s="57"/>
      <c r="AE338" s="57"/>
      <c r="AF338" s="59">
        <f t="shared" si="134"/>
        <v>5.7986111111111112E-3</v>
      </c>
      <c r="AG338" s="57"/>
      <c r="AH338" s="57"/>
      <c r="AI338" s="59">
        <f t="shared" si="135"/>
        <v>5.7986111111111112E-3</v>
      </c>
      <c r="AJ338" s="57"/>
      <c r="AK338" s="57"/>
      <c r="AL338" s="59">
        <f t="shared" si="136"/>
        <v>5.7986111111111112E-3</v>
      </c>
      <c r="AM338" s="57"/>
      <c r="AN338" s="57"/>
      <c r="AO338" s="59">
        <f t="shared" si="137"/>
        <v>5.7986111111111112E-3</v>
      </c>
      <c r="AP338" s="57"/>
      <c r="AQ338" s="59">
        <f t="shared" si="130"/>
        <v>5.7986111111111112E-3</v>
      </c>
      <c r="AR338" s="57"/>
      <c r="AS338" s="57"/>
      <c r="AT338" s="59">
        <f t="shared" si="131"/>
        <v>5.7986111111111112E-3</v>
      </c>
    </row>
    <row r="339" spans="1:46" hidden="1">
      <c r="A339" s="24"/>
      <c r="B339" s="26" t="s">
        <v>247</v>
      </c>
      <c r="C339" s="26"/>
      <c r="D339" s="50"/>
      <c r="E339" s="51"/>
      <c r="F339" s="50" t="s">
        <v>448</v>
      </c>
      <c r="G339" s="52"/>
      <c r="H339" s="50"/>
      <c r="I339" s="53"/>
      <c r="J339" s="50" t="s">
        <v>448</v>
      </c>
      <c r="K339" s="53"/>
      <c r="L339" s="50"/>
      <c r="M339" s="57"/>
      <c r="N339" s="55"/>
      <c r="O339" s="57"/>
      <c r="P339" s="57"/>
      <c r="Q339" s="59" t="str">
        <f>IF(MIN(IF(ISBLANK(O339),N339,O339),IF(ISBLANK(N339),O339,N339))=0,"",MIN(IF(ISBLANK(O339),N339,O339),IF(ISBLANK(N339),O339,N339)))</f>
        <v/>
      </c>
      <c r="R339" s="57"/>
      <c r="S339" s="57"/>
      <c r="T339" s="59" t="str">
        <f>IF(MIN(IF(ISBLANK(R339),Q339,R339),IF(ISBLANK(Q339),R339,Q339))=0,"",MIN(IF(ISBLANK(R339),Q339,R339),IF(ISBLANK(Q339),R339,Q339)))</f>
        <v/>
      </c>
      <c r="U339" s="57"/>
      <c r="V339" s="57"/>
      <c r="W339" s="59" t="str">
        <f>IF(MIN(IF(ISBLANK(U339),T339,U339),IF(ISBLANK(T339),U339,T339))=0,"",MIN(IF(ISBLANK(U339),T339,U339),IF(ISBLANK(T339),U339,T339)))</f>
        <v/>
      </c>
      <c r="X339" s="57"/>
      <c r="Y339" s="57"/>
      <c r="Z339" s="59" t="str">
        <f t="shared" si="132"/>
        <v/>
      </c>
      <c r="AA339" s="57"/>
      <c r="AB339" s="57"/>
      <c r="AC339" s="59" t="str">
        <f t="shared" si="133"/>
        <v/>
      </c>
      <c r="AD339" s="57"/>
      <c r="AE339" s="57"/>
      <c r="AF339" s="59" t="str">
        <f t="shared" si="134"/>
        <v/>
      </c>
      <c r="AG339" s="57"/>
      <c r="AH339" s="57"/>
      <c r="AI339" s="59" t="str">
        <f t="shared" si="135"/>
        <v/>
      </c>
      <c r="AJ339" s="57"/>
      <c r="AK339" s="57"/>
      <c r="AL339" s="59" t="str">
        <f t="shared" si="136"/>
        <v/>
      </c>
      <c r="AM339" s="57"/>
      <c r="AN339" s="57"/>
      <c r="AO339" s="59" t="str">
        <f t="shared" si="137"/>
        <v/>
      </c>
      <c r="AP339" s="57"/>
      <c r="AQ339" s="59" t="str">
        <f t="shared" si="130"/>
        <v/>
      </c>
      <c r="AR339" s="57"/>
      <c r="AS339" s="57"/>
      <c r="AT339" s="59" t="str">
        <f t="shared" si="131"/>
        <v/>
      </c>
    </row>
    <row r="340" spans="1:46" hidden="1">
      <c r="A340" s="24"/>
      <c r="B340" s="26" t="s">
        <v>197</v>
      </c>
      <c r="C340" s="26" t="s">
        <v>444</v>
      </c>
      <c r="D340" s="50">
        <v>7.18</v>
      </c>
      <c r="E340" s="51"/>
      <c r="F340" s="50">
        <v>7.18</v>
      </c>
      <c r="G340" s="52"/>
      <c r="H340" s="50">
        <v>7.18</v>
      </c>
      <c r="I340" s="53"/>
      <c r="J340" s="50">
        <v>7.18</v>
      </c>
      <c r="K340" s="53"/>
      <c r="L340" s="50">
        <v>7.18</v>
      </c>
      <c r="M340" s="57"/>
      <c r="N340" s="55">
        <v>5.0694444444444441E-3</v>
      </c>
      <c r="O340" s="57"/>
      <c r="P340" s="57"/>
      <c r="Q340" s="59">
        <f>IF(MIN(IF(ISBLANK(O340),N340,O340),IF(ISBLANK(N340),O340,N340))=0,"",MIN(IF(ISBLANK(O340),N340,O340),IF(ISBLANK(N340),O340,N340)))</f>
        <v>5.0694444444444441E-3</v>
      </c>
      <c r="R340" s="57"/>
      <c r="S340" s="57"/>
      <c r="T340" s="59">
        <f>IF(MIN(IF(ISBLANK(R340),Q340,R340),IF(ISBLANK(Q340),R340,Q340))=0,"",MIN(IF(ISBLANK(R340),Q340,R340),IF(ISBLANK(Q340),R340,Q340)))</f>
        <v>5.0694444444444441E-3</v>
      </c>
      <c r="U340" s="57"/>
      <c r="V340" s="57"/>
      <c r="W340" s="59">
        <f>IF(MIN(IF(ISBLANK(U340),T340,U340),IF(ISBLANK(T340),U340,T340))=0,"",MIN(IF(ISBLANK(U340),T340,U340),IF(ISBLANK(T340),U340,T340)))</f>
        <v>5.0694444444444441E-3</v>
      </c>
      <c r="X340" s="57"/>
      <c r="Y340" s="57"/>
      <c r="Z340" s="59">
        <f t="shared" si="132"/>
        <v>5.0694444444444441E-3</v>
      </c>
      <c r="AA340" s="57"/>
      <c r="AB340" s="57"/>
      <c r="AC340" s="59">
        <f t="shared" si="133"/>
        <v>5.0694444444444441E-3</v>
      </c>
      <c r="AD340" s="57"/>
      <c r="AE340" s="57"/>
      <c r="AF340" s="59">
        <f t="shared" si="134"/>
        <v>5.0694444444444441E-3</v>
      </c>
      <c r="AG340" s="57"/>
      <c r="AH340" s="57"/>
      <c r="AI340" s="59">
        <f t="shared" si="135"/>
        <v>5.0694444444444441E-3</v>
      </c>
      <c r="AJ340" s="57"/>
      <c r="AK340" s="57"/>
      <c r="AL340" s="59">
        <f t="shared" si="136"/>
        <v>5.0694444444444441E-3</v>
      </c>
      <c r="AM340" s="57"/>
      <c r="AN340" s="57"/>
      <c r="AO340" s="59">
        <f t="shared" si="137"/>
        <v>5.0694444444444441E-3</v>
      </c>
      <c r="AP340" s="57"/>
      <c r="AQ340" s="59">
        <f t="shared" si="130"/>
        <v>5.0694444444444441E-3</v>
      </c>
      <c r="AR340" s="57"/>
      <c r="AS340" s="57"/>
      <c r="AT340" s="59">
        <f t="shared" si="131"/>
        <v>5.0694444444444441E-3</v>
      </c>
    </row>
    <row r="341" spans="1:46" hidden="1">
      <c r="A341" s="24"/>
      <c r="B341" s="26" t="s">
        <v>202</v>
      </c>
      <c r="C341" s="26" t="s">
        <v>444</v>
      </c>
      <c r="D341" s="50"/>
      <c r="E341" s="51"/>
      <c r="F341" s="50" t="s">
        <v>448</v>
      </c>
      <c r="G341" s="52"/>
      <c r="H341" s="50"/>
      <c r="I341" s="53"/>
      <c r="J341" s="50" t="s">
        <v>448</v>
      </c>
      <c r="K341" s="53"/>
      <c r="L341" s="50"/>
      <c r="M341" s="57"/>
      <c r="N341" s="55"/>
      <c r="O341" s="57"/>
      <c r="P341" s="57"/>
      <c r="Q341" s="59" t="str">
        <f>IF(MIN(IF(ISBLANK(O341),N341,O341),IF(ISBLANK(N341),O341,N341))=0,"",MIN(IF(ISBLANK(O341),N341,O341),IF(ISBLANK(N341),O341,N341)))</f>
        <v/>
      </c>
      <c r="R341" s="57"/>
      <c r="S341" s="57"/>
      <c r="T341" s="59" t="str">
        <f>IF(MIN(IF(ISBLANK(R341),Q341,R341),IF(ISBLANK(Q341),R341,Q341))=0,"",MIN(IF(ISBLANK(R341),Q341,R341),IF(ISBLANK(Q341),R341,Q341)))</f>
        <v/>
      </c>
      <c r="U341" s="57"/>
      <c r="V341" s="57"/>
      <c r="W341" s="59" t="str">
        <f>IF(MIN(IF(ISBLANK(U341),T341,U341),IF(ISBLANK(T341),U341,T341))=0,"",MIN(IF(ISBLANK(U341),T341,U341),IF(ISBLANK(T341),U341,T341)))</f>
        <v/>
      </c>
      <c r="X341" s="57"/>
      <c r="Y341" s="57"/>
      <c r="Z341" s="59" t="str">
        <f t="shared" si="132"/>
        <v/>
      </c>
      <c r="AA341" s="57"/>
      <c r="AB341" s="57"/>
      <c r="AC341" s="59" t="str">
        <f t="shared" si="133"/>
        <v/>
      </c>
      <c r="AD341" s="57"/>
      <c r="AE341" s="57"/>
      <c r="AF341" s="59" t="str">
        <f t="shared" si="134"/>
        <v/>
      </c>
      <c r="AG341" s="57"/>
      <c r="AH341" s="57"/>
      <c r="AI341" s="59" t="str">
        <f t="shared" si="135"/>
        <v/>
      </c>
      <c r="AJ341" s="57"/>
      <c r="AK341" s="57"/>
      <c r="AL341" s="59" t="str">
        <f t="shared" si="136"/>
        <v/>
      </c>
      <c r="AM341" s="57"/>
      <c r="AN341" s="57"/>
      <c r="AO341" s="59" t="str">
        <f t="shared" si="137"/>
        <v/>
      </c>
      <c r="AP341" s="57"/>
      <c r="AQ341" s="59" t="str">
        <f t="shared" si="130"/>
        <v/>
      </c>
      <c r="AR341" s="57"/>
      <c r="AS341" s="57"/>
      <c r="AT341" s="59" t="str">
        <f t="shared" si="131"/>
        <v/>
      </c>
    </row>
    <row r="342" spans="1:46" hidden="1">
      <c r="A342" s="24"/>
      <c r="B342" s="26" t="s">
        <v>775</v>
      </c>
      <c r="C342" s="26"/>
      <c r="D342" s="50"/>
      <c r="E342" s="51"/>
      <c r="F342" s="50"/>
      <c r="G342" s="52"/>
      <c r="H342" s="50"/>
      <c r="I342" s="53"/>
      <c r="J342" s="50"/>
      <c r="K342" s="53"/>
      <c r="L342" s="50"/>
      <c r="M342" s="57"/>
      <c r="N342" s="55"/>
      <c r="O342" s="57"/>
      <c r="P342" s="57"/>
      <c r="Q342" s="59"/>
      <c r="R342" s="57"/>
      <c r="S342" s="57"/>
      <c r="T342" s="59"/>
      <c r="U342" s="57"/>
      <c r="V342" s="57"/>
      <c r="W342" s="59"/>
      <c r="X342" s="57"/>
      <c r="Y342" s="57"/>
      <c r="Z342" s="59"/>
      <c r="AA342" s="57"/>
      <c r="AB342" s="57"/>
      <c r="AC342" s="59"/>
      <c r="AD342" s="57"/>
      <c r="AE342" s="57"/>
      <c r="AF342" s="59"/>
      <c r="AG342" s="57">
        <v>6.5856481481481469E-3</v>
      </c>
      <c r="AH342" s="57"/>
      <c r="AI342" s="59">
        <f t="shared" si="135"/>
        <v>6.5856481481481469E-3</v>
      </c>
      <c r="AJ342" s="57"/>
      <c r="AK342" s="57"/>
      <c r="AL342" s="59">
        <f t="shared" si="136"/>
        <v>6.5856481481481469E-3</v>
      </c>
      <c r="AM342" s="57"/>
      <c r="AN342" s="57"/>
      <c r="AO342" s="59">
        <f t="shared" si="137"/>
        <v>6.5856481481481469E-3</v>
      </c>
      <c r="AP342" s="57"/>
      <c r="AQ342" s="59">
        <f t="shared" si="130"/>
        <v>6.5856481481481469E-3</v>
      </c>
      <c r="AR342" s="57"/>
      <c r="AS342" s="57"/>
      <c r="AT342" s="59">
        <f t="shared" si="131"/>
        <v>6.5856481481481469E-3</v>
      </c>
    </row>
    <row r="343" spans="1:46" hidden="1">
      <c r="A343" s="24"/>
      <c r="B343" s="26" t="s">
        <v>748</v>
      </c>
      <c r="C343" s="26"/>
      <c r="D343" s="50"/>
      <c r="E343" s="51"/>
      <c r="F343" s="50"/>
      <c r="G343" s="52"/>
      <c r="H343" s="50"/>
      <c r="I343" s="53"/>
      <c r="J343" s="50"/>
      <c r="K343" s="53"/>
      <c r="L343" s="50"/>
      <c r="M343" s="57"/>
      <c r="N343" s="55"/>
      <c r="O343" s="57"/>
      <c r="P343" s="57"/>
      <c r="Q343" s="59"/>
      <c r="R343" s="57"/>
      <c r="S343" s="57"/>
      <c r="T343" s="59"/>
      <c r="U343" s="57"/>
      <c r="V343" s="57"/>
      <c r="W343" s="59"/>
      <c r="X343" s="57"/>
      <c r="Y343" s="57"/>
      <c r="Z343" s="59"/>
      <c r="AA343" s="57"/>
      <c r="AB343" s="57"/>
      <c r="AC343" s="59"/>
      <c r="AD343" s="57"/>
      <c r="AE343" s="57"/>
      <c r="AF343" s="59" t="str">
        <f t="shared" ref="AF343:AF357" si="138">IF(MIN(IF(ISBLANK(AC343),AD343,AC343),IF(ISBLANK(AD343),AC343,AD343))=0,"",MIN(IF(ISBLANK(AC343),AD343,AC343),IF(ISBLANK(AD343),AC343,AD343)))</f>
        <v/>
      </c>
      <c r="AG343" s="57">
        <v>7.69675925925926E-3</v>
      </c>
      <c r="AH343" s="57"/>
      <c r="AI343" s="59">
        <f t="shared" si="135"/>
        <v>7.69675925925926E-3</v>
      </c>
      <c r="AJ343" s="57"/>
      <c r="AK343" s="57"/>
      <c r="AL343" s="59">
        <f t="shared" si="136"/>
        <v>7.69675925925926E-3</v>
      </c>
      <c r="AM343" s="57"/>
      <c r="AN343" s="57"/>
      <c r="AO343" s="59">
        <f t="shared" si="137"/>
        <v>7.69675925925926E-3</v>
      </c>
      <c r="AP343" s="57"/>
      <c r="AQ343" s="59">
        <f t="shared" si="130"/>
        <v>7.69675925925926E-3</v>
      </c>
      <c r="AR343" s="57"/>
      <c r="AS343" s="57"/>
      <c r="AT343" s="59">
        <f t="shared" si="131"/>
        <v>7.69675925925926E-3</v>
      </c>
    </row>
    <row r="344" spans="1:46" hidden="1">
      <c r="A344" s="24"/>
      <c r="B344" s="26" t="s">
        <v>207</v>
      </c>
      <c r="C344" s="26" t="s">
        <v>444</v>
      </c>
      <c r="D344" s="50">
        <v>10.49</v>
      </c>
      <c r="E344" s="51"/>
      <c r="F344" s="50">
        <v>10.49</v>
      </c>
      <c r="G344" s="52"/>
      <c r="H344" s="50">
        <v>10.49</v>
      </c>
      <c r="I344" s="53"/>
      <c r="J344" s="50">
        <v>10.49</v>
      </c>
      <c r="K344" s="53"/>
      <c r="L344" s="50">
        <v>10.49</v>
      </c>
      <c r="M344" s="57"/>
      <c r="N344" s="55">
        <v>7.5115740740740742E-3</v>
      </c>
      <c r="O344" s="57"/>
      <c r="P344" s="57"/>
      <c r="Q344" s="59">
        <f t="shared" ref="Q344:Q355" si="139">IF(MIN(IF(ISBLANK(O344),N344,O344),IF(ISBLANK(N344),O344,N344))=0,"",MIN(IF(ISBLANK(O344),N344,O344),IF(ISBLANK(N344),O344,N344)))</f>
        <v>7.5115740740740742E-3</v>
      </c>
      <c r="R344" s="57"/>
      <c r="S344" s="57"/>
      <c r="T344" s="59">
        <f t="shared" ref="T344:T355" si="140">IF(MIN(IF(ISBLANK(R344),Q344,R344),IF(ISBLANK(Q344),R344,Q344))=0,"",MIN(IF(ISBLANK(R344),Q344,R344),IF(ISBLANK(Q344),R344,Q344)))</f>
        <v>7.5115740740740742E-3</v>
      </c>
      <c r="U344" s="57"/>
      <c r="V344" s="57"/>
      <c r="W344" s="59">
        <f t="shared" ref="W344:W355" si="141">IF(MIN(IF(ISBLANK(U344),T344,U344),IF(ISBLANK(T344),U344,T344))=0,"",MIN(IF(ISBLANK(U344),T344,U344),IF(ISBLANK(T344),U344,T344)))</f>
        <v>7.5115740740740742E-3</v>
      </c>
      <c r="X344" s="57"/>
      <c r="Y344" s="57"/>
      <c r="Z344" s="59">
        <f t="shared" ref="Z344:Z355" si="142">IF(MIN(IF(ISBLANK(X344),W344,X344),IF(ISBLANK(W344),X344,W344))=0,"",MIN(IF(ISBLANK(X344),W344,X344),IF(ISBLANK(W344),X344,W344)))</f>
        <v>7.5115740740740742E-3</v>
      </c>
      <c r="AA344" s="57"/>
      <c r="AB344" s="57"/>
      <c r="AC344" s="59">
        <f t="shared" ref="AC344:AC356" si="143">IF(MIN(IF(ISBLANK(Z344),AA344,Z344),IF(ISBLANK(AA344),Z344,AA344))=0,"",MIN(IF(ISBLANK(Z344),AA344,Z344),IF(ISBLANK(AA344),Z344,AA344)))</f>
        <v>7.5115740740740742E-3</v>
      </c>
      <c r="AD344" s="57"/>
      <c r="AE344" s="57"/>
      <c r="AF344" s="59">
        <f t="shared" si="138"/>
        <v>7.5115740740740742E-3</v>
      </c>
      <c r="AG344" s="57"/>
      <c r="AH344" s="57"/>
      <c r="AI344" s="59">
        <f t="shared" si="135"/>
        <v>7.5115740740740742E-3</v>
      </c>
      <c r="AJ344" s="57"/>
      <c r="AK344" s="57"/>
      <c r="AL344" s="59">
        <f t="shared" si="136"/>
        <v>7.5115740740740742E-3</v>
      </c>
      <c r="AM344" s="57"/>
      <c r="AN344" s="57"/>
      <c r="AO344" s="59">
        <f t="shared" si="137"/>
        <v>7.5115740740740742E-3</v>
      </c>
      <c r="AP344" s="57"/>
      <c r="AQ344" s="59">
        <f t="shared" si="130"/>
        <v>7.5115740740740742E-3</v>
      </c>
      <c r="AR344" s="57"/>
      <c r="AS344" s="57"/>
      <c r="AT344" s="59">
        <f t="shared" si="131"/>
        <v>7.5115740740740742E-3</v>
      </c>
    </row>
    <row r="345" spans="1:46" hidden="1">
      <c r="A345" s="24"/>
      <c r="B345" s="26" t="s">
        <v>213</v>
      </c>
      <c r="C345" s="26" t="s">
        <v>444</v>
      </c>
      <c r="D345" s="50"/>
      <c r="E345" s="51"/>
      <c r="F345" s="50"/>
      <c r="G345" s="52"/>
      <c r="H345" s="50"/>
      <c r="I345" s="53">
        <v>9.5</v>
      </c>
      <c r="J345" s="50" t="s">
        <v>451</v>
      </c>
      <c r="K345" s="53"/>
      <c r="L345" s="50" t="s">
        <v>451</v>
      </c>
      <c r="M345" s="57"/>
      <c r="N345" s="55">
        <v>6.828703703703704E-3</v>
      </c>
      <c r="O345" s="57"/>
      <c r="P345" s="57"/>
      <c r="Q345" s="59">
        <f t="shared" si="139"/>
        <v>6.828703703703704E-3</v>
      </c>
      <c r="R345" s="57"/>
      <c r="S345" s="57"/>
      <c r="T345" s="59">
        <f t="shared" si="140"/>
        <v>6.828703703703704E-3</v>
      </c>
      <c r="U345" s="57">
        <v>6.9560185185185185E-3</v>
      </c>
      <c r="V345" s="57"/>
      <c r="W345" s="59">
        <f t="shared" si="141"/>
        <v>6.828703703703704E-3</v>
      </c>
      <c r="X345" s="57"/>
      <c r="Y345" s="57"/>
      <c r="Z345" s="59">
        <f t="shared" si="142"/>
        <v>6.828703703703704E-3</v>
      </c>
      <c r="AA345" s="57"/>
      <c r="AB345" s="57"/>
      <c r="AC345" s="59">
        <f t="shared" si="143"/>
        <v>6.828703703703704E-3</v>
      </c>
      <c r="AD345" s="57"/>
      <c r="AE345" s="57"/>
      <c r="AF345" s="59">
        <f t="shared" si="138"/>
        <v>6.828703703703704E-3</v>
      </c>
      <c r="AG345" s="57"/>
      <c r="AH345" s="57"/>
      <c r="AI345" s="59">
        <f t="shared" si="135"/>
        <v>6.828703703703704E-3</v>
      </c>
      <c r="AJ345" s="57"/>
      <c r="AK345" s="57"/>
      <c r="AL345" s="59">
        <f t="shared" si="136"/>
        <v>6.828703703703704E-3</v>
      </c>
      <c r="AM345" s="57"/>
      <c r="AN345" s="57"/>
      <c r="AO345" s="59">
        <f t="shared" si="137"/>
        <v>6.828703703703704E-3</v>
      </c>
      <c r="AP345" s="57"/>
      <c r="AQ345" s="59">
        <f t="shared" si="130"/>
        <v>6.828703703703704E-3</v>
      </c>
      <c r="AR345" s="57"/>
      <c r="AS345" s="57"/>
      <c r="AT345" s="59">
        <f t="shared" si="131"/>
        <v>6.828703703703704E-3</v>
      </c>
    </row>
    <row r="346" spans="1:46">
      <c r="A346" s="24" t="s">
        <v>792</v>
      </c>
      <c r="B346" s="26" t="s">
        <v>396</v>
      </c>
      <c r="C346" s="26" t="s">
        <v>444</v>
      </c>
      <c r="D346" s="50"/>
      <c r="E346" s="51"/>
      <c r="F346" s="50"/>
      <c r="G346" s="52"/>
      <c r="H346" s="50"/>
      <c r="I346" s="53"/>
      <c r="J346" s="50" t="s">
        <v>448</v>
      </c>
      <c r="K346" s="53"/>
      <c r="L346" s="50"/>
      <c r="M346" s="57"/>
      <c r="N346" s="55"/>
      <c r="O346" s="57"/>
      <c r="P346" s="57"/>
      <c r="Q346" s="59" t="str">
        <f t="shared" si="139"/>
        <v/>
      </c>
      <c r="R346" s="57"/>
      <c r="S346" s="57"/>
      <c r="T346" s="59" t="str">
        <f t="shared" si="140"/>
        <v/>
      </c>
      <c r="U346" s="57"/>
      <c r="V346" s="57"/>
      <c r="W346" s="59" t="str">
        <f t="shared" si="141"/>
        <v/>
      </c>
      <c r="X346" s="57">
        <v>6.6898148148148142E-3</v>
      </c>
      <c r="Y346" s="57"/>
      <c r="Z346" s="59">
        <f t="shared" si="142"/>
        <v>6.6898148148148142E-3</v>
      </c>
      <c r="AA346" s="57">
        <v>6.6550925925925935E-3</v>
      </c>
      <c r="AB346" s="57"/>
      <c r="AC346" s="59">
        <f t="shared" si="143"/>
        <v>6.6550925925925935E-3</v>
      </c>
      <c r="AD346" s="57"/>
      <c r="AE346" s="57"/>
      <c r="AF346" s="59">
        <f t="shared" si="138"/>
        <v>6.6550925925925935E-3</v>
      </c>
      <c r="AG346" s="57">
        <v>6.5277777777777782E-3</v>
      </c>
      <c r="AH346" s="57"/>
      <c r="AI346" s="59">
        <f t="shared" si="135"/>
        <v>6.5277777777777782E-3</v>
      </c>
      <c r="AJ346" s="57"/>
      <c r="AK346" s="57"/>
      <c r="AL346" s="59">
        <f t="shared" si="136"/>
        <v>6.5277777777777782E-3</v>
      </c>
      <c r="AM346" s="57"/>
      <c r="AN346" s="57"/>
      <c r="AO346" s="59">
        <f t="shared" si="137"/>
        <v>6.5277777777777782E-3</v>
      </c>
      <c r="AP346" s="57"/>
      <c r="AQ346" s="59">
        <f t="shared" si="130"/>
        <v>6.5277777777777782E-3</v>
      </c>
      <c r="AR346" s="57"/>
      <c r="AS346" s="57"/>
      <c r="AT346" s="59">
        <f t="shared" si="131"/>
        <v>6.5277777777777782E-3</v>
      </c>
    </row>
    <row r="347" spans="1:46" hidden="1">
      <c r="A347" s="24"/>
      <c r="B347" s="26" t="s">
        <v>397</v>
      </c>
      <c r="C347" s="26" t="s">
        <v>444</v>
      </c>
      <c r="D347" s="50"/>
      <c r="E347" s="51"/>
      <c r="F347" s="50"/>
      <c r="G347" s="52"/>
      <c r="H347" s="50"/>
      <c r="I347" s="53"/>
      <c r="J347" s="50" t="s">
        <v>448</v>
      </c>
      <c r="K347" s="53"/>
      <c r="L347" s="50"/>
      <c r="M347" s="57"/>
      <c r="N347" s="55"/>
      <c r="O347" s="57"/>
      <c r="P347" s="57"/>
      <c r="Q347" s="59" t="str">
        <f t="shared" si="139"/>
        <v/>
      </c>
      <c r="R347" s="57"/>
      <c r="S347" s="57"/>
      <c r="T347" s="59" t="str">
        <f t="shared" si="140"/>
        <v/>
      </c>
      <c r="U347" s="57"/>
      <c r="V347" s="57"/>
      <c r="W347" s="59" t="str">
        <f t="shared" si="141"/>
        <v/>
      </c>
      <c r="X347" s="57"/>
      <c r="Y347" s="57"/>
      <c r="Z347" s="59" t="str">
        <f t="shared" si="142"/>
        <v/>
      </c>
      <c r="AA347" s="57"/>
      <c r="AB347" s="57"/>
      <c r="AC347" s="59" t="str">
        <f t="shared" si="143"/>
        <v/>
      </c>
      <c r="AD347" s="57"/>
      <c r="AE347" s="57"/>
      <c r="AF347" s="59" t="str">
        <f t="shared" si="138"/>
        <v/>
      </c>
      <c r="AG347" s="57"/>
      <c r="AH347" s="57"/>
      <c r="AI347" s="59" t="str">
        <f t="shared" si="135"/>
        <v/>
      </c>
      <c r="AJ347" s="57"/>
      <c r="AK347" s="57"/>
      <c r="AL347" s="59" t="str">
        <f t="shared" si="136"/>
        <v/>
      </c>
      <c r="AM347" s="57"/>
      <c r="AN347" s="57"/>
      <c r="AO347" s="59" t="str">
        <f t="shared" si="137"/>
        <v/>
      </c>
      <c r="AP347" s="57"/>
      <c r="AQ347" s="59" t="str">
        <f t="shared" si="130"/>
        <v/>
      </c>
      <c r="AR347" s="57"/>
      <c r="AS347" s="57"/>
      <c r="AT347" s="59" t="str">
        <f t="shared" si="131"/>
        <v/>
      </c>
    </row>
    <row r="348" spans="1:46" hidden="1">
      <c r="A348" s="24"/>
      <c r="B348" s="26" t="s">
        <v>228</v>
      </c>
      <c r="C348" s="26" t="s">
        <v>443</v>
      </c>
      <c r="D348" s="50" t="s">
        <v>284</v>
      </c>
      <c r="E348" s="51"/>
      <c r="F348" s="50" t="s">
        <v>284</v>
      </c>
      <c r="G348" s="52"/>
      <c r="H348" s="50" t="s">
        <v>284</v>
      </c>
      <c r="I348" s="53"/>
      <c r="J348" s="50" t="s">
        <v>284</v>
      </c>
      <c r="K348" s="53"/>
      <c r="L348" s="50" t="s">
        <v>284</v>
      </c>
      <c r="M348" s="57"/>
      <c r="N348" s="55">
        <v>5.5555555555555558E-3</v>
      </c>
      <c r="O348" s="57"/>
      <c r="P348" s="57"/>
      <c r="Q348" s="59">
        <f t="shared" si="139"/>
        <v>5.5555555555555558E-3</v>
      </c>
      <c r="R348" s="57"/>
      <c r="S348" s="57"/>
      <c r="T348" s="59">
        <f t="shared" si="140"/>
        <v>5.5555555555555558E-3</v>
      </c>
      <c r="U348" s="57"/>
      <c r="V348" s="57"/>
      <c r="W348" s="59">
        <f t="shared" si="141"/>
        <v>5.5555555555555558E-3</v>
      </c>
      <c r="X348" s="57"/>
      <c r="Y348" s="57"/>
      <c r="Z348" s="59">
        <f t="shared" si="142"/>
        <v>5.5555555555555558E-3</v>
      </c>
      <c r="AA348" s="57"/>
      <c r="AB348" s="57"/>
      <c r="AC348" s="59">
        <f t="shared" si="143"/>
        <v>5.5555555555555558E-3</v>
      </c>
      <c r="AD348" s="57"/>
      <c r="AE348" s="57"/>
      <c r="AF348" s="59">
        <f t="shared" si="138"/>
        <v>5.5555555555555558E-3</v>
      </c>
      <c r="AG348" s="57"/>
      <c r="AH348" s="57"/>
      <c r="AI348" s="59">
        <f t="shared" si="135"/>
        <v>5.5555555555555558E-3</v>
      </c>
      <c r="AJ348" s="57"/>
      <c r="AK348" s="57"/>
      <c r="AL348" s="59">
        <f t="shared" si="136"/>
        <v>5.5555555555555558E-3</v>
      </c>
      <c r="AM348" s="57"/>
      <c r="AN348" s="57"/>
      <c r="AO348" s="59">
        <f t="shared" si="137"/>
        <v>5.5555555555555558E-3</v>
      </c>
      <c r="AP348" s="57"/>
      <c r="AQ348" s="59">
        <f t="shared" si="130"/>
        <v>5.5555555555555558E-3</v>
      </c>
      <c r="AR348" s="57"/>
      <c r="AS348" s="57"/>
      <c r="AT348" s="59">
        <f t="shared" si="131"/>
        <v>5.5555555555555558E-3</v>
      </c>
    </row>
    <row r="349" spans="1:46">
      <c r="A349" s="24" t="s">
        <v>792</v>
      </c>
      <c r="B349" s="26" t="s">
        <v>266</v>
      </c>
      <c r="C349" s="26" t="s">
        <v>443</v>
      </c>
      <c r="D349" s="50">
        <v>7.21</v>
      </c>
      <c r="E349" s="51" t="s">
        <v>296</v>
      </c>
      <c r="F349" s="50">
        <v>7.12</v>
      </c>
      <c r="G349" s="52">
        <v>7.07</v>
      </c>
      <c r="H349" s="50">
        <v>7.07</v>
      </c>
      <c r="I349" s="53">
        <v>6.53</v>
      </c>
      <c r="J349" s="50">
        <v>6.53</v>
      </c>
      <c r="K349" s="53">
        <v>7.05</v>
      </c>
      <c r="L349" s="50">
        <v>6.53</v>
      </c>
      <c r="M349" s="57"/>
      <c r="N349" s="55">
        <v>4.7800925925925919E-3</v>
      </c>
      <c r="O349" s="57">
        <v>5.0578703703703706E-3</v>
      </c>
      <c r="P349" s="57"/>
      <c r="Q349" s="59">
        <f t="shared" si="139"/>
        <v>4.7800925925925919E-3</v>
      </c>
      <c r="R349" s="57">
        <v>4.8379629629629632E-3</v>
      </c>
      <c r="S349" s="57"/>
      <c r="T349" s="59">
        <f t="shared" si="140"/>
        <v>4.7800925925925919E-3</v>
      </c>
      <c r="U349" s="57"/>
      <c r="V349" s="57"/>
      <c r="W349" s="59">
        <f t="shared" si="141"/>
        <v>4.7800925925925919E-3</v>
      </c>
      <c r="X349" s="57"/>
      <c r="Y349" s="57"/>
      <c r="Z349" s="59">
        <f t="shared" si="142"/>
        <v>4.7800925925925919E-3</v>
      </c>
      <c r="AA349" s="57">
        <v>4.7685185185185183E-3</v>
      </c>
      <c r="AB349" s="57"/>
      <c r="AC349" s="59">
        <f t="shared" si="143"/>
        <v>4.7685185185185183E-3</v>
      </c>
      <c r="AD349" s="57"/>
      <c r="AE349" s="57"/>
      <c r="AF349" s="59">
        <f t="shared" si="138"/>
        <v>4.7685185185185183E-3</v>
      </c>
      <c r="AG349" s="57"/>
      <c r="AH349" s="57"/>
      <c r="AI349" s="59">
        <f t="shared" si="135"/>
        <v>4.7685185185185183E-3</v>
      </c>
      <c r="AJ349" s="57">
        <v>5.208333333333333E-3</v>
      </c>
      <c r="AK349" s="57"/>
      <c r="AL349" s="59">
        <f t="shared" si="136"/>
        <v>4.7685185185185183E-3</v>
      </c>
      <c r="AM349" s="57">
        <v>4.8148148148148152E-3</v>
      </c>
      <c r="AN349" s="57"/>
      <c r="AO349" s="59">
        <f t="shared" si="137"/>
        <v>4.7685185185185183E-3</v>
      </c>
      <c r="AP349" s="57">
        <v>4.7222222222222223E-3</v>
      </c>
      <c r="AQ349" s="59">
        <f t="shared" si="130"/>
        <v>4.7222222222222223E-3</v>
      </c>
      <c r="AR349" s="57"/>
      <c r="AS349" s="57"/>
      <c r="AT349" s="59">
        <f t="shared" si="131"/>
        <v>4.7222222222222223E-3</v>
      </c>
    </row>
    <row r="350" spans="1:46" hidden="1">
      <c r="A350" s="24"/>
      <c r="B350" s="26" t="s">
        <v>216</v>
      </c>
      <c r="C350" s="26" t="s">
        <v>443</v>
      </c>
      <c r="D350" s="50">
        <v>6.33</v>
      </c>
      <c r="E350" s="51" t="s">
        <v>286</v>
      </c>
      <c r="F350" s="50">
        <v>6.33</v>
      </c>
      <c r="G350" s="52" t="s">
        <v>345</v>
      </c>
      <c r="H350" s="50">
        <v>6.33</v>
      </c>
      <c r="I350" s="53">
        <v>6.44</v>
      </c>
      <c r="J350" s="50">
        <v>6.33</v>
      </c>
      <c r="K350" s="53">
        <v>6.33</v>
      </c>
      <c r="L350" s="50">
        <v>6.33</v>
      </c>
      <c r="M350" s="57">
        <v>5.0925925925925921E-3</v>
      </c>
      <c r="N350" s="55">
        <v>4.5486111111111109E-3</v>
      </c>
      <c r="O350" s="57">
        <v>4.9768518518518521E-3</v>
      </c>
      <c r="P350" s="57"/>
      <c r="Q350" s="59">
        <f t="shared" si="139"/>
        <v>4.5486111111111109E-3</v>
      </c>
      <c r="R350" s="57">
        <v>4.7916666666666672E-3</v>
      </c>
      <c r="S350" s="57"/>
      <c r="T350" s="59">
        <f t="shared" si="140"/>
        <v>4.5486111111111109E-3</v>
      </c>
      <c r="U350" s="57">
        <v>4.8032407407407407E-3</v>
      </c>
      <c r="V350" s="57"/>
      <c r="W350" s="59">
        <f t="shared" si="141"/>
        <v>4.5486111111111109E-3</v>
      </c>
      <c r="X350" s="57"/>
      <c r="Y350" s="57"/>
      <c r="Z350" s="59">
        <f t="shared" si="142"/>
        <v>4.5486111111111109E-3</v>
      </c>
      <c r="AA350" s="57">
        <v>4.8379629629629632E-3</v>
      </c>
      <c r="AB350" s="57"/>
      <c r="AC350" s="59">
        <f t="shared" si="143"/>
        <v>4.5486111111111109E-3</v>
      </c>
      <c r="AD350" s="57">
        <v>4.8495370370370368E-3</v>
      </c>
      <c r="AE350" s="57"/>
      <c r="AF350" s="59">
        <f t="shared" si="138"/>
        <v>4.5486111111111109E-3</v>
      </c>
      <c r="AG350" s="57">
        <v>4.8495370370370368E-3</v>
      </c>
      <c r="AH350" s="57"/>
      <c r="AI350" s="59">
        <f t="shared" si="135"/>
        <v>4.5486111111111109E-3</v>
      </c>
      <c r="AJ350" s="57">
        <v>5.0694444444444441E-3</v>
      </c>
      <c r="AK350" s="57"/>
      <c r="AL350" s="59">
        <f t="shared" si="136"/>
        <v>4.5486111111111109E-3</v>
      </c>
      <c r="AM350" s="57"/>
      <c r="AN350" s="57"/>
      <c r="AO350" s="59">
        <f t="shared" si="137"/>
        <v>4.5486111111111109E-3</v>
      </c>
      <c r="AP350" s="57"/>
      <c r="AQ350" s="59">
        <f t="shared" si="130"/>
        <v>4.5486111111111109E-3</v>
      </c>
      <c r="AR350" s="57"/>
      <c r="AS350" s="57"/>
      <c r="AT350" s="59">
        <f t="shared" si="131"/>
        <v>4.5486111111111109E-3</v>
      </c>
    </row>
    <row r="351" spans="1:46">
      <c r="A351" s="24" t="s">
        <v>792</v>
      </c>
      <c r="B351" s="26" t="s">
        <v>4</v>
      </c>
      <c r="C351" s="26" t="s">
        <v>443</v>
      </c>
      <c r="D351" s="50">
        <v>7.38</v>
      </c>
      <c r="E351" s="51"/>
      <c r="F351" s="50">
        <v>7.38</v>
      </c>
      <c r="G351" s="52"/>
      <c r="H351" s="50">
        <v>7.38</v>
      </c>
      <c r="I351" s="53"/>
      <c r="J351" s="50">
        <v>7.38</v>
      </c>
      <c r="K351" s="53"/>
      <c r="L351" s="50">
        <v>7.38</v>
      </c>
      <c r="M351" s="57"/>
      <c r="N351" s="55">
        <v>5.3009259259259251E-3</v>
      </c>
      <c r="O351" s="57"/>
      <c r="P351" s="57"/>
      <c r="Q351" s="59">
        <f t="shared" si="139"/>
        <v>5.3009259259259251E-3</v>
      </c>
      <c r="R351" s="57"/>
      <c r="S351" s="57"/>
      <c r="T351" s="59">
        <f t="shared" si="140"/>
        <v>5.3009259259259251E-3</v>
      </c>
      <c r="U351" s="57"/>
      <c r="V351" s="57"/>
      <c r="W351" s="59">
        <f t="shared" si="141"/>
        <v>5.3009259259259251E-3</v>
      </c>
      <c r="X351" s="57"/>
      <c r="Y351" s="57"/>
      <c r="Z351" s="59">
        <f t="shared" si="142"/>
        <v>5.3009259259259251E-3</v>
      </c>
      <c r="AA351" s="57">
        <v>5.4166666666666669E-3</v>
      </c>
      <c r="AB351" s="57"/>
      <c r="AC351" s="59">
        <f t="shared" si="143"/>
        <v>5.3009259259259251E-3</v>
      </c>
      <c r="AD351" s="57"/>
      <c r="AE351" s="57"/>
      <c r="AF351" s="59">
        <f t="shared" si="138"/>
        <v>5.3009259259259251E-3</v>
      </c>
      <c r="AG351" s="57"/>
      <c r="AH351" s="57"/>
      <c r="AI351" s="59">
        <f t="shared" si="135"/>
        <v>5.3009259259259251E-3</v>
      </c>
      <c r="AJ351" s="57"/>
      <c r="AK351" s="57"/>
      <c r="AL351" s="59">
        <f t="shared" si="136"/>
        <v>5.3009259259259251E-3</v>
      </c>
      <c r="AM351" s="57"/>
      <c r="AN351" s="57"/>
      <c r="AO351" s="59">
        <f t="shared" si="137"/>
        <v>5.3009259259259251E-3</v>
      </c>
      <c r="AP351" s="57"/>
      <c r="AQ351" s="59">
        <f t="shared" si="130"/>
        <v>5.3009259259259251E-3</v>
      </c>
      <c r="AR351" s="57"/>
      <c r="AS351" s="57"/>
      <c r="AT351" s="59">
        <f t="shared" si="131"/>
        <v>5.3009259259259251E-3</v>
      </c>
    </row>
    <row r="352" spans="1:46" hidden="1">
      <c r="A352" s="24"/>
      <c r="B352" s="26" t="s">
        <v>462</v>
      </c>
      <c r="C352" s="26" t="s">
        <v>443</v>
      </c>
      <c r="D352" s="50"/>
      <c r="E352" s="51"/>
      <c r="F352" s="50"/>
      <c r="G352" s="52"/>
      <c r="H352" s="50"/>
      <c r="I352" s="53"/>
      <c r="J352" s="50"/>
      <c r="K352" s="53"/>
      <c r="L352" s="50"/>
      <c r="M352" s="57"/>
      <c r="N352" s="55"/>
      <c r="O352" s="57"/>
      <c r="P352" s="57"/>
      <c r="Q352" s="59" t="str">
        <f t="shared" si="139"/>
        <v/>
      </c>
      <c r="R352" s="57"/>
      <c r="S352" s="57"/>
      <c r="T352" s="59" t="str">
        <f t="shared" si="140"/>
        <v/>
      </c>
      <c r="U352" s="57"/>
      <c r="V352" s="57"/>
      <c r="W352" s="59" t="str">
        <f t="shared" si="141"/>
        <v/>
      </c>
      <c r="X352" s="57"/>
      <c r="Y352" s="57"/>
      <c r="Z352" s="59" t="str">
        <f t="shared" si="142"/>
        <v/>
      </c>
      <c r="AA352" s="57"/>
      <c r="AB352" s="57"/>
      <c r="AC352" s="59" t="str">
        <f t="shared" si="143"/>
        <v/>
      </c>
      <c r="AD352" s="57"/>
      <c r="AE352" s="57"/>
      <c r="AF352" s="59" t="str">
        <f t="shared" si="138"/>
        <v/>
      </c>
      <c r="AG352" s="57"/>
      <c r="AH352" s="57"/>
      <c r="AI352" s="59" t="str">
        <f t="shared" si="135"/>
        <v/>
      </c>
      <c r="AJ352" s="57"/>
      <c r="AK352" s="57"/>
      <c r="AL352" s="59" t="str">
        <f t="shared" si="136"/>
        <v/>
      </c>
      <c r="AM352" s="57"/>
      <c r="AN352" s="57"/>
      <c r="AO352" s="59" t="str">
        <f t="shared" si="137"/>
        <v/>
      </c>
      <c r="AP352" s="57"/>
      <c r="AQ352" s="59" t="str">
        <f t="shared" si="130"/>
        <v/>
      </c>
      <c r="AR352" s="57"/>
      <c r="AS352" s="57"/>
      <c r="AT352" s="59" t="str">
        <f t="shared" si="131"/>
        <v/>
      </c>
    </row>
    <row r="353" spans="1:46">
      <c r="A353" s="24" t="s">
        <v>792</v>
      </c>
      <c r="B353" s="26" t="s">
        <v>439</v>
      </c>
      <c r="C353" s="26" t="s">
        <v>443</v>
      </c>
      <c r="D353" s="50"/>
      <c r="E353" s="51"/>
      <c r="F353" s="50"/>
      <c r="G353" s="52"/>
      <c r="H353" s="50"/>
      <c r="I353" s="53">
        <v>8.31</v>
      </c>
      <c r="J353" s="50">
        <v>8.31</v>
      </c>
      <c r="K353" s="53"/>
      <c r="L353" s="50">
        <v>8.31</v>
      </c>
      <c r="M353" s="57">
        <v>6.122685185185185E-3</v>
      </c>
      <c r="N353" s="55">
        <v>5.9143518518518521E-3</v>
      </c>
      <c r="O353" s="57">
        <v>5.7175925925925927E-3</v>
      </c>
      <c r="P353" s="57"/>
      <c r="Q353" s="59">
        <f t="shared" si="139"/>
        <v>5.7175925925925927E-3</v>
      </c>
      <c r="R353" s="57"/>
      <c r="S353" s="57"/>
      <c r="T353" s="59">
        <f t="shared" si="140"/>
        <v>5.7175925925925927E-3</v>
      </c>
      <c r="U353" s="57"/>
      <c r="V353" s="57"/>
      <c r="W353" s="59">
        <f t="shared" si="141"/>
        <v>5.7175925925925927E-3</v>
      </c>
      <c r="X353" s="57"/>
      <c r="Y353" s="57"/>
      <c r="Z353" s="59">
        <f t="shared" si="142"/>
        <v>5.7175925925925927E-3</v>
      </c>
      <c r="AA353" s="57">
        <v>5.7754629629629623E-3</v>
      </c>
      <c r="AB353" s="57"/>
      <c r="AC353" s="59">
        <f t="shared" si="143"/>
        <v>5.7175925925925927E-3</v>
      </c>
      <c r="AD353" s="57">
        <v>5.7638888888888887E-3</v>
      </c>
      <c r="AE353" s="57"/>
      <c r="AF353" s="59">
        <f t="shared" si="138"/>
        <v>5.7175925925925927E-3</v>
      </c>
      <c r="AG353" s="57"/>
      <c r="AH353" s="57"/>
      <c r="AI353" s="59">
        <f t="shared" si="135"/>
        <v>5.7175925925925927E-3</v>
      </c>
      <c r="AJ353" s="57"/>
      <c r="AK353" s="57"/>
      <c r="AL353" s="59">
        <f t="shared" si="136"/>
        <v>5.7175925925925927E-3</v>
      </c>
      <c r="AM353" s="57"/>
      <c r="AN353" s="57"/>
      <c r="AO353" s="59">
        <f t="shared" si="137"/>
        <v>5.7175925925925927E-3</v>
      </c>
      <c r="AP353" s="57"/>
      <c r="AQ353" s="59">
        <f t="shared" si="130"/>
        <v>5.7175925925925927E-3</v>
      </c>
      <c r="AR353" s="57"/>
      <c r="AS353" s="57"/>
      <c r="AT353" s="59">
        <f t="shared" si="131"/>
        <v>5.7175925925925927E-3</v>
      </c>
    </row>
    <row r="354" spans="1:46" hidden="1">
      <c r="A354" s="24"/>
      <c r="B354" s="26" t="s">
        <v>398</v>
      </c>
      <c r="C354" s="26" t="s">
        <v>443</v>
      </c>
      <c r="D354" s="50"/>
      <c r="E354" s="51"/>
      <c r="F354" s="50"/>
      <c r="G354" s="52"/>
      <c r="H354" s="50"/>
      <c r="I354" s="53"/>
      <c r="J354" s="50" t="s">
        <v>448</v>
      </c>
      <c r="K354" s="53"/>
      <c r="L354" s="50"/>
      <c r="M354" s="57"/>
      <c r="N354" s="55"/>
      <c r="O354" s="57"/>
      <c r="P354" s="57"/>
      <c r="Q354" s="59" t="str">
        <f t="shared" si="139"/>
        <v/>
      </c>
      <c r="R354" s="57"/>
      <c r="S354" s="57"/>
      <c r="T354" s="59" t="str">
        <f t="shared" si="140"/>
        <v/>
      </c>
      <c r="U354" s="57"/>
      <c r="V354" s="57"/>
      <c r="W354" s="59" t="str">
        <f t="shared" si="141"/>
        <v/>
      </c>
      <c r="X354" s="57"/>
      <c r="Y354" s="57"/>
      <c r="Z354" s="59" t="str">
        <f t="shared" si="142"/>
        <v/>
      </c>
      <c r="AA354" s="57"/>
      <c r="AB354" s="57"/>
      <c r="AC354" s="59" t="str">
        <f t="shared" si="143"/>
        <v/>
      </c>
      <c r="AD354" s="57"/>
      <c r="AE354" s="57"/>
      <c r="AF354" s="59" t="str">
        <f t="shared" si="138"/>
        <v/>
      </c>
      <c r="AG354" s="57"/>
      <c r="AH354" s="57"/>
      <c r="AI354" s="59" t="str">
        <f t="shared" si="135"/>
        <v/>
      </c>
      <c r="AJ354" s="57"/>
      <c r="AK354" s="57"/>
      <c r="AL354" s="59" t="str">
        <f t="shared" si="136"/>
        <v/>
      </c>
      <c r="AM354" s="57"/>
      <c r="AN354" s="57"/>
      <c r="AO354" s="59" t="str">
        <f t="shared" si="137"/>
        <v/>
      </c>
      <c r="AP354" s="57"/>
      <c r="AQ354" s="59" t="str">
        <f t="shared" si="130"/>
        <v/>
      </c>
      <c r="AR354" s="57"/>
      <c r="AS354" s="57"/>
      <c r="AT354" s="59" t="str">
        <f t="shared" si="131"/>
        <v/>
      </c>
    </row>
    <row r="355" spans="1:46" hidden="1">
      <c r="A355" s="24"/>
      <c r="B355" s="26" t="s">
        <v>278</v>
      </c>
      <c r="C355" s="26" t="s">
        <v>443</v>
      </c>
      <c r="D355" s="50"/>
      <c r="E355" s="51"/>
      <c r="F355" s="50" t="s">
        <v>448</v>
      </c>
      <c r="G355" s="52"/>
      <c r="H355" s="50"/>
      <c r="I355" s="53"/>
      <c r="J355" s="50" t="s">
        <v>448</v>
      </c>
      <c r="K355" s="53"/>
      <c r="L355" s="50"/>
      <c r="M355" s="57"/>
      <c r="N355" s="55"/>
      <c r="O355" s="57"/>
      <c r="P355" s="57"/>
      <c r="Q355" s="59" t="str">
        <f t="shared" si="139"/>
        <v/>
      </c>
      <c r="R355" s="57"/>
      <c r="S355" s="57"/>
      <c r="T355" s="59" t="str">
        <f t="shared" si="140"/>
        <v/>
      </c>
      <c r="U355" s="57"/>
      <c r="V355" s="57"/>
      <c r="W355" s="59" t="str">
        <f t="shared" si="141"/>
        <v/>
      </c>
      <c r="X355" s="57"/>
      <c r="Y355" s="57"/>
      <c r="Z355" s="59" t="str">
        <f t="shared" si="142"/>
        <v/>
      </c>
      <c r="AA355" s="57"/>
      <c r="AB355" s="57"/>
      <c r="AC355" s="59" t="str">
        <f t="shared" si="143"/>
        <v/>
      </c>
      <c r="AD355" s="57"/>
      <c r="AE355" s="57"/>
      <c r="AF355" s="59" t="str">
        <f t="shared" si="138"/>
        <v/>
      </c>
      <c r="AG355" s="57"/>
      <c r="AH355" s="57"/>
      <c r="AI355" s="59" t="str">
        <f t="shared" si="135"/>
        <v/>
      </c>
      <c r="AJ355" s="57"/>
      <c r="AK355" s="57"/>
      <c r="AL355" s="59" t="str">
        <f t="shared" si="136"/>
        <v/>
      </c>
      <c r="AM355" s="57"/>
      <c r="AN355" s="57"/>
      <c r="AO355" s="59" t="str">
        <f t="shared" si="137"/>
        <v/>
      </c>
      <c r="AP355" s="57"/>
      <c r="AQ355" s="59" t="str">
        <f t="shared" si="130"/>
        <v/>
      </c>
      <c r="AR355" s="57"/>
      <c r="AS355" s="57"/>
      <c r="AT355" s="59" t="str">
        <f t="shared" si="131"/>
        <v/>
      </c>
    </row>
    <row r="356" spans="1:46" hidden="1">
      <c r="A356" s="24"/>
      <c r="B356" s="26" t="s">
        <v>700</v>
      </c>
      <c r="C356" s="26"/>
      <c r="D356" s="50"/>
      <c r="E356" s="51"/>
      <c r="F356" s="50"/>
      <c r="G356" s="52"/>
      <c r="H356" s="50"/>
      <c r="I356" s="53"/>
      <c r="J356" s="50"/>
      <c r="K356" s="53"/>
      <c r="L356" s="50"/>
      <c r="M356" s="57"/>
      <c r="N356" s="55"/>
      <c r="O356" s="57"/>
      <c r="P356" s="57"/>
      <c r="Q356" s="59"/>
      <c r="R356" s="57"/>
      <c r="S356" s="57"/>
      <c r="T356" s="59"/>
      <c r="U356" s="57"/>
      <c r="V356" s="57"/>
      <c r="W356" s="59"/>
      <c r="X356" s="57"/>
      <c r="Y356" s="57"/>
      <c r="Z356" s="59"/>
      <c r="AA356" s="57"/>
      <c r="AB356" s="57"/>
      <c r="AC356" s="59" t="str">
        <f t="shared" si="143"/>
        <v/>
      </c>
      <c r="AD356" s="57">
        <v>8.1365740740740738E-3</v>
      </c>
      <c r="AE356" s="57"/>
      <c r="AF356" s="59">
        <f t="shared" si="138"/>
        <v>8.1365740740740738E-3</v>
      </c>
      <c r="AG356" s="57">
        <v>8.3680555555555557E-3</v>
      </c>
      <c r="AH356" s="57"/>
      <c r="AI356" s="59">
        <f t="shared" si="135"/>
        <v>8.1365740740740738E-3</v>
      </c>
      <c r="AJ356" s="57"/>
      <c r="AK356" s="57"/>
      <c r="AL356" s="59">
        <f t="shared" si="136"/>
        <v>8.1365740740740738E-3</v>
      </c>
      <c r="AM356" s="57"/>
      <c r="AN356" s="57"/>
      <c r="AO356" s="59">
        <f t="shared" si="137"/>
        <v>8.1365740740740738E-3</v>
      </c>
      <c r="AP356" s="57"/>
      <c r="AQ356" s="59">
        <f t="shared" si="130"/>
        <v>8.1365740740740738E-3</v>
      </c>
      <c r="AR356" s="57"/>
      <c r="AS356" s="57"/>
      <c r="AT356" s="59">
        <f t="shared" si="131"/>
        <v>8.1365740740740738E-3</v>
      </c>
    </row>
    <row r="357" spans="1:46">
      <c r="A357" s="24" t="s">
        <v>792</v>
      </c>
      <c r="B357" s="26" t="s">
        <v>737</v>
      </c>
      <c r="C357" s="26"/>
      <c r="D357" s="50"/>
      <c r="E357" s="51"/>
      <c r="F357" s="50"/>
      <c r="G357" s="52"/>
      <c r="H357" s="50"/>
      <c r="I357" s="53"/>
      <c r="J357" s="50"/>
      <c r="K357" s="53"/>
      <c r="L357" s="50"/>
      <c r="M357" s="57"/>
      <c r="N357" s="55"/>
      <c r="O357" s="57"/>
      <c r="P357" s="57"/>
      <c r="Q357" s="59"/>
      <c r="R357" s="57"/>
      <c r="S357" s="57"/>
      <c r="T357" s="59"/>
      <c r="U357" s="57"/>
      <c r="V357" s="57"/>
      <c r="W357" s="59"/>
      <c r="X357" s="57"/>
      <c r="Y357" s="57"/>
      <c r="Z357" s="59"/>
      <c r="AA357" s="57"/>
      <c r="AB357" s="57"/>
      <c r="AC357" s="59"/>
      <c r="AD357" s="57"/>
      <c r="AE357" s="57"/>
      <c r="AF357" s="59" t="str">
        <f t="shared" si="138"/>
        <v/>
      </c>
      <c r="AG357" s="57">
        <v>6.0185185185185177E-3</v>
      </c>
      <c r="AH357" s="57"/>
      <c r="AI357" s="59">
        <f t="shared" si="135"/>
        <v>6.0185185185185177E-3</v>
      </c>
      <c r="AJ357" s="57"/>
      <c r="AK357" s="57"/>
      <c r="AL357" s="59">
        <f t="shared" si="136"/>
        <v>6.0185185185185177E-3</v>
      </c>
      <c r="AM357" s="57">
        <v>6.0185185185185177E-3</v>
      </c>
      <c r="AN357" s="57"/>
      <c r="AO357" s="59">
        <f t="shared" si="137"/>
        <v>6.0185185185185177E-3</v>
      </c>
      <c r="AP357" s="57"/>
      <c r="AQ357" s="59">
        <f t="shared" si="130"/>
        <v>6.0185185185185177E-3</v>
      </c>
      <c r="AR357" s="57"/>
      <c r="AS357" s="57"/>
      <c r="AT357" s="59">
        <f t="shared" si="131"/>
        <v>6.0185185185185177E-3</v>
      </c>
    </row>
    <row r="358" spans="1:46">
      <c r="A358" s="24" t="s">
        <v>792</v>
      </c>
      <c r="B358" s="26" t="s">
        <v>862</v>
      </c>
      <c r="C358" s="26"/>
      <c r="D358" s="50"/>
      <c r="E358" s="51"/>
      <c r="F358" s="50"/>
      <c r="G358" s="52"/>
      <c r="H358" s="50"/>
      <c r="I358" s="53"/>
      <c r="J358" s="50"/>
      <c r="K358" s="53"/>
      <c r="L358" s="50"/>
      <c r="M358" s="57"/>
      <c r="N358" s="55"/>
      <c r="O358" s="57"/>
      <c r="P358" s="57"/>
      <c r="Q358" s="59"/>
      <c r="R358" s="57"/>
      <c r="S358" s="57"/>
      <c r="T358" s="59"/>
      <c r="U358" s="57"/>
      <c r="V358" s="57"/>
      <c r="W358" s="59"/>
      <c r="X358" s="57"/>
      <c r="Y358" s="57"/>
      <c r="Z358" s="59"/>
      <c r="AA358" s="57"/>
      <c r="AB358" s="57"/>
      <c r="AC358" s="59"/>
      <c r="AD358" s="57"/>
      <c r="AE358" s="57"/>
      <c r="AF358" s="59"/>
      <c r="AG358" s="57"/>
      <c r="AH358" s="57"/>
      <c r="AI358" s="59"/>
      <c r="AJ358" s="57"/>
      <c r="AK358" s="57"/>
      <c r="AL358" s="59"/>
      <c r="AM358" s="57"/>
      <c r="AN358" s="57"/>
      <c r="AO358" s="59"/>
      <c r="AP358" s="57"/>
      <c r="AQ358" s="59" t="str">
        <f t="shared" si="130"/>
        <v/>
      </c>
      <c r="AR358" s="57"/>
      <c r="AS358" s="57"/>
      <c r="AT358" s="59" t="str">
        <f t="shared" si="131"/>
        <v/>
      </c>
    </row>
    <row r="359" spans="1:46" hidden="1">
      <c r="A359" s="24"/>
      <c r="B359" s="26" t="s">
        <v>644</v>
      </c>
      <c r="C359" s="26"/>
      <c r="D359" s="50"/>
      <c r="E359" s="51"/>
      <c r="F359" s="50"/>
      <c r="G359" s="52"/>
      <c r="H359" s="50"/>
      <c r="I359" s="53"/>
      <c r="J359" s="50"/>
      <c r="K359" s="53"/>
      <c r="L359" s="50"/>
      <c r="M359" s="57"/>
      <c r="N359" s="55"/>
      <c r="O359" s="57"/>
      <c r="P359" s="57"/>
      <c r="Q359" s="59"/>
      <c r="R359" s="57"/>
      <c r="S359" s="57"/>
      <c r="T359" s="59"/>
      <c r="U359" s="57"/>
      <c r="V359" s="57"/>
      <c r="W359" s="59"/>
      <c r="X359" s="57">
        <v>5.7407407407407416E-3</v>
      </c>
      <c r="Y359" s="57"/>
      <c r="Z359" s="59">
        <f t="shared" ref="Z359:Z366" si="144">IF(MIN(IF(ISBLANK(X359),W359,X359),IF(ISBLANK(W359),X359,W359))=0,"",MIN(IF(ISBLANK(X359),W359,X359),IF(ISBLANK(W359),X359,W359)))</f>
        <v>5.7407407407407416E-3</v>
      </c>
      <c r="AA359" s="57"/>
      <c r="AB359" s="57"/>
      <c r="AC359" s="59">
        <f t="shared" ref="AC359:AC366" si="145">IF(MIN(IF(ISBLANK(Z359),AA359,Z359),IF(ISBLANK(AA359),Z359,AA359))=0,"",MIN(IF(ISBLANK(Z359),AA359,Z359),IF(ISBLANK(AA359),Z359,AA359)))</f>
        <v>5.7407407407407416E-3</v>
      </c>
      <c r="AD359" s="57"/>
      <c r="AE359" s="57"/>
      <c r="AF359" s="59">
        <f t="shared" ref="AF359:AF366" si="146">IF(MIN(IF(ISBLANK(AC359),AD359,AC359),IF(ISBLANK(AD359),AC359,AD359))=0,"",MIN(IF(ISBLANK(AC359),AD359,AC359),IF(ISBLANK(AD359),AC359,AD359)))</f>
        <v>5.7407407407407416E-3</v>
      </c>
      <c r="AG359" s="57"/>
      <c r="AH359" s="57"/>
      <c r="AI359" s="59">
        <f t="shared" ref="AI359:AI366" si="147">IF(MIN(IF(ISBLANK(AF359),AG359,AF359),IF(ISBLANK(AG359),AF359,AG359))=0,"",MIN(IF(ISBLANK(AF359),AG359,AF359),IF(ISBLANK(AG359),AF359,AG359)))</f>
        <v>5.7407407407407416E-3</v>
      </c>
      <c r="AJ359" s="57"/>
      <c r="AK359" s="57"/>
      <c r="AL359" s="59">
        <f t="shared" ref="AL359:AL371" si="148">IF(MIN(IF(ISBLANK(AI359),AJ359,AI359),IF(ISBLANK(AJ359),AI359,AJ359))=0,"",MIN(IF(ISBLANK(AI359),AJ359,AI359),IF(ISBLANK(AJ359),AI359,AJ359)))</f>
        <v>5.7407407407407416E-3</v>
      </c>
      <c r="AM359" s="57"/>
      <c r="AN359" s="57"/>
      <c r="AO359" s="59">
        <f t="shared" ref="AO359:AO371" si="149">IF(MIN(IF(ISBLANK(AL359),AM359,AL359),IF(ISBLANK(AM359),AL359,AM359))=0,"",MIN(IF(ISBLANK(AL359),AM359,AL359),IF(ISBLANK(AM359),AL359,AM359)))</f>
        <v>5.7407407407407416E-3</v>
      </c>
      <c r="AP359" s="57"/>
      <c r="AQ359" s="59">
        <f t="shared" si="130"/>
        <v>5.7407407407407416E-3</v>
      </c>
      <c r="AR359" s="57"/>
      <c r="AS359" s="57"/>
      <c r="AT359" s="59">
        <f t="shared" si="131"/>
        <v>5.7407407407407416E-3</v>
      </c>
    </row>
    <row r="360" spans="1:46" hidden="1">
      <c r="A360" s="24"/>
      <c r="B360" s="26" t="s">
        <v>645</v>
      </c>
      <c r="C360" s="26"/>
      <c r="D360" s="50"/>
      <c r="E360" s="51"/>
      <c r="F360" s="50"/>
      <c r="G360" s="52"/>
      <c r="H360" s="50"/>
      <c r="I360" s="53"/>
      <c r="J360" s="50"/>
      <c r="K360" s="53"/>
      <c r="L360" s="50"/>
      <c r="M360" s="57"/>
      <c r="N360" s="55"/>
      <c r="O360" s="57"/>
      <c r="P360" s="57"/>
      <c r="Q360" s="59"/>
      <c r="R360" s="57"/>
      <c r="S360" s="57"/>
      <c r="T360" s="59"/>
      <c r="U360" s="57"/>
      <c r="V360" s="57"/>
      <c r="W360" s="59"/>
      <c r="X360" s="57"/>
      <c r="Y360" s="57"/>
      <c r="Z360" s="59" t="str">
        <f t="shared" si="144"/>
        <v/>
      </c>
      <c r="AA360" s="57">
        <v>7.2337962962962963E-3</v>
      </c>
      <c r="AB360" s="57"/>
      <c r="AC360" s="59">
        <f t="shared" si="145"/>
        <v>7.2337962962962963E-3</v>
      </c>
      <c r="AD360" s="57"/>
      <c r="AE360" s="57"/>
      <c r="AF360" s="59">
        <f t="shared" si="146"/>
        <v>7.2337962962962963E-3</v>
      </c>
      <c r="AG360" s="57"/>
      <c r="AH360" s="57"/>
      <c r="AI360" s="59">
        <f t="shared" si="147"/>
        <v>7.2337962962962963E-3</v>
      </c>
      <c r="AJ360" s="57"/>
      <c r="AK360" s="57"/>
      <c r="AL360" s="59">
        <f t="shared" si="148"/>
        <v>7.2337962962962963E-3</v>
      </c>
      <c r="AM360" s="57"/>
      <c r="AN360" s="57"/>
      <c r="AO360" s="59">
        <f t="shared" si="149"/>
        <v>7.2337962962962963E-3</v>
      </c>
      <c r="AP360" s="57"/>
      <c r="AQ360" s="59">
        <f t="shared" si="130"/>
        <v>7.2337962962962963E-3</v>
      </c>
      <c r="AR360" s="57"/>
      <c r="AS360" s="57"/>
      <c r="AT360" s="59">
        <f t="shared" si="131"/>
        <v>7.2337962962962963E-3</v>
      </c>
    </row>
    <row r="361" spans="1:46" hidden="1">
      <c r="A361" s="24"/>
      <c r="B361" s="26" t="s">
        <v>9</v>
      </c>
      <c r="C361" s="26" t="s">
        <v>444</v>
      </c>
      <c r="D361" s="50">
        <v>9.5299999999999994</v>
      </c>
      <c r="E361" s="51"/>
      <c r="F361" s="50">
        <v>9.5299999999999994</v>
      </c>
      <c r="G361" s="52"/>
      <c r="H361" s="50">
        <v>9.5299999999999994</v>
      </c>
      <c r="I361" s="53"/>
      <c r="J361" s="50">
        <v>9.5299999999999994</v>
      </c>
      <c r="K361" s="53"/>
      <c r="L361" s="50">
        <v>9.5299999999999994</v>
      </c>
      <c r="M361" s="57"/>
      <c r="N361" s="55">
        <v>6.8634259259259256E-3</v>
      </c>
      <c r="O361" s="57"/>
      <c r="P361" s="57"/>
      <c r="Q361" s="59">
        <f>IF(MIN(IF(ISBLANK(O361),N361,O361),IF(ISBLANK(N361),O361,N361))=0,"",MIN(IF(ISBLANK(O361),N361,O361),IF(ISBLANK(N361),O361,N361)))</f>
        <v>6.8634259259259256E-3</v>
      </c>
      <c r="R361" s="57"/>
      <c r="S361" s="57"/>
      <c r="T361" s="59">
        <f>IF(MIN(IF(ISBLANK(R361),Q361,R361),IF(ISBLANK(Q361),R361,Q361))=0,"",MIN(IF(ISBLANK(R361),Q361,R361),IF(ISBLANK(Q361),R361,Q361)))</f>
        <v>6.8634259259259256E-3</v>
      </c>
      <c r="U361" s="57"/>
      <c r="V361" s="57"/>
      <c r="W361" s="59">
        <f>IF(MIN(IF(ISBLANK(U361),T361,U361),IF(ISBLANK(T361),U361,T361))=0,"",MIN(IF(ISBLANK(U361),T361,U361),IF(ISBLANK(T361),U361,T361)))</f>
        <v>6.8634259259259256E-3</v>
      </c>
      <c r="X361" s="57"/>
      <c r="Y361" s="57"/>
      <c r="Z361" s="59">
        <f t="shared" si="144"/>
        <v>6.8634259259259256E-3</v>
      </c>
      <c r="AA361" s="57"/>
      <c r="AB361" s="57"/>
      <c r="AC361" s="59">
        <f t="shared" si="145"/>
        <v>6.8634259259259256E-3</v>
      </c>
      <c r="AD361" s="57"/>
      <c r="AE361" s="57"/>
      <c r="AF361" s="59">
        <f t="shared" si="146"/>
        <v>6.8634259259259256E-3</v>
      </c>
      <c r="AG361" s="57"/>
      <c r="AH361" s="57"/>
      <c r="AI361" s="59">
        <f t="shared" si="147"/>
        <v>6.8634259259259256E-3</v>
      </c>
      <c r="AJ361" s="57"/>
      <c r="AK361" s="57"/>
      <c r="AL361" s="59">
        <f t="shared" si="148"/>
        <v>6.8634259259259256E-3</v>
      </c>
      <c r="AM361" s="57"/>
      <c r="AN361" s="57"/>
      <c r="AO361" s="59">
        <f t="shared" si="149"/>
        <v>6.8634259259259256E-3</v>
      </c>
      <c r="AP361" s="57"/>
      <c r="AQ361" s="59">
        <f t="shared" si="130"/>
        <v>6.8634259259259256E-3</v>
      </c>
      <c r="AR361" s="57"/>
      <c r="AS361" s="57"/>
      <c r="AT361" s="59">
        <f t="shared" si="131"/>
        <v>6.8634259259259256E-3</v>
      </c>
    </row>
    <row r="362" spans="1:46" hidden="1">
      <c r="A362" s="24"/>
      <c r="B362" s="26" t="s">
        <v>525</v>
      </c>
      <c r="C362" s="26" t="s">
        <v>443</v>
      </c>
      <c r="D362" s="50"/>
      <c r="E362" s="51"/>
      <c r="F362" s="50"/>
      <c r="G362" s="52"/>
      <c r="H362" s="50"/>
      <c r="I362" s="53"/>
      <c r="J362" s="50"/>
      <c r="K362" s="53"/>
      <c r="L362" s="50"/>
      <c r="M362" s="57"/>
      <c r="N362" s="55"/>
      <c r="O362" s="57"/>
      <c r="P362" s="57"/>
      <c r="Q362" s="59" t="str">
        <f>IF(MIN(IF(ISBLANK(O362),N362,O362),IF(ISBLANK(N362),O362,N362))=0,"",MIN(IF(ISBLANK(O362),N362,O362),IF(ISBLANK(N362),O362,N362)))</f>
        <v/>
      </c>
      <c r="R362" s="57"/>
      <c r="S362" s="57"/>
      <c r="T362" s="59" t="str">
        <f>IF(MIN(IF(ISBLANK(R362),Q362,R362),IF(ISBLANK(Q362),R362,Q362))=0,"",MIN(IF(ISBLANK(R362),Q362,R362),IF(ISBLANK(Q362),R362,Q362)))</f>
        <v/>
      </c>
      <c r="U362" s="57"/>
      <c r="V362" s="57"/>
      <c r="W362" s="59" t="str">
        <f>IF(MIN(IF(ISBLANK(U362),T362,U362),IF(ISBLANK(T362),U362,T362))=0,"",MIN(IF(ISBLANK(U362),T362,U362),IF(ISBLANK(T362),U362,T362)))</f>
        <v/>
      </c>
      <c r="X362" s="57"/>
      <c r="Y362" s="57"/>
      <c r="Z362" s="59" t="str">
        <f t="shared" si="144"/>
        <v/>
      </c>
      <c r="AA362" s="57"/>
      <c r="AB362" s="57"/>
      <c r="AC362" s="59" t="str">
        <f t="shared" si="145"/>
        <v/>
      </c>
      <c r="AD362" s="57"/>
      <c r="AE362" s="57"/>
      <c r="AF362" s="59" t="str">
        <f t="shared" si="146"/>
        <v/>
      </c>
      <c r="AG362" s="57"/>
      <c r="AH362" s="57"/>
      <c r="AI362" s="59" t="str">
        <f t="shared" si="147"/>
        <v/>
      </c>
      <c r="AJ362" s="57"/>
      <c r="AK362" s="57"/>
      <c r="AL362" s="59" t="str">
        <f t="shared" si="148"/>
        <v/>
      </c>
      <c r="AM362" s="57"/>
      <c r="AN362" s="57"/>
      <c r="AO362" s="59" t="str">
        <f t="shared" si="149"/>
        <v/>
      </c>
      <c r="AP362" s="57"/>
      <c r="AQ362" s="59" t="str">
        <f t="shared" si="130"/>
        <v/>
      </c>
      <c r="AR362" s="57"/>
      <c r="AS362" s="57"/>
      <c r="AT362" s="59" t="str">
        <f t="shared" si="131"/>
        <v/>
      </c>
    </row>
    <row r="363" spans="1:46">
      <c r="A363" s="24" t="s">
        <v>792</v>
      </c>
      <c r="B363" s="26" t="s">
        <v>646</v>
      </c>
      <c r="C363" s="26"/>
      <c r="D363" s="50"/>
      <c r="E363" s="51"/>
      <c r="F363" s="50"/>
      <c r="G363" s="52"/>
      <c r="H363" s="50"/>
      <c r="I363" s="53"/>
      <c r="J363" s="50"/>
      <c r="K363" s="53"/>
      <c r="L363" s="50"/>
      <c r="M363" s="57"/>
      <c r="N363" s="55"/>
      <c r="O363" s="57"/>
      <c r="P363" s="57"/>
      <c r="Q363" s="59"/>
      <c r="R363" s="57"/>
      <c r="S363" s="57"/>
      <c r="T363" s="59"/>
      <c r="U363" s="57"/>
      <c r="V363" s="57"/>
      <c r="W363" s="59"/>
      <c r="X363" s="57"/>
      <c r="Y363" s="57"/>
      <c r="Z363" s="59" t="str">
        <f t="shared" si="144"/>
        <v/>
      </c>
      <c r="AA363" s="57"/>
      <c r="AB363" s="57"/>
      <c r="AC363" s="59" t="str">
        <f t="shared" si="145"/>
        <v/>
      </c>
      <c r="AD363" s="57"/>
      <c r="AE363" s="57"/>
      <c r="AF363" s="59" t="str">
        <f t="shared" si="146"/>
        <v/>
      </c>
      <c r="AG363" s="57"/>
      <c r="AH363" s="57"/>
      <c r="AI363" s="59" t="str">
        <f t="shared" si="147"/>
        <v/>
      </c>
      <c r="AJ363" s="57">
        <v>5.115740740740741E-3</v>
      </c>
      <c r="AK363" s="57"/>
      <c r="AL363" s="59">
        <f t="shared" si="148"/>
        <v>5.115740740740741E-3</v>
      </c>
      <c r="AM363" s="57"/>
      <c r="AN363" s="57"/>
      <c r="AO363" s="59">
        <f t="shared" si="149"/>
        <v>5.115740740740741E-3</v>
      </c>
      <c r="AP363" s="57">
        <v>5.0578703703703706E-3</v>
      </c>
      <c r="AQ363" s="59">
        <f t="shared" si="130"/>
        <v>5.0578703703703706E-3</v>
      </c>
      <c r="AR363" s="57"/>
      <c r="AS363" s="57"/>
      <c r="AT363" s="59">
        <f t="shared" si="131"/>
        <v>5.0578703703703706E-3</v>
      </c>
    </row>
    <row r="364" spans="1:46" hidden="1">
      <c r="A364" s="24"/>
      <c r="B364" s="26" t="s">
        <v>254</v>
      </c>
      <c r="C364" s="26" t="s">
        <v>443</v>
      </c>
      <c r="D364" s="50">
        <v>8.02</v>
      </c>
      <c r="E364" s="51" t="s">
        <v>285</v>
      </c>
      <c r="F364" s="50">
        <v>8.02</v>
      </c>
      <c r="G364" s="52"/>
      <c r="H364" s="50">
        <v>8.02</v>
      </c>
      <c r="I364" s="53"/>
      <c r="J364" s="50">
        <v>8.02</v>
      </c>
      <c r="K364" s="53"/>
      <c r="L364" s="50">
        <v>8.02</v>
      </c>
      <c r="M364" s="57"/>
      <c r="N364" s="55">
        <v>5.5787037037037038E-3</v>
      </c>
      <c r="O364" s="57"/>
      <c r="P364" s="57"/>
      <c r="Q364" s="59">
        <f>IF(MIN(IF(ISBLANK(O364),N364,O364),IF(ISBLANK(N364),O364,N364))=0,"",MIN(IF(ISBLANK(O364),N364,O364),IF(ISBLANK(N364),O364,N364)))</f>
        <v>5.5787037037037038E-3</v>
      </c>
      <c r="R364" s="57"/>
      <c r="S364" s="57"/>
      <c r="T364" s="59">
        <f>IF(MIN(IF(ISBLANK(R364),Q364,R364),IF(ISBLANK(Q364),R364,Q364))=0,"",MIN(IF(ISBLANK(R364),Q364,R364),IF(ISBLANK(Q364),R364,Q364)))</f>
        <v>5.5787037037037038E-3</v>
      </c>
      <c r="U364" s="57"/>
      <c r="V364" s="57"/>
      <c r="W364" s="59">
        <f>IF(MIN(IF(ISBLANK(U364),T364,U364),IF(ISBLANK(T364),U364,T364))=0,"",MIN(IF(ISBLANK(U364),T364,U364),IF(ISBLANK(T364),U364,T364)))</f>
        <v>5.5787037037037038E-3</v>
      </c>
      <c r="X364" s="57"/>
      <c r="Y364" s="57"/>
      <c r="Z364" s="59">
        <f t="shared" si="144"/>
        <v>5.5787037037037038E-3</v>
      </c>
      <c r="AA364" s="57"/>
      <c r="AB364" s="57"/>
      <c r="AC364" s="59">
        <f t="shared" si="145"/>
        <v>5.5787037037037038E-3</v>
      </c>
      <c r="AD364" s="57"/>
      <c r="AE364" s="57"/>
      <c r="AF364" s="59">
        <f t="shared" si="146"/>
        <v>5.5787037037037038E-3</v>
      </c>
      <c r="AG364" s="57"/>
      <c r="AH364" s="57"/>
      <c r="AI364" s="59">
        <f t="shared" si="147"/>
        <v>5.5787037037037038E-3</v>
      </c>
      <c r="AJ364" s="57"/>
      <c r="AK364" s="57"/>
      <c r="AL364" s="59">
        <f t="shared" si="148"/>
        <v>5.5787037037037038E-3</v>
      </c>
      <c r="AM364" s="57"/>
      <c r="AN364" s="57"/>
      <c r="AO364" s="59">
        <f t="shared" si="149"/>
        <v>5.5787037037037038E-3</v>
      </c>
      <c r="AP364" s="57"/>
      <c r="AQ364" s="59">
        <f t="shared" si="130"/>
        <v>5.5787037037037038E-3</v>
      </c>
      <c r="AR364" s="57"/>
      <c r="AS364" s="57"/>
      <c r="AT364" s="59">
        <f t="shared" si="131"/>
        <v>5.5787037037037038E-3</v>
      </c>
    </row>
    <row r="365" spans="1:46" hidden="1">
      <c r="A365" s="24"/>
      <c r="B365" s="26" t="s">
        <v>15</v>
      </c>
      <c r="C365" s="26" t="s">
        <v>443</v>
      </c>
      <c r="D365" s="50"/>
      <c r="E365" s="51"/>
      <c r="F365" s="50" t="s">
        <v>448</v>
      </c>
      <c r="G365" s="52"/>
      <c r="H365" s="50"/>
      <c r="I365" s="53"/>
      <c r="J365" s="50" t="s">
        <v>448</v>
      </c>
      <c r="K365" s="53"/>
      <c r="L365" s="50"/>
      <c r="M365" s="57"/>
      <c r="N365" s="55"/>
      <c r="O365" s="57"/>
      <c r="P365" s="57"/>
      <c r="Q365" s="59" t="str">
        <f>IF(MIN(IF(ISBLANK(O365),N365,O365),IF(ISBLANK(N365),O365,N365))=0,"",MIN(IF(ISBLANK(O365),N365,O365),IF(ISBLANK(N365),O365,N365)))</f>
        <v/>
      </c>
      <c r="R365" s="57"/>
      <c r="S365" s="57"/>
      <c r="T365" s="59" t="str">
        <f>IF(MIN(IF(ISBLANK(R365),Q365,R365),IF(ISBLANK(Q365),R365,Q365))=0,"",MIN(IF(ISBLANK(R365),Q365,R365),IF(ISBLANK(Q365),R365,Q365)))</f>
        <v/>
      </c>
      <c r="U365" s="57"/>
      <c r="V365" s="57"/>
      <c r="W365" s="59" t="str">
        <f>IF(MIN(IF(ISBLANK(U365),T365,U365),IF(ISBLANK(T365),U365,T365))=0,"",MIN(IF(ISBLANK(U365),T365,U365),IF(ISBLANK(T365),U365,T365)))</f>
        <v/>
      </c>
      <c r="X365" s="57"/>
      <c r="Y365" s="57"/>
      <c r="Z365" s="59" t="str">
        <f t="shared" si="144"/>
        <v/>
      </c>
      <c r="AA365" s="57"/>
      <c r="AB365" s="57"/>
      <c r="AC365" s="59" t="str">
        <f t="shared" si="145"/>
        <v/>
      </c>
      <c r="AD365" s="57"/>
      <c r="AE365" s="57"/>
      <c r="AF365" s="59" t="str">
        <f t="shared" si="146"/>
        <v/>
      </c>
      <c r="AG365" s="57"/>
      <c r="AH365" s="57"/>
      <c r="AI365" s="59" t="str">
        <f t="shared" si="147"/>
        <v/>
      </c>
      <c r="AJ365" s="57"/>
      <c r="AK365" s="57"/>
      <c r="AL365" s="59" t="str">
        <f t="shared" si="148"/>
        <v/>
      </c>
      <c r="AM365" s="57"/>
      <c r="AN365" s="57"/>
      <c r="AO365" s="59" t="str">
        <f t="shared" si="149"/>
        <v/>
      </c>
      <c r="AP365" s="57"/>
      <c r="AQ365" s="59" t="str">
        <f t="shared" si="130"/>
        <v/>
      </c>
      <c r="AR365" s="57"/>
      <c r="AS365" s="57"/>
      <c r="AT365" s="59" t="str">
        <f t="shared" si="131"/>
        <v/>
      </c>
    </row>
    <row r="366" spans="1:46">
      <c r="A366" s="24" t="s">
        <v>792</v>
      </c>
      <c r="B366" s="26" t="s">
        <v>647</v>
      </c>
      <c r="C366" s="26"/>
      <c r="D366" s="50"/>
      <c r="E366" s="51"/>
      <c r="F366" s="50"/>
      <c r="G366" s="52"/>
      <c r="H366" s="50"/>
      <c r="I366" s="53"/>
      <c r="J366" s="50"/>
      <c r="K366" s="53"/>
      <c r="L366" s="50"/>
      <c r="M366" s="57"/>
      <c r="N366" s="55"/>
      <c r="O366" s="57"/>
      <c r="P366" s="57"/>
      <c r="Q366" s="59"/>
      <c r="R366" s="57"/>
      <c r="S366" s="57"/>
      <c r="T366" s="59"/>
      <c r="U366" s="57"/>
      <c r="V366" s="57"/>
      <c r="W366" s="59"/>
      <c r="X366" s="57"/>
      <c r="Y366" s="57"/>
      <c r="Z366" s="59" t="str">
        <f t="shared" si="144"/>
        <v/>
      </c>
      <c r="AA366" s="57"/>
      <c r="AB366" s="57"/>
      <c r="AC366" s="59" t="str">
        <f t="shared" si="145"/>
        <v/>
      </c>
      <c r="AD366" s="57"/>
      <c r="AE366" s="57"/>
      <c r="AF366" s="59" t="str">
        <f t="shared" si="146"/>
        <v/>
      </c>
      <c r="AG366" s="57"/>
      <c r="AH366" s="57"/>
      <c r="AI366" s="59" t="str">
        <f t="shared" si="147"/>
        <v/>
      </c>
      <c r="AJ366" s="57"/>
      <c r="AK366" s="57"/>
      <c r="AL366" s="59" t="str">
        <f t="shared" si="148"/>
        <v/>
      </c>
      <c r="AM366" s="57"/>
      <c r="AN366" s="57"/>
      <c r="AO366" s="59" t="str">
        <f t="shared" si="149"/>
        <v/>
      </c>
      <c r="AP366" s="57">
        <v>5.5208333333333333E-3</v>
      </c>
      <c r="AQ366" s="59">
        <f t="shared" si="130"/>
        <v>5.5208333333333333E-3</v>
      </c>
      <c r="AR366" s="57">
        <v>5.4398148148148149E-3</v>
      </c>
      <c r="AS366" s="57"/>
      <c r="AT366" s="59">
        <f t="shared" si="131"/>
        <v>5.4398148148148149E-3</v>
      </c>
    </row>
    <row r="367" spans="1:46" hidden="1">
      <c r="A367" s="24"/>
      <c r="B367" s="26" t="s">
        <v>786</v>
      </c>
      <c r="C367" s="26"/>
      <c r="D367" s="50"/>
      <c r="E367" s="51"/>
      <c r="F367" s="50"/>
      <c r="G367" s="52"/>
      <c r="H367" s="50"/>
      <c r="I367" s="53"/>
      <c r="J367" s="50"/>
      <c r="K367" s="53"/>
      <c r="L367" s="50"/>
      <c r="M367" s="57"/>
      <c r="N367" s="55"/>
      <c r="O367" s="57"/>
      <c r="P367" s="57"/>
      <c r="Q367" s="59"/>
      <c r="R367" s="57"/>
      <c r="S367" s="57"/>
      <c r="T367" s="59"/>
      <c r="U367" s="57"/>
      <c r="V367" s="57"/>
      <c r="W367" s="59"/>
      <c r="X367" s="57"/>
      <c r="Y367" s="57"/>
      <c r="Z367" s="59"/>
      <c r="AA367" s="57"/>
      <c r="AB367" s="57"/>
      <c r="AC367" s="59"/>
      <c r="AD367" s="57"/>
      <c r="AE367" s="57"/>
      <c r="AF367" s="59"/>
      <c r="AG367" s="57"/>
      <c r="AH367" s="57"/>
      <c r="AI367" s="59"/>
      <c r="AJ367" s="57"/>
      <c r="AK367" s="57"/>
      <c r="AL367" s="59" t="str">
        <f t="shared" si="148"/>
        <v/>
      </c>
      <c r="AM367" s="57"/>
      <c r="AN367" s="57"/>
      <c r="AO367" s="59" t="str">
        <f t="shared" si="149"/>
        <v/>
      </c>
      <c r="AP367" s="57"/>
      <c r="AQ367" s="59" t="str">
        <f t="shared" si="130"/>
        <v/>
      </c>
      <c r="AR367" s="57"/>
      <c r="AS367" s="57"/>
      <c r="AT367" s="59" t="str">
        <f t="shared" si="131"/>
        <v/>
      </c>
    </row>
    <row r="368" spans="1:46" hidden="1">
      <c r="A368" s="24"/>
      <c r="B368" s="26" t="s">
        <v>789</v>
      </c>
      <c r="C368" s="26"/>
      <c r="D368" s="50"/>
      <c r="E368" s="51"/>
      <c r="F368" s="50"/>
      <c r="G368" s="52"/>
      <c r="H368" s="50"/>
      <c r="I368" s="53"/>
      <c r="J368" s="50"/>
      <c r="K368" s="53"/>
      <c r="L368" s="50"/>
      <c r="M368" s="57"/>
      <c r="N368" s="55"/>
      <c r="O368" s="57"/>
      <c r="P368" s="57"/>
      <c r="Q368" s="59"/>
      <c r="R368" s="57"/>
      <c r="S368" s="57"/>
      <c r="T368" s="59"/>
      <c r="U368" s="57"/>
      <c r="V368" s="57"/>
      <c r="W368" s="59"/>
      <c r="X368" s="57"/>
      <c r="Y368" s="57"/>
      <c r="Z368" s="59"/>
      <c r="AA368" s="57"/>
      <c r="AB368" s="57"/>
      <c r="AC368" s="59"/>
      <c r="AD368" s="57"/>
      <c r="AE368" s="57"/>
      <c r="AF368" s="59"/>
      <c r="AG368" s="57"/>
      <c r="AH368" s="57"/>
      <c r="AI368" s="59"/>
      <c r="AJ368" s="57"/>
      <c r="AK368" s="57"/>
      <c r="AL368" s="59" t="str">
        <f t="shared" si="148"/>
        <v/>
      </c>
      <c r="AM368" s="57"/>
      <c r="AN368" s="57"/>
      <c r="AO368" s="59" t="str">
        <f t="shared" si="149"/>
        <v/>
      </c>
      <c r="AP368" s="57"/>
      <c r="AQ368" s="59" t="str">
        <f t="shared" si="130"/>
        <v/>
      </c>
      <c r="AR368" s="57"/>
      <c r="AS368" s="57"/>
      <c r="AT368" s="59" t="str">
        <f t="shared" si="131"/>
        <v/>
      </c>
    </row>
    <row r="369" spans="1:46" hidden="1">
      <c r="A369" s="24"/>
      <c r="B369" s="26" t="s">
        <v>464</v>
      </c>
      <c r="C369" s="26" t="s">
        <v>444</v>
      </c>
      <c r="D369" s="50"/>
      <c r="E369" s="51"/>
      <c r="F369" s="50"/>
      <c r="G369" s="52"/>
      <c r="H369" s="50"/>
      <c r="I369" s="53"/>
      <c r="J369" s="50"/>
      <c r="K369" s="53"/>
      <c r="L369" s="50"/>
      <c r="M369" s="57"/>
      <c r="N369" s="55"/>
      <c r="O369" s="57"/>
      <c r="P369" s="57"/>
      <c r="Q369" s="59" t="str">
        <f>IF(MIN(IF(ISBLANK(O369),N369,O369),IF(ISBLANK(N369),O369,N369))=0,"",MIN(IF(ISBLANK(O369),N369,O369),IF(ISBLANK(N369),O369,N369)))</f>
        <v/>
      </c>
      <c r="R369" s="57"/>
      <c r="S369" s="57"/>
      <c r="T369" s="59" t="str">
        <f>IF(MIN(IF(ISBLANK(R369),Q369,R369),IF(ISBLANK(Q369),R369,Q369))=0,"",MIN(IF(ISBLANK(R369),Q369,R369),IF(ISBLANK(Q369),R369,Q369)))</f>
        <v/>
      </c>
      <c r="U369" s="57"/>
      <c r="V369" s="57"/>
      <c r="W369" s="59" t="str">
        <f>IF(MIN(IF(ISBLANK(U369),T369,U369),IF(ISBLANK(T369),U369,T369))=0,"",MIN(IF(ISBLANK(U369),T369,U369),IF(ISBLANK(T369),U369,T369)))</f>
        <v/>
      </c>
      <c r="X369" s="57"/>
      <c r="Y369" s="57"/>
      <c r="Z369" s="59" t="str">
        <f>IF(MIN(IF(ISBLANK(X369),W369,X369),IF(ISBLANK(W369),X369,W369))=0,"",MIN(IF(ISBLANK(X369),W369,X369),IF(ISBLANK(W369),X369,W369)))</f>
        <v/>
      </c>
      <c r="AA369" s="57"/>
      <c r="AB369" s="57"/>
      <c r="AC369" s="59" t="str">
        <f>IF(MIN(IF(ISBLANK(Z369),AA369,Z369),IF(ISBLANK(AA369),Z369,AA369))=0,"",MIN(IF(ISBLANK(Z369),AA369,Z369),IF(ISBLANK(AA369),Z369,AA369)))</f>
        <v/>
      </c>
      <c r="AD369" s="57"/>
      <c r="AE369" s="57"/>
      <c r="AF369" s="59" t="str">
        <f>IF(MIN(IF(ISBLANK(AC369),AD369,AC369),IF(ISBLANK(AD369),AC369,AD369))=0,"",MIN(IF(ISBLANK(AC369),AD369,AC369),IF(ISBLANK(AD369),AC369,AD369)))</f>
        <v/>
      </c>
      <c r="AG369" s="57"/>
      <c r="AH369" s="57"/>
      <c r="AI369" s="59" t="str">
        <f>IF(MIN(IF(ISBLANK(AF369),AG369,AF369),IF(ISBLANK(AG369),AF369,AG369))=0,"",MIN(IF(ISBLANK(AF369),AG369,AF369),IF(ISBLANK(AG369),AF369,AG369)))</f>
        <v/>
      </c>
      <c r="AJ369" s="57"/>
      <c r="AK369" s="57"/>
      <c r="AL369" s="59" t="str">
        <f t="shared" si="148"/>
        <v/>
      </c>
      <c r="AM369" s="57"/>
      <c r="AN369" s="57"/>
      <c r="AO369" s="59" t="str">
        <f t="shared" si="149"/>
        <v/>
      </c>
      <c r="AP369" s="57"/>
      <c r="AQ369" s="59" t="str">
        <f t="shared" si="130"/>
        <v/>
      </c>
      <c r="AR369" s="57"/>
      <c r="AS369" s="57"/>
      <c r="AT369" s="59" t="str">
        <f t="shared" si="131"/>
        <v/>
      </c>
    </row>
    <row r="370" spans="1:46" hidden="1">
      <c r="A370" s="24"/>
      <c r="B370" s="26" t="s">
        <v>648</v>
      </c>
      <c r="C370" s="26"/>
      <c r="D370" s="50"/>
      <c r="E370" s="51"/>
      <c r="F370" s="50"/>
      <c r="G370" s="52"/>
      <c r="H370" s="50"/>
      <c r="I370" s="53"/>
      <c r="J370" s="50"/>
      <c r="K370" s="53"/>
      <c r="L370" s="50"/>
      <c r="M370" s="57"/>
      <c r="N370" s="55"/>
      <c r="O370" s="57"/>
      <c r="P370" s="57"/>
      <c r="Q370" s="59"/>
      <c r="R370" s="57"/>
      <c r="S370" s="57"/>
      <c r="T370" s="59"/>
      <c r="U370" s="57"/>
      <c r="V370" s="57"/>
      <c r="W370" s="59"/>
      <c r="X370" s="57">
        <v>7.3263888888888892E-3</v>
      </c>
      <c r="Y370" s="57"/>
      <c r="Z370" s="59">
        <f>IF(MIN(IF(ISBLANK(X370),W370,X370),IF(ISBLANK(W370),X370,W370))=0,"",MIN(IF(ISBLANK(X370),W370,X370),IF(ISBLANK(W370),X370,W370)))</f>
        <v>7.3263888888888892E-3</v>
      </c>
      <c r="AA370" s="57"/>
      <c r="AB370" s="57"/>
      <c r="AC370" s="59">
        <f>IF(MIN(IF(ISBLANK(Z370),AA370,Z370),IF(ISBLANK(AA370),Z370,AA370))=0,"",MIN(IF(ISBLANK(Z370),AA370,Z370),IF(ISBLANK(AA370),Z370,AA370)))</f>
        <v>7.3263888888888892E-3</v>
      </c>
      <c r="AD370" s="57"/>
      <c r="AE370" s="57"/>
      <c r="AF370" s="59">
        <f>IF(MIN(IF(ISBLANK(AC370),AD370,AC370),IF(ISBLANK(AD370),AC370,AD370))=0,"",MIN(IF(ISBLANK(AC370),AD370,AC370),IF(ISBLANK(AD370),AC370,AD370)))</f>
        <v>7.3263888888888892E-3</v>
      </c>
      <c r="AG370" s="57"/>
      <c r="AH370" s="57"/>
      <c r="AI370" s="59">
        <f>IF(MIN(IF(ISBLANK(AF370),AG370,AF370),IF(ISBLANK(AG370),AF370,AG370))=0,"",MIN(IF(ISBLANK(AF370),AG370,AF370),IF(ISBLANK(AG370),AF370,AG370)))</f>
        <v>7.3263888888888892E-3</v>
      </c>
      <c r="AJ370" s="57"/>
      <c r="AK370" s="57"/>
      <c r="AL370" s="59">
        <f t="shared" si="148"/>
        <v>7.3263888888888892E-3</v>
      </c>
      <c r="AM370" s="57"/>
      <c r="AN370" s="57"/>
      <c r="AO370" s="59">
        <f t="shared" si="149"/>
        <v>7.3263888888888892E-3</v>
      </c>
      <c r="AP370" s="57"/>
      <c r="AQ370" s="59">
        <f t="shared" si="130"/>
        <v>7.3263888888888892E-3</v>
      </c>
      <c r="AR370" s="57"/>
      <c r="AS370" s="57"/>
      <c r="AT370" s="59">
        <f t="shared" si="131"/>
        <v>7.3263888888888892E-3</v>
      </c>
    </row>
    <row r="371" spans="1:46">
      <c r="A371" s="24" t="s">
        <v>792</v>
      </c>
      <c r="B371" s="26" t="s">
        <v>738</v>
      </c>
      <c r="C371" s="26"/>
      <c r="D371" s="50"/>
      <c r="E371" s="51"/>
      <c r="F371" s="50"/>
      <c r="G371" s="52"/>
      <c r="H371" s="50"/>
      <c r="I371" s="53"/>
      <c r="J371" s="50"/>
      <c r="K371" s="53"/>
      <c r="L371" s="50"/>
      <c r="M371" s="57"/>
      <c r="N371" s="55"/>
      <c r="O371" s="57"/>
      <c r="P371" s="57"/>
      <c r="Q371" s="59"/>
      <c r="R371" s="57"/>
      <c r="S371" s="57"/>
      <c r="T371" s="59"/>
      <c r="U371" s="57"/>
      <c r="V371" s="57"/>
      <c r="W371" s="59"/>
      <c r="X371" s="57"/>
      <c r="Y371" s="57"/>
      <c r="Z371" s="59"/>
      <c r="AA371" s="57"/>
      <c r="AB371" s="57"/>
      <c r="AC371" s="59"/>
      <c r="AD371" s="57"/>
      <c r="AE371" s="57"/>
      <c r="AF371" s="59" t="str">
        <f>IF(MIN(IF(ISBLANK(AC371),AD371,AC371),IF(ISBLANK(AD371),AC371,AD371))=0,"",MIN(IF(ISBLANK(AC371),AD371,AC371),IF(ISBLANK(AD371),AC371,AD371)))</f>
        <v/>
      </c>
      <c r="AG371" s="57"/>
      <c r="AH371" s="57"/>
      <c r="AI371" s="59" t="str">
        <f>IF(MIN(IF(ISBLANK(AF371),AG371,AF371),IF(ISBLANK(AG371),AF371,AG371))=0,"",MIN(IF(ISBLANK(AF371),AG371,AF371),IF(ISBLANK(AG371),AF371,AG371)))</f>
        <v/>
      </c>
      <c r="AJ371" s="57"/>
      <c r="AK371" s="57"/>
      <c r="AL371" s="59" t="str">
        <f t="shared" si="148"/>
        <v/>
      </c>
      <c r="AM371" s="57"/>
      <c r="AN371" s="57"/>
      <c r="AO371" s="59" t="str">
        <f t="shared" si="149"/>
        <v/>
      </c>
      <c r="AP371" s="57"/>
      <c r="AQ371" s="59" t="str">
        <f t="shared" si="130"/>
        <v/>
      </c>
      <c r="AR371" s="57"/>
      <c r="AS371" s="57"/>
      <c r="AT371" s="59" t="str">
        <f t="shared" si="131"/>
        <v/>
      </c>
    </row>
    <row r="372" spans="1:46" hidden="1">
      <c r="A372" s="24"/>
      <c r="B372" s="26" t="s">
        <v>867</v>
      </c>
      <c r="C372" s="26"/>
      <c r="D372" s="50"/>
      <c r="E372" s="51"/>
      <c r="F372" s="50"/>
      <c r="G372" s="52"/>
      <c r="H372" s="50"/>
      <c r="I372" s="53"/>
      <c r="J372" s="50"/>
      <c r="K372" s="53"/>
      <c r="L372" s="50"/>
      <c r="M372" s="57"/>
      <c r="N372" s="55"/>
      <c r="O372" s="57"/>
      <c r="P372" s="57"/>
      <c r="Q372" s="59"/>
      <c r="R372" s="57"/>
      <c r="S372" s="57"/>
      <c r="T372" s="59"/>
      <c r="U372" s="57"/>
      <c r="V372" s="57"/>
      <c r="W372" s="59"/>
      <c r="X372" s="57"/>
      <c r="Y372" s="57"/>
      <c r="Z372" s="59"/>
      <c r="AA372" s="57"/>
      <c r="AB372" s="57"/>
      <c r="AC372" s="59"/>
      <c r="AD372" s="57"/>
      <c r="AE372" s="57"/>
      <c r="AF372" s="59"/>
      <c r="AG372" s="57"/>
      <c r="AH372" s="57"/>
      <c r="AI372" s="59"/>
      <c r="AJ372" s="57"/>
      <c r="AK372" s="57"/>
      <c r="AL372" s="59"/>
      <c r="AM372" s="57"/>
      <c r="AN372" s="57"/>
      <c r="AO372" s="59"/>
      <c r="AP372" s="57"/>
      <c r="AQ372" s="59" t="str">
        <f t="shared" si="130"/>
        <v/>
      </c>
      <c r="AR372" s="57"/>
      <c r="AS372" s="57"/>
      <c r="AT372" s="59" t="str">
        <f t="shared" si="131"/>
        <v/>
      </c>
    </row>
    <row r="373" spans="1:46" hidden="1">
      <c r="A373" s="24"/>
      <c r="B373" s="26" t="s">
        <v>36</v>
      </c>
      <c r="C373" s="26" t="s">
        <v>444</v>
      </c>
      <c r="D373" s="50">
        <v>10.35</v>
      </c>
      <c r="E373" s="51"/>
      <c r="F373" s="50">
        <v>10.35</v>
      </c>
      <c r="G373" s="52"/>
      <c r="H373" s="50">
        <v>10.35</v>
      </c>
      <c r="I373" s="53"/>
      <c r="J373" s="50">
        <v>10.35</v>
      </c>
      <c r="K373" s="53"/>
      <c r="L373" s="50">
        <v>10.35</v>
      </c>
      <c r="M373" s="57"/>
      <c r="N373" s="55">
        <v>7.3495370370370372E-3</v>
      </c>
      <c r="O373" s="57"/>
      <c r="P373" s="57"/>
      <c r="Q373" s="59">
        <f>IF(MIN(IF(ISBLANK(O373),N373,O373),IF(ISBLANK(N373),O373,N373))=0,"",MIN(IF(ISBLANK(O373),N373,O373),IF(ISBLANK(N373),O373,N373)))</f>
        <v>7.3495370370370372E-3</v>
      </c>
      <c r="R373" s="57"/>
      <c r="S373" s="57"/>
      <c r="T373" s="59">
        <f>IF(MIN(IF(ISBLANK(R373),Q373,R373),IF(ISBLANK(Q373),R373,Q373))=0,"",MIN(IF(ISBLANK(R373),Q373,R373),IF(ISBLANK(Q373),R373,Q373)))</f>
        <v>7.3495370370370372E-3</v>
      </c>
      <c r="U373" s="57"/>
      <c r="V373" s="57"/>
      <c r="W373" s="59">
        <f>IF(MIN(IF(ISBLANK(U373),T373,U373),IF(ISBLANK(T373),U373,T373))=0,"",MIN(IF(ISBLANK(U373),T373,U373),IF(ISBLANK(T373),U373,T373)))</f>
        <v>7.3495370370370372E-3</v>
      </c>
      <c r="X373" s="57"/>
      <c r="Y373" s="57"/>
      <c r="Z373" s="59">
        <f>IF(MIN(IF(ISBLANK(X373),W373,X373),IF(ISBLANK(W373),X373,W373))=0,"",MIN(IF(ISBLANK(X373),W373,X373),IF(ISBLANK(W373),X373,W373)))</f>
        <v>7.3495370370370372E-3</v>
      </c>
      <c r="AA373" s="57"/>
      <c r="AB373" s="57"/>
      <c r="AC373" s="59">
        <f>IF(MIN(IF(ISBLANK(Z373),AA373,Z373),IF(ISBLANK(AA373),Z373,AA373))=0,"",MIN(IF(ISBLANK(Z373),AA373,Z373),IF(ISBLANK(AA373),Z373,AA373)))</f>
        <v>7.3495370370370372E-3</v>
      </c>
      <c r="AD373" s="57"/>
      <c r="AE373" s="57"/>
      <c r="AF373" s="59">
        <f>IF(MIN(IF(ISBLANK(AC373),AD373,AC373),IF(ISBLANK(AD373),AC373,AD373))=0,"",MIN(IF(ISBLANK(AC373),AD373,AC373),IF(ISBLANK(AD373),AC373,AD373)))</f>
        <v>7.3495370370370372E-3</v>
      </c>
      <c r="AG373" s="57"/>
      <c r="AH373" s="57"/>
      <c r="AI373" s="59">
        <f>IF(MIN(IF(ISBLANK(AF373),AG373,AF373),IF(ISBLANK(AG373),AF373,AG373))=0,"",MIN(IF(ISBLANK(AF373),AG373,AF373),IF(ISBLANK(AG373),AF373,AG373)))</f>
        <v>7.3495370370370372E-3</v>
      </c>
      <c r="AJ373" s="57"/>
      <c r="AK373" s="57"/>
      <c r="AL373" s="59">
        <f>IF(MIN(IF(ISBLANK(AI373),AJ373,AI373),IF(ISBLANK(AJ373),AI373,AJ373))=0,"",MIN(IF(ISBLANK(AI373),AJ373,AI373),IF(ISBLANK(AJ373),AI373,AJ373)))</f>
        <v>7.3495370370370372E-3</v>
      </c>
      <c r="AM373" s="57"/>
      <c r="AN373" s="57"/>
      <c r="AO373" s="59">
        <f>IF(MIN(IF(ISBLANK(AL373),AM373,AL373),IF(ISBLANK(AM373),AL373,AM373))=0,"",MIN(IF(ISBLANK(AL373),AM373,AL373),IF(ISBLANK(AM373),AL373,AM373)))</f>
        <v>7.3495370370370372E-3</v>
      </c>
      <c r="AP373" s="57"/>
      <c r="AQ373" s="59">
        <f t="shared" si="130"/>
        <v>7.3495370370370372E-3</v>
      </c>
      <c r="AR373" s="57"/>
      <c r="AS373" s="57"/>
      <c r="AT373" s="59">
        <f t="shared" si="131"/>
        <v>7.3495370370370372E-3</v>
      </c>
    </row>
    <row r="374" spans="1:46" hidden="1">
      <c r="A374" s="24"/>
      <c r="B374" s="26" t="s">
        <v>871</v>
      </c>
      <c r="C374" s="26"/>
      <c r="D374" s="50"/>
      <c r="E374" s="51"/>
      <c r="F374" s="50"/>
      <c r="G374" s="52"/>
      <c r="H374" s="50"/>
      <c r="I374" s="53"/>
      <c r="J374" s="50"/>
      <c r="K374" s="53"/>
      <c r="L374" s="50"/>
      <c r="M374" s="57"/>
      <c r="N374" s="55"/>
      <c r="O374" s="57"/>
      <c r="P374" s="57"/>
      <c r="Q374" s="59"/>
      <c r="R374" s="57"/>
      <c r="S374" s="57"/>
      <c r="T374" s="59"/>
      <c r="U374" s="57"/>
      <c r="V374" s="57"/>
      <c r="W374" s="59"/>
      <c r="X374" s="57"/>
      <c r="Y374" s="57"/>
      <c r="Z374" s="59"/>
      <c r="AA374" s="57"/>
      <c r="AB374" s="57"/>
      <c r="AC374" s="59"/>
      <c r="AD374" s="57"/>
      <c r="AE374" s="57"/>
      <c r="AF374" s="59"/>
      <c r="AG374" s="57"/>
      <c r="AH374" s="57"/>
      <c r="AI374" s="59"/>
      <c r="AJ374" s="57"/>
      <c r="AK374" s="57"/>
      <c r="AL374" s="59"/>
      <c r="AM374" s="57"/>
      <c r="AN374" s="57"/>
      <c r="AO374" s="59"/>
      <c r="AP374" s="57"/>
      <c r="AQ374" s="59" t="str">
        <f t="shared" si="130"/>
        <v/>
      </c>
      <c r="AR374" s="57"/>
      <c r="AS374" s="57"/>
      <c r="AT374" s="59" t="str">
        <f t="shared" si="131"/>
        <v/>
      </c>
    </row>
    <row r="375" spans="1:46" hidden="1">
      <c r="A375" s="24"/>
      <c r="B375" s="26" t="s">
        <v>649</v>
      </c>
      <c r="C375" s="26"/>
      <c r="D375" s="50"/>
      <c r="E375" s="51"/>
      <c r="F375" s="50"/>
      <c r="G375" s="52"/>
      <c r="H375" s="50"/>
      <c r="I375" s="53"/>
      <c r="J375" s="50"/>
      <c r="K375" s="53"/>
      <c r="L375" s="50"/>
      <c r="M375" s="57"/>
      <c r="N375" s="55"/>
      <c r="O375" s="57"/>
      <c r="P375" s="57"/>
      <c r="Q375" s="59"/>
      <c r="R375" s="57"/>
      <c r="S375" s="57"/>
      <c r="T375" s="59"/>
      <c r="U375" s="57"/>
      <c r="V375" s="57"/>
      <c r="W375" s="59"/>
      <c r="X375" s="57">
        <v>5.9606481481481489E-3</v>
      </c>
      <c r="Y375" s="57"/>
      <c r="Z375" s="59">
        <f>IF(MIN(IF(ISBLANK(X375),W375,X375),IF(ISBLANK(W375),X375,W375))=0,"",MIN(IF(ISBLANK(X375),W375,X375),IF(ISBLANK(W375),X375,W375)))</f>
        <v>5.9606481481481489E-3</v>
      </c>
      <c r="AA375" s="57"/>
      <c r="AB375" s="57"/>
      <c r="AC375" s="59">
        <f>IF(MIN(IF(ISBLANK(Z375),AA375,Z375),IF(ISBLANK(AA375),Z375,AA375))=0,"",MIN(IF(ISBLANK(Z375),AA375,Z375),IF(ISBLANK(AA375),Z375,AA375)))</f>
        <v>5.9606481481481489E-3</v>
      </c>
      <c r="AD375" s="57"/>
      <c r="AE375" s="57"/>
      <c r="AF375" s="59">
        <f>IF(MIN(IF(ISBLANK(AC375),AD375,AC375),IF(ISBLANK(AD375),AC375,AD375))=0,"",MIN(IF(ISBLANK(AC375),AD375,AC375),IF(ISBLANK(AD375),AC375,AD375)))</f>
        <v>5.9606481481481489E-3</v>
      </c>
      <c r="AG375" s="57"/>
      <c r="AH375" s="57"/>
      <c r="AI375" s="59">
        <f>IF(MIN(IF(ISBLANK(AF375),AG375,AF375),IF(ISBLANK(AG375),AF375,AG375))=0,"",MIN(IF(ISBLANK(AF375),AG375,AF375),IF(ISBLANK(AG375),AF375,AG375)))</f>
        <v>5.9606481481481489E-3</v>
      </c>
      <c r="AJ375" s="57"/>
      <c r="AK375" s="57"/>
      <c r="AL375" s="59">
        <f>IF(MIN(IF(ISBLANK(AI375),AJ375,AI375),IF(ISBLANK(AJ375),AI375,AJ375))=0,"",MIN(IF(ISBLANK(AI375),AJ375,AI375),IF(ISBLANK(AJ375),AI375,AJ375)))</f>
        <v>5.9606481481481489E-3</v>
      </c>
      <c r="AM375" s="57"/>
      <c r="AN375" s="57"/>
      <c r="AO375" s="59">
        <f>IF(MIN(IF(ISBLANK(AL375),AM375,AL375),IF(ISBLANK(AM375),AL375,AM375))=0,"",MIN(IF(ISBLANK(AL375),AM375,AL375),IF(ISBLANK(AM375),AL375,AM375)))</f>
        <v>5.9606481481481489E-3</v>
      </c>
      <c r="AP375" s="57"/>
      <c r="AQ375" s="59">
        <f t="shared" si="130"/>
        <v>5.9606481481481489E-3</v>
      </c>
      <c r="AR375" s="57"/>
      <c r="AS375" s="57"/>
      <c r="AT375" s="59">
        <f t="shared" si="131"/>
        <v>5.9606481481481489E-3</v>
      </c>
    </row>
    <row r="376" spans="1:46" hidden="1">
      <c r="A376" s="24"/>
      <c r="B376" s="26" t="s">
        <v>367</v>
      </c>
      <c r="C376" s="26" t="s">
        <v>443</v>
      </c>
      <c r="D376" s="50"/>
      <c r="E376" s="51"/>
      <c r="F376" s="50"/>
      <c r="G376" s="52" t="s">
        <v>354</v>
      </c>
      <c r="H376" s="50">
        <v>7.57</v>
      </c>
      <c r="I376" s="53">
        <v>7.47</v>
      </c>
      <c r="J376" s="50">
        <v>7.47</v>
      </c>
      <c r="K376" s="53"/>
      <c r="L376" s="50">
        <v>7.47</v>
      </c>
      <c r="M376" s="57"/>
      <c r="N376" s="55">
        <v>5.4050925925925924E-3</v>
      </c>
      <c r="O376" s="57"/>
      <c r="P376" s="57"/>
      <c r="Q376" s="59">
        <f>IF(MIN(IF(ISBLANK(O376),N376,O376),IF(ISBLANK(N376),O376,N376))=0,"",MIN(IF(ISBLANK(O376),N376,O376),IF(ISBLANK(N376),O376,N376)))</f>
        <v>5.4050925925925924E-3</v>
      </c>
      <c r="R376" s="57"/>
      <c r="S376" s="57"/>
      <c r="T376" s="59">
        <f>IF(MIN(IF(ISBLANK(R376),Q376,R376),IF(ISBLANK(Q376),R376,Q376))=0,"",MIN(IF(ISBLANK(R376),Q376,R376),IF(ISBLANK(Q376),R376,Q376)))</f>
        <v>5.4050925925925924E-3</v>
      </c>
      <c r="U376" s="57">
        <v>5.4513888888888884E-3</v>
      </c>
      <c r="V376" s="57"/>
      <c r="W376" s="59">
        <f>IF(MIN(IF(ISBLANK(U376),T376,U376),IF(ISBLANK(T376),U376,T376))=0,"",MIN(IF(ISBLANK(U376),T376,U376),IF(ISBLANK(T376),U376,T376)))</f>
        <v>5.4050925925925924E-3</v>
      </c>
      <c r="X376" s="57">
        <v>5.347222222222222E-3</v>
      </c>
      <c r="Y376" s="57"/>
      <c r="Z376" s="59">
        <f>IF(MIN(IF(ISBLANK(X376),W376,X376),IF(ISBLANK(W376),X376,W376))=0,"",MIN(IF(ISBLANK(X376),W376,X376),IF(ISBLANK(W376),X376,W376)))</f>
        <v>5.347222222222222E-3</v>
      </c>
      <c r="AA376" s="57"/>
      <c r="AB376" s="57"/>
      <c r="AC376" s="59">
        <f>IF(MIN(IF(ISBLANK(Z376),AA376,Z376),IF(ISBLANK(AA376),Z376,AA376))=0,"",MIN(IF(ISBLANK(Z376),AA376,Z376),IF(ISBLANK(AA376),Z376,AA376)))</f>
        <v>5.347222222222222E-3</v>
      </c>
      <c r="AD376" s="57"/>
      <c r="AE376" s="57"/>
      <c r="AF376" s="59">
        <f>IF(MIN(IF(ISBLANK(AC376),AD376,AC376),IF(ISBLANK(AD376),AC376,AD376))=0,"",MIN(IF(ISBLANK(AC376),AD376,AC376),IF(ISBLANK(AD376),AC376,AD376)))</f>
        <v>5.347222222222222E-3</v>
      </c>
      <c r="AG376" s="57"/>
      <c r="AH376" s="57"/>
      <c r="AI376" s="59">
        <f>IF(MIN(IF(ISBLANK(AF376),AG376,AF376),IF(ISBLANK(AG376),AF376,AG376))=0,"",MIN(IF(ISBLANK(AF376),AG376,AF376),IF(ISBLANK(AG376),AF376,AG376)))</f>
        <v>5.347222222222222E-3</v>
      </c>
      <c r="AJ376" s="57"/>
      <c r="AK376" s="57"/>
      <c r="AL376" s="59">
        <f>IF(MIN(IF(ISBLANK(AI376),AJ376,AI376),IF(ISBLANK(AJ376),AI376,AJ376))=0,"",MIN(IF(ISBLANK(AI376),AJ376,AI376),IF(ISBLANK(AJ376),AI376,AJ376)))</f>
        <v>5.347222222222222E-3</v>
      </c>
      <c r="AM376" s="57"/>
      <c r="AN376" s="57"/>
      <c r="AO376" s="59">
        <f>IF(MIN(IF(ISBLANK(AL376),AM376,AL376),IF(ISBLANK(AM376),AL376,AM376))=0,"",MIN(IF(ISBLANK(AL376),AM376,AL376),IF(ISBLANK(AM376),AL376,AM376)))</f>
        <v>5.347222222222222E-3</v>
      </c>
      <c r="AP376" s="57"/>
      <c r="AQ376" s="59">
        <f t="shared" si="130"/>
        <v>5.347222222222222E-3</v>
      </c>
      <c r="AR376" s="57"/>
      <c r="AS376" s="57"/>
      <c r="AT376" s="59">
        <f t="shared" si="131"/>
        <v>5.347222222222222E-3</v>
      </c>
    </row>
    <row r="377" spans="1:46" hidden="1">
      <c r="A377" s="24"/>
      <c r="B377" s="26" t="s">
        <v>30</v>
      </c>
      <c r="C377" s="26" t="s">
        <v>443</v>
      </c>
      <c r="D377" s="50" t="s">
        <v>220</v>
      </c>
      <c r="E377" s="51"/>
      <c r="F377" s="50" t="s">
        <v>220</v>
      </c>
      <c r="G377" s="52"/>
      <c r="H377" s="50" t="s">
        <v>220</v>
      </c>
      <c r="I377" s="53"/>
      <c r="J377" s="50" t="s">
        <v>220</v>
      </c>
      <c r="K377" s="53"/>
      <c r="L377" s="50" t="s">
        <v>220</v>
      </c>
      <c r="M377" s="57"/>
      <c r="N377" s="55">
        <v>6.1342592592592594E-3</v>
      </c>
      <c r="O377" s="57"/>
      <c r="P377" s="57"/>
      <c r="Q377" s="59">
        <f>IF(MIN(IF(ISBLANK(O377),N377,O377),IF(ISBLANK(N377),O377,N377))=0,"",MIN(IF(ISBLANK(O377),N377,O377),IF(ISBLANK(N377),O377,N377)))</f>
        <v>6.1342592592592594E-3</v>
      </c>
      <c r="R377" s="57"/>
      <c r="S377" s="57"/>
      <c r="T377" s="59">
        <f>IF(MIN(IF(ISBLANK(R377),Q377,R377),IF(ISBLANK(Q377),R377,Q377))=0,"",MIN(IF(ISBLANK(R377),Q377,R377),IF(ISBLANK(Q377),R377,Q377)))</f>
        <v>6.1342592592592594E-3</v>
      </c>
      <c r="U377" s="57"/>
      <c r="V377" s="57"/>
      <c r="W377" s="59">
        <f>IF(MIN(IF(ISBLANK(U377),T377,U377),IF(ISBLANK(T377),U377,T377))=0,"",MIN(IF(ISBLANK(U377),T377,U377),IF(ISBLANK(T377),U377,T377)))</f>
        <v>6.1342592592592594E-3</v>
      </c>
      <c r="X377" s="57"/>
      <c r="Y377" s="57"/>
      <c r="Z377" s="59">
        <f>IF(MIN(IF(ISBLANK(X377),W377,X377),IF(ISBLANK(W377),X377,W377))=0,"",MIN(IF(ISBLANK(X377),W377,X377),IF(ISBLANK(W377),X377,W377)))</f>
        <v>6.1342592592592594E-3</v>
      </c>
      <c r="AA377" s="57"/>
      <c r="AB377" s="57"/>
      <c r="AC377" s="59">
        <f>IF(MIN(IF(ISBLANK(Z377),AA377,Z377),IF(ISBLANK(AA377),Z377,AA377))=0,"",MIN(IF(ISBLANK(Z377),AA377,Z377),IF(ISBLANK(AA377),Z377,AA377)))</f>
        <v>6.1342592592592594E-3</v>
      </c>
      <c r="AD377" s="57"/>
      <c r="AE377" s="57"/>
      <c r="AF377" s="59">
        <f>IF(MIN(IF(ISBLANK(AC377),AD377,AC377),IF(ISBLANK(AD377),AC377,AD377))=0,"",MIN(IF(ISBLANK(AC377),AD377,AC377),IF(ISBLANK(AD377),AC377,AD377)))</f>
        <v>6.1342592592592594E-3</v>
      </c>
      <c r="AG377" s="57"/>
      <c r="AH377" s="57"/>
      <c r="AI377" s="59">
        <f>IF(MIN(IF(ISBLANK(AF377),AG377,AF377),IF(ISBLANK(AG377),AF377,AG377))=0,"",MIN(IF(ISBLANK(AF377),AG377,AF377),IF(ISBLANK(AG377),AF377,AG377)))</f>
        <v>6.1342592592592594E-3</v>
      </c>
      <c r="AJ377" s="57"/>
      <c r="AK377" s="57"/>
      <c r="AL377" s="59">
        <f>IF(MIN(IF(ISBLANK(AI377),AJ377,AI377),IF(ISBLANK(AJ377),AI377,AJ377))=0,"",MIN(IF(ISBLANK(AI377),AJ377,AI377),IF(ISBLANK(AJ377),AI377,AJ377)))</f>
        <v>6.1342592592592594E-3</v>
      </c>
      <c r="AM377" s="57"/>
      <c r="AN377" s="57"/>
      <c r="AO377" s="59">
        <f>IF(MIN(IF(ISBLANK(AL377),AM377,AL377),IF(ISBLANK(AM377),AL377,AM377))=0,"",MIN(IF(ISBLANK(AL377),AM377,AL377),IF(ISBLANK(AM377),AL377,AM377)))</f>
        <v>6.1342592592592594E-3</v>
      </c>
      <c r="AP377" s="57"/>
      <c r="AQ377" s="59">
        <f t="shared" si="130"/>
        <v>6.1342592592592594E-3</v>
      </c>
      <c r="AR377" s="57"/>
      <c r="AS377" s="57"/>
      <c r="AT377" s="59">
        <f t="shared" si="131"/>
        <v>6.1342592592592594E-3</v>
      </c>
    </row>
    <row r="378" spans="1:46">
      <c r="A378" s="24" t="s">
        <v>792</v>
      </c>
      <c r="B378" s="26" t="s">
        <v>755</v>
      </c>
      <c r="C378" s="26"/>
      <c r="D378" s="50"/>
      <c r="E378" s="51"/>
      <c r="F378" s="50"/>
      <c r="G378" s="52"/>
      <c r="H378" s="50"/>
      <c r="I378" s="53"/>
      <c r="J378" s="50"/>
      <c r="K378" s="53"/>
      <c r="L378" s="50"/>
      <c r="M378" s="57"/>
      <c r="N378" s="55"/>
      <c r="O378" s="57"/>
      <c r="P378" s="57"/>
      <c r="Q378" s="59"/>
      <c r="R378" s="57"/>
      <c r="S378" s="57"/>
      <c r="T378" s="59"/>
      <c r="U378" s="57"/>
      <c r="V378" s="57"/>
      <c r="W378" s="59"/>
      <c r="X378" s="57"/>
      <c r="Y378" s="57"/>
      <c r="Z378" s="59"/>
      <c r="AA378" s="57"/>
      <c r="AB378" s="57"/>
      <c r="AC378" s="59"/>
      <c r="AD378" s="57"/>
      <c r="AE378" s="57"/>
      <c r="AF378" s="59"/>
      <c r="AG378" s="57"/>
      <c r="AH378" s="57"/>
      <c r="AI378" s="59"/>
      <c r="AJ378" s="57"/>
      <c r="AK378" s="57"/>
      <c r="AL378" s="59" t="str">
        <f>IF(MIN(IF(ISBLANK(AI378),AJ378,AI378),IF(ISBLANK(AJ378),AI378,AJ378))=0,"",MIN(IF(ISBLANK(AI378),AJ378,AI378),IF(ISBLANK(AJ378),AI378,AJ378)))</f>
        <v/>
      </c>
      <c r="AM378" s="57"/>
      <c r="AN378" s="57"/>
      <c r="AO378" s="59" t="str">
        <f>IF(MIN(IF(ISBLANK(AL378),AM378,AL378),IF(ISBLANK(AM378),AL378,AM378))=0,"",MIN(IF(ISBLANK(AL378),AM378,AL378),IF(ISBLANK(AM378),AL378,AM378)))</f>
        <v/>
      </c>
      <c r="AP378" s="57"/>
      <c r="AQ378" s="59" t="str">
        <f t="shared" si="130"/>
        <v/>
      </c>
      <c r="AR378" s="57"/>
      <c r="AS378" s="57"/>
      <c r="AT378" s="59" t="str">
        <f t="shared" si="131"/>
        <v/>
      </c>
    </row>
    <row r="379" spans="1:46">
      <c r="A379" s="24" t="s">
        <v>792</v>
      </c>
      <c r="B379" s="26" t="s">
        <v>875</v>
      </c>
      <c r="C379" s="26"/>
      <c r="D379" s="50"/>
      <c r="E379" s="51"/>
      <c r="F379" s="50"/>
      <c r="G379" s="52"/>
      <c r="H379" s="50"/>
      <c r="I379" s="53"/>
      <c r="J379" s="50"/>
      <c r="K379" s="53"/>
      <c r="L379" s="50"/>
      <c r="M379" s="57"/>
      <c r="N379" s="55"/>
      <c r="O379" s="57"/>
      <c r="P379" s="57"/>
      <c r="Q379" s="59"/>
      <c r="R379" s="57"/>
      <c r="S379" s="57"/>
      <c r="T379" s="59"/>
      <c r="U379" s="57"/>
      <c r="V379" s="57"/>
      <c r="W379" s="59"/>
      <c r="X379" s="57"/>
      <c r="Y379" s="57"/>
      <c r="Z379" s="59"/>
      <c r="AA379" s="57"/>
      <c r="AB379" s="57"/>
      <c r="AC379" s="59"/>
      <c r="AD379" s="57"/>
      <c r="AE379" s="57"/>
      <c r="AF379" s="59"/>
      <c r="AG379" s="57"/>
      <c r="AH379" s="57"/>
      <c r="AI379" s="59"/>
      <c r="AJ379" s="57"/>
      <c r="AK379" s="57"/>
      <c r="AL379" s="59"/>
      <c r="AM379" s="57"/>
      <c r="AN379" s="57"/>
      <c r="AO379" s="59"/>
      <c r="AP379" s="57"/>
      <c r="AQ379" s="59" t="str">
        <f t="shared" si="130"/>
        <v/>
      </c>
      <c r="AR379" s="57">
        <v>6.5046296296296302E-3</v>
      </c>
      <c r="AS379" s="57"/>
      <c r="AT379" s="59">
        <f t="shared" si="131"/>
        <v>6.5046296296296302E-3</v>
      </c>
    </row>
    <row r="380" spans="1:46" hidden="1">
      <c r="A380" s="24"/>
      <c r="B380" s="26" t="s">
        <v>739</v>
      </c>
      <c r="C380" s="26"/>
      <c r="D380" s="50"/>
      <c r="E380" s="51"/>
      <c r="F380" s="50"/>
      <c r="G380" s="52"/>
      <c r="H380" s="50"/>
      <c r="I380" s="53"/>
      <c r="J380" s="50"/>
      <c r="K380" s="53"/>
      <c r="L380" s="50"/>
      <c r="M380" s="57"/>
      <c r="N380" s="55"/>
      <c r="O380" s="57"/>
      <c r="P380" s="57"/>
      <c r="Q380" s="59"/>
      <c r="R380" s="57"/>
      <c r="S380" s="57"/>
      <c r="T380" s="59"/>
      <c r="U380" s="57"/>
      <c r="V380" s="57"/>
      <c r="W380" s="59"/>
      <c r="X380" s="57"/>
      <c r="Y380" s="57"/>
      <c r="Z380" s="59"/>
      <c r="AA380" s="57"/>
      <c r="AB380" s="57"/>
      <c r="AC380" s="59"/>
      <c r="AD380" s="57"/>
      <c r="AE380" s="57"/>
      <c r="AF380" s="59" t="str">
        <f t="shared" ref="AF380:AF390" si="150">IF(MIN(IF(ISBLANK(AC380),AD380,AC380),IF(ISBLANK(AD380),AC380,AD380))=0,"",MIN(IF(ISBLANK(AC380),AD380,AC380),IF(ISBLANK(AD380),AC380,AD380)))</f>
        <v/>
      </c>
      <c r="AG380" s="57">
        <v>7.1180555555555554E-3</v>
      </c>
      <c r="AH380" s="57"/>
      <c r="AI380" s="59">
        <f t="shared" ref="AI380:AI390" si="151">IF(MIN(IF(ISBLANK(AF380),AG380,AF380),IF(ISBLANK(AG380),AF380,AG380))=0,"",MIN(IF(ISBLANK(AF380),AG380,AF380),IF(ISBLANK(AG380),AF380,AG380)))</f>
        <v>7.1180555555555554E-3</v>
      </c>
      <c r="AJ380" s="57">
        <v>6.1921296296296299E-3</v>
      </c>
      <c r="AK380" s="57"/>
      <c r="AL380" s="59">
        <f t="shared" ref="AL380:AL415" si="152">IF(MIN(IF(ISBLANK(AI380),AJ380,AI380),IF(ISBLANK(AJ380),AI380,AJ380))=0,"",MIN(IF(ISBLANK(AI380),AJ380,AI380),IF(ISBLANK(AJ380),AI380,AJ380)))</f>
        <v>6.1921296296296299E-3</v>
      </c>
      <c r="AM380" s="57"/>
      <c r="AN380" s="57"/>
      <c r="AO380" s="59">
        <f t="shared" ref="AO380:AO415" si="153">IF(MIN(IF(ISBLANK(AL380),AM380,AL380),IF(ISBLANK(AM380),AL380,AM380))=0,"",MIN(IF(ISBLANK(AL380),AM380,AL380),IF(ISBLANK(AM380),AL380,AM380)))</f>
        <v>6.1921296296296299E-3</v>
      </c>
      <c r="AP380" s="57"/>
      <c r="AQ380" s="59">
        <f t="shared" si="130"/>
        <v>6.1921296296296299E-3</v>
      </c>
      <c r="AR380" s="57"/>
      <c r="AS380" s="57"/>
      <c r="AT380" s="59">
        <f t="shared" si="131"/>
        <v>6.1921296296296299E-3</v>
      </c>
    </row>
    <row r="381" spans="1:46">
      <c r="A381" s="24" t="s">
        <v>792</v>
      </c>
      <c r="B381" s="26" t="s">
        <v>43</v>
      </c>
      <c r="C381" s="26" t="s">
        <v>443</v>
      </c>
      <c r="D381" s="50">
        <v>8.1199999999999992</v>
      </c>
      <c r="E381" s="51"/>
      <c r="F381" s="50">
        <v>8.1199999999999992</v>
      </c>
      <c r="G381" s="52"/>
      <c r="H381" s="50">
        <v>8.1199999999999992</v>
      </c>
      <c r="I381" s="53">
        <v>8.26</v>
      </c>
      <c r="J381" s="50">
        <v>8.1199999999999992</v>
      </c>
      <c r="K381" s="53">
        <v>8</v>
      </c>
      <c r="L381" s="50" t="s">
        <v>284</v>
      </c>
      <c r="M381" s="57"/>
      <c r="N381" s="55">
        <v>5.5555555555555558E-3</v>
      </c>
      <c r="O381" s="57">
        <v>5.7407407407407416E-3</v>
      </c>
      <c r="P381" s="57"/>
      <c r="Q381" s="59">
        <f>IF(MIN(IF(ISBLANK(O381),N381,O381),IF(ISBLANK(N381),O381,N381))=0,"",MIN(IF(ISBLANK(O381),N381,O381),IF(ISBLANK(N381),O381,N381)))</f>
        <v>5.5555555555555558E-3</v>
      </c>
      <c r="R381" s="57">
        <v>5.7060185185185191E-3</v>
      </c>
      <c r="S381" s="57"/>
      <c r="T381" s="59">
        <f>IF(MIN(IF(ISBLANK(R381),Q381,R381),IF(ISBLANK(Q381),R381,Q381))=0,"",MIN(IF(ISBLANK(R381),Q381,R381),IF(ISBLANK(Q381),R381,Q381)))</f>
        <v>5.5555555555555558E-3</v>
      </c>
      <c r="U381" s="57">
        <v>5.5902777777777782E-3</v>
      </c>
      <c r="V381" s="57"/>
      <c r="W381" s="59">
        <f>IF(MIN(IF(ISBLANK(U381),T381,U381),IF(ISBLANK(T381),U381,T381))=0,"",MIN(IF(ISBLANK(U381),T381,U381),IF(ISBLANK(T381),U381,T381)))</f>
        <v>5.5555555555555558E-3</v>
      </c>
      <c r="X381" s="57"/>
      <c r="Y381" s="57"/>
      <c r="Z381" s="59">
        <f t="shared" ref="Z381:Z387" si="154">IF(MIN(IF(ISBLANK(X381),W381,X381),IF(ISBLANK(W381),X381,W381))=0,"",MIN(IF(ISBLANK(X381),W381,X381),IF(ISBLANK(W381),X381,W381)))</f>
        <v>5.5555555555555558E-3</v>
      </c>
      <c r="AA381" s="57">
        <v>5.4282407407407404E-3</v>
      </c>
      <c r="AB381" s="57"/>
      <c r="AC381" s="59">
        <f t="shared" ref="AC381:AC390" si="155">IF(MIN(IF(ISBLANK(Z381),AA381,Z381),IF(ISBLANK(AA381),Z381,AA381))=0,"",MIN(IF(ISBLANK(Z381),AA381,Z381),IF(ISBLANK(AA381),Z381,AA381)))</f>
        <v>5.4282407407407404E-3</v>
      </c>
      <c r="AD381" s="57">
        <v>5.4166666666666669E-3</v>
      </c>
      <c r="AE381" s="57"/>
      <c r="AF381" s="59">
        <f t="shared" si="150"/>
        <v>5.4166666666666669E-3</v>
      </c>
      <c r="AG381" s="57">
        <v>5.6828703703703702E-3</v>
      </c>
      <c r="AH381" s="57"/>
      <c r="AI381" s="59">
        <f t="shared" si="151"/>
        <v>5.4166666666666669E-3</v>
      </c>
      <c r="AJ381" s="57"/>
      <c r="AK381" s="57"/>
      <c r="AL381" s="59">
        <f t="shared" si="152"/>
        <v>5.4166666666666669E-3</v>
      </c>
      <c r="AM381" s="57">
        <v>6.851851851851852E-3</v>
      </c>
      <c r="AN381" s="57"/>
      <c r="AO381" s="59">
        <f t="shared" si="153"/>
        <v>5.4166666666666669E-3</v>
      </c>
      <c r="AP381" s="57">
        <v>5.3240740740740748E-3</v>
      </c>
      <c r="AQ381" s="59">
        <f t="shared" si="130"/>
        <v>5.3240740740740748E-3</v>
      </c>
      <c r="AR381" s="57">
        <v>5.2893518518518515E-3</v>
      </c>
      <c r="AS381" s="57"/>
      <c r="AT381" s="59">
        <f t="shared" si="131"/>
        <v>5.2893518518518515E-3</v>
      </c>
    </row>
    <row r="382" spans="1:46" hidden="1">
      <c r="A382" s="24"/>
      <c r="B382" s="26" t="s">
        <v>50</v>
      </c>
      <c r="C382" s="26"/>
      <c r="D382" s="50"/>
      <c r="E382" s="51"/>
      <c r="F382" s="50" t="s">
        <v>448</v>
      </c>
      <c r="G382" s="52"/>
      <c r="H382" s="50"/>
      <c r="I382" s="53"/>
      <c r="J382" s="50" t="s">
        <v>448</v>
      </c>
      <c r="K382" s="53"/>
      <c r="L382" s="50"/>
      <c r="M382" s="57"/>
      <c r="N382" s="55"/>
      <c r="O382" s="57"/>
      <c r="P382" s="57"/>
      <c r="Q382" s="59" t="str">
        <f>IF(MIN(IF(ISBLANK(O382),N382,O382),IF(ISBLANK(N382),O382,N382))=0,"",MIN(IF(ISBLANK(O382),N382,O382),IF(ISBLANK(N382),O382,N382)))</f>
        <v/>
      </c>
      <c r="R382" s="57"/>
      <c r="S382" s="57"/>
      <c r="T382" s="59" t="str">
        <f>IF(MIN(IF(ISBLANK(R382),Q382,R382),IF(ISBLANK(Q382),R382,Q382))=0,"",MIN(IF(ISBLANK(R382),Q382,R382),IF(ISBLANK(Q382),R382,Q382)))</f>
        <v/>
      </c>
      <c r="U382" s="57"/>
      <c r="V382" s="57"/>
      <c r="W382" s="59" t="str">
        <f>IF(MIN(IF(ISBLANK(U382),T382,U382),IF(ISBLANK(T382),U382,T382))=0,"",MIN(IF(ISBLANK(U382),T382,U382),IF(ISBLANK(T382),U382,T382)))</f>
        <v/>
      </c>
      <c r="X382" s="57"/>
      <c r="Y382" s="57"/>
      <c r="Z382" s="59" t="str">
        <f t="shared" si="154"/>
        <v/>
      </c>
      <c r="AA382" s="57"/>
      <c r="AB382" s="57"/>
      <c r="AC382" s="59" t="str">
        <f t="shared" si="155"/>
        <v/>
      </c>
      <c r="AD382" s="57"/>
      <c r="AE382" s="57"/>
      <c r="AF382" s="59" t="str">
        <f t="shared" si="150"/>
        <v/>
      </c>
      <c r="AG382" s="57"/>
      <c r="AH382" s="57"/>
      <c r="AI382" s="59" t="str">
        <f t="shared" si="151"/>
        <v/>
      </c>
      <c r="AJ382" s="57"/>
      <c r="AK382" s="57"/>
      <c r="AL382" s="59" t="str">
        <f t="shared" si="152"/>
        <v/>
      </c>
      <c r="AM382" s="57"/>
      <c r="AN382" s="57"/>
      <c r="AO382" s="59" t="str">
        <f t="shared" si="153"/>
        <v/>
      </c>
      <c r="AP382" s="57"/>
      <c r="AQ382" s="59" t="str">
        <f t="shared" si="130"/>
        <v/>
      </c>
      <c r="AR382" s="57"/>
      <c r="AS382" s="57"/>
      <c r="AT382" s="59" t="str">
        <f t="shared" si="131"/>
        <v/>
      </c>
    </row>
    <row r="383" spans="1:46" hidden="1">
      <c r="A383" s="24"/>
      <c r="B383" s="26" t="s">
        <v>650</v>
      </c>
      <c r="C383" s="26"/>
      <c r="D383" s="50"/>
      <c r="E383" s="51"/>
      <c r="F383" s="50"/>
      <c r="G383" s="52"/>
      <c r="H383" s="50"/>
      <c r="I383" s="53"/>
      <c r="J383" s="50"/>
      <c r="K383" s="53"/>
      <c r="L383" s="50"/>
      <c r="M383" s="57"/>
      <c r="N383" s="55"/>
      <c r="O383" s="57"/>
      <c r="P383" s="57"/>
      <c r="Q383" s="59"/>
      <c r="R383" s="57"/>
      <c r="S383" s="57"/>
      <c r="T383" s="59"/>
      <c r="U383" s="57"/>
      <c r="V383" s="57"/>
      <c r="W383" s="59"/>
      <c r="X383" s="57"/>
      <c r="Y383" s="57"/>
      <c r="Z383" s="59" t="str">
        <f t="shared" si="154"/>
        <v/>
      </c>
      <c r="AA383" s="57"/>
      <c r="AB383" s="57"/>
      <c r="AC383" s="59" t="str">
        <f t="shared" si="155"/>
        <v/>
      </c>
      <c r="AD383" s="57"/>
      <c r="AE383" s="57"/>
      <c r="AF383" s="59" t="str">
        <f t="shared" si="150"/>
        <v/>
      </c>
      <c r="AG383" s="57"/>
      <c r="AH383" s="57"/>
      <c r="AI383" s="59" t="str">
        <f t="shared" si="151"/>
        <v/>
      </c>
      <c r="AJ383" s="57"/>
      <c r="AK383" s="57"/>
      <c r="AL383" s="59" t="str">
        <f t="shared" si="152"/>
        <v/>
      </c>
      <c r="AM383" s="57"/>
      <c r="AN383" s="57"/>
      <c r="AO383" s="59" t="str">
        <f t="shared" si="153"/>
        <v/>
      </c>
      <c r="AP383" s="57"/>
      <c r="AQ383" s="59" t="str">
        <f t="shared" si="130"/>
        <v/>
      </c>
      <c r="AR383" s="57"/>
      <c r="AS383" s="57"/>
      <c r="AT383" s="59" t="str">
        <f t="shared" si="131"/>
        <v/>
      </c>
    </row>
    <row r="384" spans="1:46" hidden="1">
      <c r="A384" s="24"/>
      <c r="B384" s="26" t="s">
        <v>55</v>
      </c>
      <c r="C384" s="26" t="s">
        <v>444</v>
      </c>
      <c r="D384" s="50">
        <v>8.4499999999999993</v>
      </c>
      <c r="E384" s="51" t="s">
        <v>297</v>
      </c>
      <c r="F384" s="50">
        <v>8.4499999999999993</v>
      </c>
      <c r="G384" s="52"/>
      <c r="H384" s="50">
        <v>8.4499999999999993</v>
      </c>
      <c r="I384" s="53"/>
      <c r="J384" s="50">
        <v>8.4499999999999993</v>
      </c>
      <c r="K384" s="53"/>
      <c r="L384" s="50">
        <v>8.4499999999999993</v>
      </c>
      <c r="M384" s="57"/>
      <c r="N384" s="55">
        <v>6.076388888888889E-3</v>
      </c>
      <c r="O384" s="57"/>
      <c r="P384" s="57"/>
      <c r="Q384" s="59">
        <f>IF(MIN(IF(ISBLANK(O384),N384,O384),IF(ISBLANK(N384),O384,N384))=0,"",MIN(IF(ISBLANK(O384),N384,O384),IF(ISBLANK(N384),O384,N384)))</f>
        <v>6.076388888888889E-3</v>
      </c>
      <c r="R384" s="57"/>
      <c r="S384" s="57"/>
      <c r="T384" s="59">
        <f>IF(MIN(IF(ISBLANK(R384),Q384,R384),IF(ISBLANK(Q384),R384,Q384))=0,"",MIN(IF(ISBLANK(R384),Q384,R384),IF(ISBLANK(Q384),R384,Q384)))</f>
        <v>6.076388888888889E-3</v>
      </c>
      <c r="U384" s="57"/>
      <c r="V384" s="57"/>
      <c r="W384" s="59">
        <f>IF(MIN(IF(ISBLANK(U384),T384,U384),IF(ISBLANK(T384),U384,T384))=0,"",MIN(IF(ISBLANK(U384),T384,U384),IF(ISBLANK(T384),U384,T384)))</f>
        <v>6.076388888888889E-3</v>
      </c>
      <c r="X384" s="57"/>
      <c r="Y384" s="57"/>
      <c r="Z384" s="59">
        <f t="shared" si="154"/>
        <v>6.076388888888889E-3</v>
      </c>
      <c r="AA384" s="57"/>
      <c r="AB384" s="57"/>
      <c r="AC384" s="59">
        <f t="shared" si="155"/>
        <v>6.076388888888889E-3</v>
      </c>
      <c r="AD384" s="57"/>
      <c r="AE384" s="57"/>
      <c r="AF384" s="59">
        <f t="shared" si="150"/>
        <v>6.076388888888889E-3</v>
      </c>
      <c r="AG384" s="57"/>
      <c r="AH384" s="57"/>
      <c r="AI384" s="59">
        <f t="shared" si="151"/>
        <v>6.076388888888889E-3</v>
      </c>
      <c r="AJ384" s="57">
        <v>6.5509259259259262E-3</v>
      </c>
      <c r="AK384" s="57"/>
      <c r="AL384" s="59">
        <f t="shared" si="152"/>
        <v>6.076388888888889E-3</v>
      </c>
      <c r="AM384" s="57"/>
      <c r="AN384" s="57"/>
      <c r="AO384" s="59">
        <f t="shared" si="153"/>
        <v>6.076388888888889E-3</v>
      </c>
      <c r="AP384" s="57"/>
      <c r="AQ384" s="59">
        <f t="shared" si="130"/>
        <v>6.076388888888889E-3</v>
      </c>
      <c r="AR384" s="57"/>
      <c r="AS384" s="57"/>
      <c r="AT384" s="59">
        <f t="shared" si="131"/>
        <v>6.076388888888889E-3</v>
      </c>
    </row>
    <row r="385" spans="1:46">
      <c r="A385" s="24" t="s">
        <v>792</v>
      </c>
      <c r="B385" s="26" t="s">
        <v>813</v>
      </c>
      <c r="C385" s="26"/>
      <c r="D385" s="50"/>
      <c r="E385" s="51"/>
      <c r="F385" s="50"/>
      <c r="G385" s="52"/>
      <c r="H385" s="50"/>
      <c r="I385" s="53"/>
      <c r="J385" s="50"/>
      <c r="K385" s="53"/>
      <c r="L385" s="50"/>
      <c r="M385" s="57"/>
      <c r="N385" s="55"/>
      <c r="O385" s="57"/>
      <c r="P385" s="57"/>
      <c r="Q385" s="59"/>
      <c r="R385" s="57"/>
      <c r="S385" s="57"/>
      <c r="T385" s="59"/>
      <c r="U385" s="57"/>
      <c r="V385" s="57"/>
      <c r="W385" s="59"/>
      <c r="X385" s="57"/>
      <c r="Y385" s="57"/>
      <c r="Z385" s="59" t="str">
        <f t="shared" si="154"/>
        <v/>
      </c>
      <c r="AA385" s="57"/>
      <c r="AB385" s="57"/>
      <c r="AC385" s="59" t="str">
        <f t="shared" si="155"/>
        <v/>
      </c>
      <c r="AD385" s="57"/>
      <c r="AE385" s="57"/>
      <c r="AF385" s="59" t="str">
        <f t="shared" si="150"/>
        <v/>
      </c>
      <c r="AG385" s="57"/>
      <c r="AH385" s="57"/>
      <c r="AI385" s="59" t="str">
        <f t="shared" si="151"/>
        <v/>
      </c>
      <c r="AJ385" s="57"/>
      <c r="AK385" s="57"/>
      <c r="AL385" s="59" t="str">
        <f t="shared" si="152"/>
        <v/>
      </c>
      <c r="AM385" s="57"/>
      <c r="AN385" s="57"/>
      <c r="AO385" s="59" t="str">
        <f t="shared" si="153"/>
        <v/>
      </c>
      <c r="AP385" s="57"/>
      <c r="AQ385" s="59" t="str">
        <f t="shared" si="130"/>
        <v/>
      </c>
      <c r="AR385" s="57"/>
      <c r="AS385" s="57"/>
      <c r="AT385" s="59" t="str">
        <f t="shared" si="131"/>
        <v/>
      </c>
    </row>
    <row r="386" spans="1:46" hidden="1">
      <c r="A386" s="24"/>
      <c r="B386" s="26" t="s">
        <v>651</v>
      </c>
      <c r="C386" s="26"/>
      <c r="D386" s="50"/>
      <c r="E386" s="51"/>
      <c r="F386" s="50"/>
      <c r="G386" s="52"/>
      <c r="H386" s="50"/>
      <c r="I386" s="53"/>
      <c r="J386" s="50"/>
      <c r="K386" s="53"/>
      <c r="L386" s="50"/>
      <c r="M386" s="57"/>
      <c r="N386" s="55"/>
      <c r="O386" s="57"/>
      <c r="P386" s="57"/>
      <c r="Q386" s="59"/>
      <c r="R386" s="57"/>
      <c r="S386" s="57"/>
      <c r="T386" s="59"/>
      <c r="U386" s="57"/>
      <c r="V386" s="57"/>
      <c r="W386" s="59"/>
      <c r="X386" s="57"/>
      <c r="Y386" s="57"/>
      <c r="Z386" s="59" t="str">
        <f t="shared" si="154"/>
        <v/>
      </c>
      <c r="AA386" s="57"/>
      <c r="AB386" s="57"/>
      <c r="AC386" s="59" t="str">
        <f t="shared" si="155"/>
        <v/>
      </c>
      <c r="AD386" s="57"/>
      <c r="AE386" s="57"/>
      <c r="AF386" s="59" t="str">
        <f t="shared" si="150"/>
        <v/>
      </c>
      <c r="AG386" s="57"/>
      <c r="AH386" s="57"/>
      <c r="AI386" s="59" t="str">
        <f t="shared" si="151"/>
        <v/>
      </c>
      <c r="AJ386" s="57"/>
      <c r="AK386" s="57"/>
      <c r="AL386" s="59" t="str">
        <f t="shared" si="152"/>
        <v/>
      </c>
      <c r="AM386" s="57"/>
      <c r="AN386" s="57"/>
      <c r="AO386" s="59" t="str">
        <f t="shared" si="153"/>
        <v/>
      </c>
      <c r="AP386" s="57"/>
      <c r="AQ386" s="59" t="str">
        <f t="shared" si="130"/>
        <v/>
      </c>
      <c r="AR386" s="57"/>
      <c r="AS386" s="57"/>
      <c r="AT386" s="59" t="str">
        <f t="shared" si="131"/>
        <v/>
      </c>
    </row>
    <row r="387" spans="1:46" hidden="1">
      <c r="A387" s="24"/>
      <c r="B387" s="26" t="s">
        <v>267</v>
      </c>
      <c r="C387" s="26" t="s">
        <v>444</v>
      </c>
      <c r="D387" s="50">
        <v>9.41</v>
      </c>
      <c r="E387" s="51"/>
      <c r="F387" s="50">
        <v>9.41</v>
      </c>
      <c r="G387" s="52"/>
      <c r="H387" s="50">
        <v>9.41</v>
      </c>
      <c r="I387" s="53"/>
      <c r="J387" s="50">
        <v>9.41</v>
      </c>
      <c r="K387" s="53"/>
      <c r="L387" s="50">
        <v>9.41</v>
      </c>
      <c r="M387" s="57"/>
      <c r="N387" s="55">
        <v>6.7245370370370367E-3</v>
      </c>
      <c r="O387" s="57"/>
      <c r="P387" s="57"/>
      <c r="Q387" s="59">
        <f>IF(MIN(IF(ISBLANK(O387),N387,O387),IF(ISBLANK(N387),O387,N387))=0,"",MIN(IF(ISBLANK(O387),N387,O387),IF(ISBLANK(N387),O387,N387)))</f>
        <v>6.7245370370370367E-3</v>
      </c>
      <c r="R387" s="57"/>
      <c r="S387" s="57"/>
      <c r="T387" s="59">
        <f>IF(MIN(IF(ISBLANK(R387),Q387,R387),IF(ISBLANK(Q387),R387,Q387))=0,"",MIN(IF(ISBLANK(R387),Q387,R387),IF(ISBLANK(Q387),R387,Q387)))</f>
        <v>6.7245370370370367E-3</v>
      </c>
      <c r="U387" s="57"/>
      <c r="V387" s="57"/>
      <c r="W387" s="59">
        <f>IF(MIN(IF(ISBLANK(U387),T387,U387),IF(ISBLANK(T387),U387,T387))=0,"",MIN(IF(ISBLANK(U387),T387,U387),IF(ISBLANK(T387),U387,T387)))</f>
        <v>6.7245370370370367E-3</v>
      </c>
      <c r="X387" s="57"/>
      <c r="Y387" s="57"/>
      <c r="Z387" s="59">
        <f t="shared" si="154"/>
        <v>6.7245370370370367E-3</v>
      </c>
      <c r="AA387" s="57"/>
      <c r="AB387" s="57"/>
      <c r="AC387" s="59">
        <f t="shared" si="155"/>
        <v>6.7245370370370367E-3</v>
      </c>
      <c r="AD387" s="57"/>
      <c r="AE387" s="57"/>
      <c r="AF387" s="59">
        <f t="shared" si="150"/>
        <v>6.7245370370370367E-3</v>
      </c>
      <c r="AG387" s="57"/>
      <c r="AH387" s="57"/>
      <c r="AI387" s="59">
        <f t="shared" si="151"/>
        <v>6.7245370370370367E-3</v>
      </c>
      <c r="AJ387" s="57"/>
      <c r="AK387" s="57"/>
      <c r="AL387" s="59">
        <f t="shared" si="152"/>
        <v>6.7245370370370367E-3</v>
      </c>
      <c r="AM387" s="57"/>
      <c r="AN387" s="57"/>
      <c r="AO387" s="59">
        <f t="shared" si="153"/>
        <v>6.7245370370370367E-3</v>
      </c>
      <c r="AP387" s="57"/>
      <c r="AQ387" s="59">
        <f t="shared" si="130"/>
        <v>6.7245370370370367E-3</v>
      </c>
      <c r="AR387" s="57"/>
      <c r="AS387" s="57"/>
      <c r="AT387" s="59">
        <f t="shared" si="131"/>
        <v>6.7245370370370367E-3</v>
      </c>
    </row>
    <row r="388" spans="1:46" hidden="1">
      <c r="A388" s="24"/>
      <c r="B388" s="26" t="s">
        <v>701</v>
      </c>
      <c r="C388" s="26"/>
      <c r="D388" s="50"/>
      <c r="E388" s="51"/>
      <c r="F388" s="50"/>
      <c r="G388" s="52"/>
      <c r="H388" s="50"/>
      <c r="I388" s="53"/>
      <c r="J388" s="50"/>
      <c r="K388" s="53"/>
      <c r="L388" s="50"/>
      <c r="M388" s="57"/>
      <c r="N388" s="55"/>
      <c r="O388" s="57"/>
      <c r="P388" s="57"/>
      <c r="Q388" s="59"/>
      <c r="R388" s="57"/>
      <c r="S388" s="57"/>
      <c r="T388" s="59"/>
      <c r="U388" s="57"/>
      <c r="V388" s="57"/>
      <c r="W388" s="59"/>
      <c r="X388" s="57"/>
      <c r="Y388" s="57"/>
      <c r="Z388" s="59"/>
      <c r="AA388" s="57"/>
      <c r="AB388" s="57"/>
      <c r="AC388" s="59" t="str">
        <f t="shared" si="155"/>
        <v/>
      </c>
      <c r="AD388" s="57"/>
      <c r="AE388" s="57"/>
      <c r="AF388" s="59" t="str">
        <f t="shared" si="150"/>
        <v/>
      </c>
      <c r="AG388" s="57"/>
      <c r="AH388" s="57"/>
      <c r="AI388" s="59" t="str">
        <f t="shared" si="151"/>
        <v/>
      </c>
      <c r="AJ388" s="57"/>
      <c r="AK388" s="57"/>
      <c r="AL388" s="59" t="str">
        <f t="shared" si="152"/>
        <v/>
      </c>
      <c r="AM388" s="57"/>
      <c r="AN388" s="57"/>
      <c r="AO388" s="59" t="str">
        <f t="shared" si="153"/>
        <v/>
      </c>
      <c r="AP388" s="57"/>
      <c r="AQ388" s="59" t="str">
        <f t="shared" si="130"/>
        <v/>
      </c>
      <c r="AR388" s="57"/>
      <c r="AS388" s="57"/>
      <c r="AT388" s="59" t="str">
        <f t="shared" si="131"/>
        <v/>
      </c>
    </row>
    <row r="389" spans="1:46" hidden="1">
      <c r="A389" s="24"/>
      <c r="B389" s="26" t="s">
        <v>65</v>
      </c>
      <c r="C389" s="26" t="s">
        <v>444</v>
      </c>
      <c r="D389" s="50" t="s">
        <v>283</v>
      </c>
      <c r="E389" s="51"/>
      <c r="F389" s="50" t="s">
        <v>283</v>
      </c>
      <c r="G389" s="52"/>
      <c r="H389" s="50" t="s">
        <v>283</v>
      </c>
      <c r="I389" s="53"/>
      <c r="J389" s="50" t="s">
        <v>283</v>
      </c>
      <c r="K389" s="53"/>
      <c r="L389" s="50" t="s">
        <v>283</v>
      </c>
      <c r="M389" s="57"/>
      <c r="N389" s="55">
        <v>7.1759259259259259E-3</v>
      </c>
      <c r="O389" s="57"/>
      <c r="P389" s="57"/>
      <c r="Q389" s="59">
        <f>IF(MIN(IF(ISBLANK(O389),N389,O389),IF(ISBLANK(N389),O389,N389))=0,"",MIN(IF(ISBLANK(O389),N389,O389),IF(ISBLANK(N389),O389,N389)))</f>
        <v>7.1759259259259259E-3</v>
      </c>
      <c r="R389" s="57"/>
      <c r="S389" s="57"/>
      <c r="T389" s="59">
        <f>IF(MIN(IF(ISBLANK(R389),Q389,R389),IF(ISBLANK(Q389),R389,Q389))=0,"",MIN(IF(ISBLANK(R389),Q389,R389),IF(ISBLANK(Q389),R389,Q389)))</f>
        <v>7.1759259259259259E-3</v>
      </c>
      <c r="U389" s="57"/>
      <c r="V389" s="57"/>
      <c r="W389" s="59">
        <f>IF(MIN(IF(ISBLANK(U389),T389,U389),IF(ISBLANK(T389),U389,T389))=0,"",MIN(IF(ISBLANK(U389),T389,U389),IF(ISBLANK(T389),U389,T389)))</f>
        <v>7.1759259259259259E-3</v>
      </c>
      <c r="X389" s="57"/>
      <c r="Y389" s="57"/>
      <c r="Z389" s="59">
        <f>IF(MIN(IF(ISBLANK(X389),W389,X389),IF(ISBLANK(W389),X389,W389))=0,"",MIN(IF(ISBLANK(X389),W389,X389),IF(ISBLANK(W389),X389,W389)))</f>
        <v>7.1759259259259259E-3</v>
      </c>
      <c r="AA389" s="57"/>
      <c r="AB389" s="57"/>
      <c r="AC389" s="59">
        <f t="shared" si="155"/>
        <v>7.1759259259259259E-3</v>
      </c>
      <c r="AD389" s="57"/>
      <c r="AE389" s="57"/>
      <c r="AF389" s="59">
        <f t="shared" si="150"/>
        <v>7.1759259259259259E-3</v>
      </c>
      <c r="AG389" s="57"/>
      <c r="AH389" s="57"/>
      <c r="AI389" s="59">
        <f t="shared" si="151"/>
        <v>7.1759259259259259E-3</v>
      </c>
      <c r="AJ389" s="57"/>
      <c r="AK389" s="57"/>
      <c r="AL389" s="59">
        <f t="shared" si="152"/>
        <v>7.1759259259259259E-3</v>
      </c>
      <c r="AM389" s="57"/>
      <c r="AN389" s="57"/>
      <c r="AO389" s="59">
        <f t="shared" si="153"/>
        <v>7.1759259259259259E-3</v>
      </c>
      <c r="AP389" s="57"/>
      <c r="AQ389" s="59">
        <f t="shared" si="130"/>
        <v>7.1759259259259259E-3</v>
      </c>
      <c r="AR389" s="57"/>
      <c r="AS389" s="57"/>
      <c r="AT389" s="59">
        <f t="shared" si="131"/>
        <v>7.1759259259259259E-3</v>
      </c>
    </row>
    <row r="390" spans="1:46" hidden="1">
      <c r="A390" s="24"/>
      <c r="B390" s="26" t="s">
        <v>399</v>
      </c>
      <c r="C390" s="26" t="s">
        <v>444</v>
      </c>
      <c r="D390" s="50"/>
      <c r="E390" s="51"/>
      <c r="F390" s="50"/>
      <c r="G390" s="52"/>
      <c r="H390" s="50"/>
      <c r="I390" s="53"/>
      <c r="J390" s="50" t="s">
        <v>448</v>
      </c>
      <c r="K390" s="53"/>
      <c r="L390" s="50"/>
      <c r="M390" s="57"/>
      <c r="N390" s="55"/>
      <c r="O390" s="57"/>
      <c r="P390" s="57"/>
      <c r="Q390" s="59" t="str">
        <f>IF(MIN(IF(ISBLANK(O390),N390,O390),IF(ISBLANK(N390),O390,N390))=0,"",MIN(IF(ISBLANK(O390),N390,O390),IF(ISBLANK(N390),O390,N390)))</f>
        <v/>
      </c>
      <c r="R390" s="57"/>
      <c r="S390" s="57"/>
      <c r="T390" s="59" t="str">
        <f>IF(MIN(IF(ISBLANK(R390),Q390,R390),IF(ISBLANK(Q390),R390,Q390))=0,"",MIN(IF(ISBLANK(R390),Q390,R390),IF(ISBLANK(Q390),R390,Q390)))</f>
        <v/>
      </c>
      <c r="U390" s="57"/>
      <c r="V390" s="57"/>
      <c r="W390" s="59" t="str">
        <f>IF(MIN(IF(ISBLANK(U390),T390,U390),IF(ISBLANK(T390),U390,T390))=0,"",MIN(IF(ISBLANK(U390),T390,U390),IF(ISBLANK(T390),U390,T390)))</f>
        <v/>
      </c>
      <c r="X390" s="57"/>
      <c r="Y390" s="57"/>
      <c r="Z390" s="59" t="str">
        <f>IF(MIN(IF(ISBLANK(X390),W390,X390),IF(ISBLANK(W390),X390,W390))=0,"",MIN(IF(ISBLANK(X390),W390,X390),IF(ISBLANK(W390),X390,W390)))</f>
        <v/>
      </c>
      <c r="AA390" s="57"/>
      <c r="AB390" s="57"/>
      <c r="AC390" s="59" t="str">
        <f t="shared" si="155"/>
        <v/>
      </c>
      <c r="AD390" s="57"/>
      <c r="AE390" s="57"/>
      <c r="AF390" s="59" t="str">
        <f t="shared" si="150"/>
        <v/>
      </c>
      <c r="AG390" s="57"/>
      <c r="AH390" s="57"/>
      <c r="AI390" s="59" t="str">
        <f t="shared" si="151"/>
        <v/>
      </c>
      <c r="AJ390" s="57"/>
      <c r="AK390" s="57"/>
      <c r="AL390" s="59" t="str">
        <f t="shared" si="152"/>
        <v/>
      </c>
      <c r="AM390" s="57"/>
      <c r="AN390" s="57"/>
      <c r="AO390" s="59" t="str">
        <f t="shared" si="153"/>
        <v/>
      </c>
      <c r="AP390" s="57"/>
      <c r="AQ390" s="59" t="str">
        <f t="shared" si="130"/>
        <v/>
      </c>
      <c r="AR390" s="57"/>
      <c r="AS390" s="57"/>
      <c r="AT390" s="59" t="str">
        <f t="shared" si="131"/>
        <v/>
      </c>
    </row>
    <row r="391" spans="1:46" hidden="1">
      <c r="A391" s="24"/>
      <c r="B391" s="26" t="s">
        <v>759</v>
      </c>
      <c r="C391" s="26"/>
      <c r="D391" s="50"/>
      <c r="E391" s="51"/>
      <c r="F391" s="50"/>
      <c r="G391" s="52"/>
      <c r="H391" s="50"/>
      <c r="I391" s="53"/>
      <c r="J391" s="50"/>
      <c r="K391" s="53"/>
      <c r="L391" s="50"/>
      <c r="M391" s="57"/>
      <c r="N391" s="55"/>
      <c r="O391" s="57"/>
      <c r="P391" s="57"/>
      <c r="Q391" s="59"/>
      <c r="R391" s="57"/>
      <c r="S391" s="57"/>
      <c r="T391" s="59"/>
      <c r="U391" s="57"/>
      <c r="V391" s="57"/>
      <c r="W391" s="59"/>
      <c r="X391" s="57"/>
      <c r="Y391" s="57"/>
      <c r="Z391" s="59"/>
      <c r="AA391" s="57"/>
      <c r="AB391" s="57"/>
      <c r="AC391" s="59"/>
      <c r="AD391" s="57"/>
      <c r="AE391" s="57"/>
      <c r="AF391" s="59"/>
      <c r="AG391" s="57"/>
      <c r="AH391" s="57"/>
      <c r="AI391" s="59"/>
      <c r="AJ391" s="57"/>
      <c r="AK391" s="57"/>
      <c r="AL391" s="59" t="str">
        <f t="shared" si="152"/>
        <v/>
      </c>
      <c r="AM391" s="57"/>
      <c r="AN391" s="57"/>
      <c r="AO391" s="59" t="str">
        <f t="shared" si="153"/>
        <v/>
      </c>
      <c r="AP391" s="57"/>
      <c r="AQ391" s="59" t="str">
        <f t="shared" si="130"/>
        <v/>
      </c>
      <c r="AR391" s="57"/>
      <c r="AS391" s="57"/>
      <c r="AT391" s="59" t="str">
        <f t="shared" si="131"/>
        <v/>
      </c>
    </row>
    <row r="392" spans="1:46" hidden="1">
      <c r="A392" s="24"/>
      <c r="B392" s="26" t="s">
        <v>688</v>
      </c>
      <c r="C392" s="26"/>
      <c r="D392" s="50"/>
      <c r="E392" s="51"/>
      <c r="F392" s="50"/>
      <c r="G392" s="52"/>
      <c r="H392" s="50"/>
      <c r="I392" s="53"/>
      <c r="J392" s="50"/>
      <c r="K392" s="53"/>
      <c r="L392" s="50"/>
      <c r="M392" s="57"/>
      <c r="N392" s="55"/>
      <c r="O392" s="57"/>
      <c r="P392" s="57"/>
      <c r="Q392" s="59"/>
      <c r="R392" s="57"/>
      <c r="S392" s="57"/>
      <c r="T392" s="59"/>
      <c r="U392" s="57"/>
      <c r="V392" s="57"/>
      <c r="W392" s="59"/>
      <c r="X392" s="57"/>
      <c r="Y392" s="57"/>
      <c r="Z392" s="59" t="str">
        <f t="shared" ref="Z392:Z403" si="156">IF(MIN(IF(ISBLANK(X392),W392,X392),IF(ISBLANK(W392),X392,W392))=0,"",MIN(IF(ISBLANK(X392),W392,X392),IF(ISBLANK(W392),X392,W392)))</f>
        <v/>
      </c>
      <c r="AA392" s="57"/>
      <c r="AB392" s="57"/>
      <c r="AC392" s="59" t="str">
        <f t="shared" ref="AC392:AC415" si="157">IF(MIN(IF(ISBLANK(Z392),AA392,Z392),IF(ISBLANK(AA392),Z392,AA392))=0,"",MIN(IF(ISBLANK(Z392),AA392,Z392),IF(ISBLANK(AA392),Z392,AA392)))</f>
        <v/>
      </c>
      <c r="AD392" s="57"/>
      <c r="AE392" s="57"/>
      <c r="AF392" s="59" t="str">
        <f t="shared" ref="AF392:AF415" si="158">IF(MIN(IF(ISBLANK(AC392),AD392,AC392),IF(ISBLANK(AD392),AC392,AD392))=0,"",MIN(IF(ISBLANK(AC392),AD392,AC392),IF(ISBLANK(AD392),AC392,AD392)))</f>
        <v/>
      </c>
      <c r="AG392" s="57"/>
      <c r="AH392" s="57"/>
      <c r="AI392" s="59" t="str">
        <f t="shared" ref="AI392:AI415" si="159">IF(MIN(IF(ISBLANK(AF392),AG392,AF392),IF(ISBLANK(AG392),AF392,AG392))=0,"",MIN(IF(ISBLANK(AF392),AG392,AF392),IF(ISBLANK(AG392),AF392,AG392)))</f>
        <v/>
      </c>
      <c r="AJ392" s="57"/>
      <c r="AK392" s="57"/>
      <c r="AL392" s="59" t="str">
        <f t="shared" si="152"/>
        <v/>
      </c>
      <c r="AM392" s="57"/>
      <c r="AN392" s="57"/>
      <c r="AO392" s="59" t="str">
        <f t="shared" si="153"/>
        <v/>
      </c>
      <c r="AP392" s="57"/>
      <c r="AQ392" s="59" t="str">
        <f t="shared" si="130"/>
        <v/>
      </c>
      <c r="AR392" s="57"/>
      <c r="AS392" s="57"/>
      <c r="AT392" s="59" t="str">
        <f t="shared" si="131"/>
        <v/>
      </c>
    </row>
    <row r="393" spans="1:46" hidden="1">
      <c r="A393" s="24"/>
      <c r="B393" s="26" t="s">
        <v>400</v>
      </c>
      <c r="C393" s="26" t="s">
        <v>443</v>
      </c>
      <c r="D393" s="50"/>
      <c r="E393" s="51"/>
      <c r="F393" s="50"/>
      <c r="G393" s="52"/>
      <c r="H393" s="50"/>
      <c r="I393" s="53">
        <v>9.49</v>
      </c>
      <c r="J393" s="50">
        <v>9.49</v>
      </c>
      <c r="K393" s="53"/>
      <c r="L393" s="50">
        <v>9.49</v>
      </c>
      <c r="M393" s="57"/>
      <c r="N393" s="55">
        <v>6.8171296296296287E-3</v>
      </c>
      <c r="O393" s="57"/>
      <c r="P393" s="57"/>
      <c r="Q393" s="59">
        <f>IF(MIN(IF(ISBLANK(O393),N393,O393),IF(ISBLANK(N393),O393,N393))=0,"",MIN(IF(ISBLANK(O393),N393,O393),IF(ISBLANK(N393),O393,N393)))</f>
        <v>6.8171296296296287E-3</v>
      </c>
      <c r="R393" s="57"/>
      <c r="S393" s="57"/>
      <c r="T393" s="59">
        <f>IF(MIN(IF(ISBLANK(R393),Q393,R393),IF(ISBLANK(Q393),R393,Q393))=0,"",MIN(IF(ISBLANK(R393),Q393,R393),IF(ISBLANK(Q393),R393,Q393)))</f>
        <v>6.8171296296296287E-3</v>
      </c>
      <c r="U393" s="57"/>
      <c r="V393" s="57"/>
      <c r="W393" s="59">
        <f>IF(MIN(IF(ISBLANK(U393),T393,U393),IF(ISBLANK(T393),U393,T393))=0,"",MIN(IF(ISBLANK(U393),T393,U393),IF(ISBLANK(T393),U393,T393)))</f>
        <v>6.8171296296296287E-3</v>
      </c>
      <c r="X393" s="57"/>
      <c r="Y393" s="57"/>
      <c r="Z393" s="59">
        <f t="shared" si="156"/>
        <v>6.8171296296296287E-3</v>
      </c>
      <c r="AA393" s="57"/>
      <c r="AB393" s="57"/>
      <c r="AC393" s="59">
        <f t="shared" si="157"/>
        <v>6.8171296296296287E-3</v>
      </c>
      <c r="AD393" s="57"/>
      <c r="AE393" s="57"/>
      <c r="AF393" s="59">
        <f t="shared" si="158"/>
        <v>6.8171296296296287E-3</v>
      </c>
      <c r="AG393" s="57"/>
      <c r="AH393" s="57"/>
      <c r="AI393" s="59">
        <f t="shared" si="159"/>
        <v>6.8171296296296287E-3</v>
      </c>
      <c r="AJ393" s="57"/>
      <c r="AK393" s="57"/>
      <c r="AL393" s="59">
        <f t="shared" si="152"/>
        <v>6.8171296296296287E-3</v>
      </c>
      <c r="AM393" s="57"/>
      <c r="AN393" s="57"/>
      <c r="AO393" s="59">
        <f t="shared" si="153"/>
        <v>6.8171296296296287E-3</v>
      </c>
      <c r="AP393" s="57"/>
      <c r="AQ393" s="59">
        <f t="shared" si="130"/>
        <v>6.8171296296296287E-3</v>
      </c>
      <c r="AR393" s="57"/>
      <c r="AS393" s="57"/>
      <c r="AT393" s="59">
        <f t="shared" si="131"/>
        <v>6.8171296296296287E-3</v>
      </c>
    </row>
    <row r="394" spans="1:46" hidden="1">
      <c r="A394" s="24"/>
      <c r="B394" s="26" t="s">
        <v>463</v>
      </c>
      <c r="C394" s="26" t="s">
        <v>444</v>
      </c>
      <c r="D394" s="50"/>
      <c r="E394" s="51"/>
      <c r="F394" s="50"/>
      <c r="G394" s="52"/>
      <c r="H394" s="50"/>
      <c r="I394" s="53"/>
      <c r="J394" s="50"/>
      <c r="K394" s="53">
        <v>11.38</v>
      </c>
      <c r="L394" s="50">
        <v>11.38</v>
      </c>
      <c r="M394" s="57"/>
      <c r="N394" s="55">
        <v>8.0787037037037043E-3</v>
      </c>
      <c r="O394" s="57"/>
      <c r="P394" s="57"/>
      <c r="Q394" s="59">
        <f>IF(MIN(IF(ISBLANK(O394),N394,O394),IF(ISBLANK(N394),O394,N394))=0,"",MIN(IF(ISBLANK(O394),N394,O394),IF(ISBLANK(N394),O394,N394)))</f>
        <v>8.0787037037037043E-3</v>
      </c>
      <c r="R394" s="57"/>
      <c r="S394" s="57"/>
      <c r="T394" s="59">
        <f>IF(MIN(IF(ISBLANK(R394),Q394,R394),IF(ISBLANK(Q394),R394,Q394))=0,"",MIN(IF(ISBLANK(R394),Q394,R394),IF(ISBLANK(Q394),R394,Q394)))</f>
        <v>8.0787037037037043E-3</v>
      </c>
      <c r="U394" s="57"/>
      <c r="V394" s="57"/>
      <c r="W394" s="59">
        <f>IF(MIN(IF(ISBLANK(U394),T394,U394),IF(ISBLANK(T394),U394,T394))=0,"",MIN(IF(ISBLANK(U394),T394,U394),IF(ISBLANK(T394),U394,T394)))</f>
        <v>8.0787037037037043E-3</v>
      </c>
      <c r="X394" s="57"/>
      <c r="Y394" s="57"/>
      <c r="Z394" s="59">
        <f t="shared" si="156"/>
        <v>8.0787037037037043E-3</v>
      </c>
      <c r="AA394" s="57"/>
      <c r="AB394" s="57"/>
      <c r="AC394" s="59">
        <f t="shared" si="157"/>
        <v>8.0787037037037043E-3</v>
      </c>
      <c r="AD394" s="57"/>
      <c r="AE394" s="57"/>
      <c r="AF394" s="59">
        <f t="shared" si="158"/>
        <v>8.0787037037037043E-3</v>
      </c>
      <c r="AG394" s="57"/>
      <c r="AH394" s="57"/>
      <c r="AI394" s="59">
        <f t="shared" si="159"/>
        <v>8.0787037037037043E-3</v>
      </c>
      <c r="AJ394" s="57"/>
      <c r="AK394" s="57"/>
      <c r="AL394" s="59">
        <f t="shared" si="152"/>
        <v>8.0787037037037043E-3</v>
      </c>
      <c r="AM394" s="57"/>
      <c r="AN394" s="57"/>
      <c r="AO394" s="59">
        <f t="shared" si="153"/>
        <v>8.0787037037037043E-3</v>
      </c>
      <c r="AP394" s="57"/>
      <c r="AQ394" s="59">
        <f t="shared" si="130"/>
        <v>8.0787037037037043E-3</v>
      </c>
      <c r="AR394" s="57"/>
      <c r="AS394" s="57"/>
      <c r="AT394" s="59">
        <f t="shared" si="131"/>
        <v>8.0787037037037043E-3</v>
      </c>
    </row>
    <row r="395" spans="1:46" hidden="1">
      <c r="A395" s="24"/>
      <c r="B395" s="26" t="s">
        <v>237</v>
      </c>
      <c r="C395" s="26" t="s">
        <v>444</v>
      </c>
      <c r="D395" s="50"/>
      <c r="E395" s="51"/>
      <c r="F395" s="50" t="s">
        <v>448</v>
      </c>
      <c r="G395" s="52"/>
      <c r="H395" s="50"/>
      <c r="I395" s="53"/>
      <c r="J395" s="50" t="s">
        <v>448</v>
      </c>
      <c r="K395" s="53"/>
      <c r="L395" s="50"/>
      <c r="M395" s="57"/>
      <c r="N395" s="55"/>
      <c r="O395" s="57"/>
      <c r="P395" s="57"/>
      <c r="Q395" s="59" t="str">
        <f>IF(MIN(IF(ISBLANK(O395),N395,O395),IF(ISBLANK(N395),O395,N395))=0,"",MIN(IF(ISBLANK(O395),N395,O395),IF(ISBLANK(N395),O395,N395)))</f>
        <v/>
      </c>
      <c r="R395" s="57"/>
      <c r="S395" s="57"/>
      <c r="T395" s="59" t="str">
        <f>IF(MIN(IF(ISBLANK(R395),Q395,R395),IF(ISBLANK(Q395),R395,Q395))=0,"",MIN(IF(ISBLANK(R395),Q395,R395),IF(ISBLANK(Q395),R395,Q395)))</f>
        <v/>
      </c>
      <c r="U395" s="57"/>
      <c r="V395" s="57"/>
      <c r="W395" s="59" t="str">
        <f>IF(MIN(IF(ISBLANK(U395),T395,U395),IF(ISBLANK(T395),U395,T395))=0,"",MIN(IF(ISBLANK(U395),T395,U395),IF(ISBLANK(T395),U395,T395)))</f>
        <v/>
      </c>
      <c r="X395" s="57"/>
      <c r="Y395" s="57"/>
      <c r="Z395" s="59" t="str">
        <f t="shared" si="156"/>
        <v/>
      </c>
      <c r="AA395" s="57"/>
      <c r="AB395" s="57"/>
      <c r="AC395" s="59" t="str">
        <f t="shared" si="157"/>
        <v/>
      </c>
      <c r="AD395" s="57"/>
      <c r="AE395" s="57"/>
      <c r="AF395" s="59" t="str">
        <f t="shared" si="158"/>
        <v/>
      </c>
      <c r="AG395" s="57"/>
      <c r="AH395" s="57"/>
      <c r="AI395" s="59" t="str">
        <f t="shared" si="159"/>
        <v/>
      </c>
      <c r="AJ395" s="57"/>
      <c r="AK395" s="57"/>
      <c r="AL395" s="59" t="str">
        <f t="shared" si="152"/>
        <v/>
      </c>
      <c r="AM395" s="57"/>
      <c r="AN395" s="57"/>
      <c r="AO395" s="59" t="str">
        <f t="shared" si="153"/>
        <v/>
      </c>
      <c r="AP395" s="57"/>
      <c r="AQ395" s="59" t="str">
        <f t="shared" ref="AQ395:AQ458" si="160">IF(MIN(IF(ISBLANK(AO395),AP395,AO395),IF(ISBLANK(AP395),AO395,AP395))=0,"",MIN(IF(ISBLANK(AO395),AP395,AO395),IF(ISBLANK(AP395),AO395,AP395)))</f>
        <v/>
      </c>
      <c r="AR395" s="57"/>
      <c r="AS395" s="57"/>
      <c r="AT395" s="59" t="str">
        <f t="shared" ref="AT395:AT458" si="161">IF(MIN(IF(ISBLANK(AQ395),AR395,AQ395),IF(ISBLANK(AR395),AQ395,AR395))=0,"",MIN(IF(ISBLANK(AQ395),AR395,AQ395),IF(ISBLANK(AR395),AQ395,AR395)))</f>
        <v/>
      </c>
    </row>
    <row r="396" spans="1:46" hidden="1">
      <c r="A396" s="24"/>
      <c r="B396" s="26" t="s">
        <v>691</v>
      </c>
      <c r="C396" s="26"/>
      <c r="D396" s="50"/>
      <c r="E396" s="51"/>
      <c r="F396" s="50"/>
      <c r="G396" s="52"/>
      <c r="H396" s="50"/>
      <c r="I396" s="53"/>
      <c r="J396" s="50"/>
      <c r="K396" s="54"/>
      <c r="L396" s="50"/>
      <c r="M396" s="56"/>
      <c r="N396" s="55"/>
      <c r="O396" s="56"/>
      <c r="P396" s="56"/>
      <c r="Q396" s="59"/>
      <c r="R396" s="56"/>
      <c r="S396" s="56"/>
      <c r="T396" s="59"/>
      <c r="U396" s="56"/>
      <c r="V396" s="56"/>
      <c r="W396" s="59"/>
      <c r="X396" s="56"/>
      <c r="Y396" s="56"/>
      <c r="Z396" s="59" t="str">
        <f t="shared" si="156"/>
        <v/>
      </c>
      <c r="AA396" s="56"/>
      <c r="AB396" s="56"/>
      <c r="AC396" s="59" t="str">
        <f t="shared" si="157"/>
        <v/>
      </c>
      <c r="AD396" s="56"/>
      <c r="AE396" s="56"/>
      <c r="AF396" s="59" t="str">
        <f t="shared" si="158"/>
        <v/>
      </c>
      <c r="AG396" s="56"/>
      <c r="AH396" s="56"/>
      <c r="AI396" s="59" t="str">
        <f t="shared" si="159"/>
        <v/>
      </c>
      <c r="AJ396" s="56"/>
      <c r="AK396" s="56"/>
      <c r="AL396" s="59" t="str">
        <f t="shared" si="152"/>
        <v/>
      </c>
      <c r="AM396" s="56"/>
      <c r="AN396" s="56"/>
      <c r="AO396" s="59" t="str">
        <f t="shared" si="153"/>
        <v/>
      </c>
      <c r="AP396" s="56"/>
      <c r="AQ396" s="59" t="str">
        <f t="shared" si="160"/>
        <v/>
      </c>
      <c r="AR396" s="56"/>
      <c r="AS396" s="56"/>
      <c r="AT396" s="59" t="str">
        <f t="shared" si="161"/>
        <v/>
      </c>
    </row>
    <row r="397" spans="1:46" hidden="1">
      <c r="A397" s="24"/>
      <c r="B397" s="26" t="s">
        <v>77</v>
      </c>
      <c r="C397" s="26" t="s">
        <v>443</v>
      </c>
      <c r="D397" s="50">
        <v>10.050000000000001</v>
      </c>
      <c r="E397" s="51"/>
      <c r="F397" s="50">
        <v>10.050000000000001</v>
      </c>
      <c r="G397" s="52"/>
      <c r="H397" s="50">
        <v>10.050000000000001</v>
      </c>
      <c r="I397" s="53"/>
      <c r="J397" s="50">
        <v>10.050000000000001</v>
      </c>
      <c r="K397" s="53"/>
      <c r="L397" s="50">
        <v>10.050000000000001</v>
      </c>
      <c r="M397" s="57"/>
      <c r="N397" s="55">
        <v>7.0023148148148154E-3</v>
      </c>
      <c r="O397" s="57"/>
      <c r="P397" s="57"/>
      <c r="Q397" s="59">
        <f>IF(MIN(IF(ISBLANK(O397),N397,O397),IF(ISBLANK(N397),O397,N397))=0,"",MIN(IF(ISBLANK(O397),N397,O397),IF(ISBLANK(N397),O397,N397)))</f>
        <v>7.0023148148148154E-3</v>
      </c>
      <c r="R397" s="57"/>
      <c r="S397" s="57"/>
      <c r="T397" s="59">
        <f>IF(MIN(IF(ISBLANK(R397),Q397,R397),IF(ISBLANK(Q397),R397,Q397))=0,"",MIN(IF(ISBLANK(R397),Q397,R397),IF(ISBLANK(Q397),R397,Q397)))</f>
        <v>7.0023148148148154E-3</v>
      </c>
      <c r="U397" s="57"/>
      <c r="V397" s="57"/>
      <c r="W397" s="59">
        <f>IF(MIN(IF(ISBLANK(U397),T397,U397),IF(ISBLANK(T397),U397,T397))=0,"",MIN(IF(ISBLANK(U397),T397,U397),IF(ISBLANK(T397),U397,T397)))</f>
        <v>7.0023148148148154E-3</v>
      </c>
      <c r="X397" s="57"/>
      <c r="Y397" s="57"/>
      <c r="Z397" s="59">
        <f t="shared" si="156"/>
        <v>7.0023148148148154E-3</v>
      </c>
      <c r="AA397" s="57"/>
      <c r="AB397" s="57"/>
      <c r="AC397" s="59">
        <f t="shared" si="157"/>
        <v>7.0023148148148154E-3</v>
      </c>
      <c r="AD397" s="57"/>
      <c r="AE397" s="57"/>
      <c r="AF397" s="59">
        <f t="shared" si="158"/>
        <v>7.0023148148148154E-3</v>
      </c>
      <c r="AG397" s="57"/>
      <c r="AH397" s="57"/>
      <c r="AI397" s="59">
        <f t="shared" si="159"/>
        <v>7.0023148148148154E-3</v>
      </c>
      <c r="AJ397" s="57"/>
      <c r="AK397" s="57"/>
      <c r="AL397" s="59">
        <f t="shared" si="152"/>
        <v>7.0023148148148154E-3</v>
      </c>
      <c r="AM397" s="57"/>
      <c r="AN397" s="57"/>
      <c r="AO397" s="59">
        <f t="shared" si="153"/>
        <v>7.0023148148148154E-3</v>
      </c>
      <c r="AP397" s="57"/>
      <c r="AQ397" s="59">
        <f t="shared" si="160"/>
        <v>7.0023148148148154E-3</v>
      </c>
      <c r="AR397" s="57"/>
      <c r="AS397" s="57"/>
      <c r="AT397" s="59">
        <f t="shared" si="161"/>
        <v>7.0023148148148154E-3</v>
      </c>
    </row>
    <row r="398" spans="1:46" hidden="1">
      <c r="A398" s="24"/>
      <c r="B398" s="26" t="s">
        <v>579</v>
      </c>
      <c r="C398" s="26"/>
      <c r="D398" s="50"/>
      <c r="E398" s="51"/>
      <c r="F398" s="50"/>
      <c r="G398" s="52"/>
      <c r="H398" s="50"/>
      <c r="I398" s="53"/>
      <c r="J398" s="50"/>
      <c r="K398" s="53"/>
      <c r="L398" s="50"/>
      <c r="M398" s="57"/>
      <c r="N398" s="55"/>
      <c r="O398" s="57"/>
      <c r="P398" s="57"/>
      <c r="Q398" s="59"/>
      <c r="R398" s="57"/>
      <c r="S398" s="57"/>
      <c r="T398" s="59" t="str">
        <f>IF(MIN(IF(ISBLANK(R398),Q398,R398),IF(ISBLANK(Q398),R398,Q398))=0,"",MIN(IF(ISBLANK(R398),Q398,R398),IF(ISBLANK(Q398),R398,Q398)))</f>
        <v/>
      </c>
      <c r="U398" s="57"/>
      <c r="V398" s="57"/>
      <c r="W398" s="59" t="str">
        <f>IF(MIN(IF(ISBLANK(U398),T398,U398),IF(ISBLANK(T398),U398,T398))=0,"",MIN(IF(ISBLANK(U398),T398,U398),IF(ISBLANK(T398),U398,T398)))</f>
        <v/>
      </c>
      <c r="X398" s="57"/>
      <c r="Y398" s="57"/>
      <c r="Z398" s="59" t="str">
        <f t="shared" si="156"/>
        <v/>
      </c>
      <c r="AA398" s="57"/>
      <c r="AB398" s="57"/>
      <c r="AC398" s="59" t="str">
        <f t="shared" si="157"/>
        <v/>
      </c>
      <c r="AD398" s="57"/>
      <c r="AE398" s="57"/>
      <c r="AF398" s="59" t="str">
        <f t="shared" si="158"/>
        <v/>
      </c>
      <c r="AG398" s="57"/>
      <c r="AH398" s="57"/>
      <c r="AI398" s="59" t="str">
        <f t="shared" si="159"/>
        <v/>
      </c>
      <c r="AJ398" s="57"/>
      <c r="AK398" s="57"/>
      <c r="AL398" s="59" t="str">
        <f t="shared" si="152"/>
        <v/>
      </c>
      <c r="AM398" s="57"/>
      <c r="AN398" s="57"/>
      <c r="AO398" s="59" t="str">
        <f t="shared" si="153"/>
        <v/>
      </c>
      <c r="AP398" s="57"/>
      <c r="AQ398" s="59" t="str">
        <f t="shared" si="160"/>
        <v/>
      </c>
      <c r="AR398" s="57"/>
      <c r="AS398" s="57"/>
      <c r="AT398" s="59" t="str">
        <f t="shared" si="161"/>
        <v/>
      </c>
    </row>
    <row r="399" spans="1:46" hidden="1">
      <c r="A399" s="24"/>
      <c r="B399" s="26" t="s">
        <v>652</v>
      </c>
      <c r="C399" s="26"/>
      <c r="D399" s="50"/>
      <c r="E399" s="51"/>
      <c r="F399" s="50"/>
      <c r="G399" s="52"/>
      <c r="H399" s="50"/>
      <c r="I399" s="53"/>
      <c r="J399" s="50"/>
      <c r="K399" s="53"/>
      <c r="L399" s="50"/>
      <c r="M399" s="57"/>
      <c r="N399" s="55"/>
      <c r="O399" s="57"/>
      <c r="P399" s="57"/>
      <c r="Q399" s="59"/>
      <c r="R399" s="57"/>
      <c r="S399" s="57"/>
      <c r="T399" s="59"/>
      <c r="U399" s="57"/>
      <c r="V399" s="57"/>
      <c r="W399" s="59"/>
      <c r="X399" s="57">
        <v>5.9027777777777776E-3</v>
      </c>
      <c r="Y399" s="57"/>
      <c r="Z399" s="59">
        <f t="shared" si="156"/>
        <v>5.9027777777777776E-3</v>
      </c>
      <c r="AA399" s="57"/>
      <c r="AB399" s="57"/>
      <c r="AC399" s="59">
        <f t="shared" si="157"/>
        <v>5.9027777777777776E-3</v>
      </c>
      <c r="AD399" s="57"/>
      <c r="AE399" s="57"/>
      <c r="AF399" s="59">
        <f t="shared" si="158"/>
        <v>5.9027777777777776E-3</v>
      </c>
      <c r="AG399" s="57"/>
      <c r="AH399" s="57"/>
      <c r="AI399" s="59">
        <f t="shared" si="159"/>
        <v>5.9027777777777776E-3</v>
      </c>
      <c r="AJ399" s="57"/>
      <c r="AK399" s="57"/>
      <c r="AL399" s="59">
        <f t="shared" si="152"/>
        <v>5.9027777777777776E-3</v>
      </c>
      <c r="AM399" s="57"/>
      <c r="AN399" s="57"/>
      <c r="AO399" s="59">
        <f t="shared" si="153"/>
        <v>5.9027777777777776E-3</v>
      </c>
      <c r="AP399" s="57"/>
      <c r="AQ399" s="59">
        <f t="shared" si="160"/>
        <v>5.9027777777777776E-3</v>
      </c>
      <c r="AR399" s="57"/>
      <c r="AS399" s="57"/>
      <c r="AT399" s="59">
        <f t="shared" si="161"/>
        <v>5.9027777777777776E-3</v>
      </c>
    </row>
    <row r="400" spans="1:46">
      <c r="A400" s="24" t="s">
        <v>792</v>
      </c>
      <c r="B400" s="26" t="s">
        <v>232</v>
      </c>
      <c r="C400" s="26" t="s">
        <v>444</v>
      </c>
      <c r="D400" s="50"/>
      <c r="E400" s="51"/>
      <c r="F400" s="50" t="s">
        <v>448</v>
      </c>
      <c r="G400" s="52"/>
      <c r="H400" s="50"/>
      <c r="I400" s="53"/>
      <c r="J400" s="50" t="s">
        <v>448</v>
      </c>
      <c r="K400" s="53"/>
      <c r="L400" s="50"/>
      <c r="M400" s="57"/>
      <c r="N400" s="55"/>
      <c r="O400" s="57"/>
      <c r="P400" s="57"/>
      <c r="Q400" s="59" t="str">
        <f>IF(MIN(IF(ISBLANK(O400),N400,O400),IF(ISBLANK(N400),O400,N400))=0,"",MIN(IF(ISBLANK(O400),N400,O400),IF(ISBLANK(N400),O400,N400)))</f>
        <v/>
      </c>
      <c r="R400" s="57"/>
      <c r="S400" s="57"/>
      <c r="T400" s="59" t="str">
        <f>IF(MIN(IF(ISBLANK(R400),Q400,R400),IF(ISBLANK(Q400),R400,Q400))=0,"",MIN(IF(ISBLANK(R400),Q400,R400),IF(ISBLANK(Q400),R400,Q400)))</f>
        <v/>
      </c>
      <c r="U400" s="57"/>
      <c r="V400" s="57"/>
      <c r="W400" s="59" t="str">
        <f>IF(MIN(IF(ISBLANK(U400),T400,U400),IF(ISBLANK(T400),U400,T400))=0,"",MIN(IF(ISBLANK(U400),T400,U400),IF(ISBLANK(T400),U400,T400)))</f>
        <v/>
      </c>
      <c r="X400" s="57"/>
      <c r="Y400" s="57"/>
      <c r="Z400" s="59" t="str">
        <f t="shared" si="156"/>
        <v/>
      </c>
      <c r="AA400" s="57"/>
      <c r="AB400" s="57"/>
      <c r="AC400" s="59" t="str">
        <f t="shared" si="157"/>
        <v/>
      </c>
      <c r="AD400" s="57"/>
      <c r="AE400" s="57"/>
      <c r="AF400" s="59" t="str">
        <f t="shared" si="158"/>
        <v/>
      </c>
      <c r="AG400" s="57"/>
      <c r="AH400" s="57"/>
      <c r="AI400" s="59" t="str">
        <f t="shared" si="159"/>
        <v/>
      </c>
      <c r="AJ400" s="57"/>
      <c r="AK400" s="57"/>
      <c r="AL400" s="59" t="str">
        <f t="shared" si="152"/>
        <v/>
      </c>
      <c r="AM400" s="57"/>
      <c r="AN400" s="57"/>
      <c r="AO400" s="59" t="str">
        <f t="shared" si="153"/>
        <v/>
      </c>
      <c r="AP400" s="57"/>
      <c r="AQ400" s="59" t="str">
        <f t="shared" si="160"/>
        <v/>
      </c>
      <c r="AR400" s="57"/>
      <c r="AS400" s="57"/>
      <c r="AT400" s="59" t="str">
        <f t="shared" si="161"/>
        <v/>
      </c>
    </row>
    <row r="401" spans="1:46" hidden="1">
      <c r="A401" s="24"/>
      <c r="B401" s="26" t="s">
        <v>503</v>
      </c>
      <c r="C401" s="26" t="s">
        <v>444</v>
      </c>
      <c r="D401" s="50"/>
      <c r="E401" s="51"/>
      <c r="F401" s="50"/>
      <c r="G401" s="52"/>
      <c r="H401" s="50"/>
      <c r="I401" s="53"/>
      <c r="J401" s="50"/>
      <c r="K401" s="53"/>
      <c r="L401" s="50"/>
      <c r="M401" s="57"/>
      <c r="N401" s="55"/>
      <c r="O401" s="57">
        <v>6.9444444444444441E-3</v>
      </c>
      <c r="P401" s="57"/>
      <c r="Q401" s="59">
        <f>IF(MIN(IF(ISBLANK(O401),N401,O401),IF(ISBLANK(N401),O401,N401))=0,"",MIN(IF(ISBLANK(O401),N401,O401),IF(ISBLANK(N401),O401,N401)))</f>
        <v>6.9444444444444441E-3</v>
      </c>
      <c r="R401" s="57"/>
      <c r="S401" s="57"/>
      <c r="T401" s="59">
        <f>IF(MIN(IF(ISBLANK(R401),Q401,R401),IF(ISBLANK(Q401),R401,Q401))=0,"",MIN(IF(ISBLANK(R401),Q401,R401),IF(ISBLANK(Q401),R401,Q401)))</f>
        <v>6.9444444444444441E-3</v>
      </c>
      <c r="U401" s="57"/>
      <c r="V401" s="57"/>
      <c r="W401" s="59">
        <f>IF(MIN(IF(ISBLANK(U401),T401,U401),IF(ISBLANK(T401),U401,T401))=0,"",MIN(IF(ISBLANK(U401),T401,U401),IF(ISBLANK(T401),U401,T401)))</f>
        <v>6.9444444444444441E-3</v>
      </c>
      <c r="X401" s="57"/>
      <c r="Y401" s="57"/>
      <c r="Z401" s="59">
        <f t="shared" si="156"/>
        <v>6.9444444444444441E-3</v>
      </c>
      <c r="AA401" s="57"/>
      <c r="AB401" s="57"/>
      <c r="AC401" s="59">
        <f t="shared" si="157"/>
        <v>6.9444444444444441E-3</v>
      </c>
      <c r="AD401" s="57"/>
      <c r="AE401" s="57"/>
      <c r="AF401" s="59">
        <f t="shared" si="158"/>
        <v>6.9444444444444441E-3</v>
      </c>
      <c r="AG401" s="57"/>
      <c r="AH401" s="57"/>
      <c r="AI401" s="59">
        <f t="shared" si="159"/>
        <v>6.9444444444444441E-3</v>
      </c>
      <c r="AJ401" s="57"/>
      <c r="AK401" s="57"/>
      <c r="AL401" s="59">
        <f t="shared" si="152"/>
        <v>6.9444444444444441E-3</v>
      </c>
      <c r="AM401" s="57"/>
      <c r="AN401" s="57"/>
      <c r="AO401" s="59">
        <f t="shared" si="153"/>
        <v>6.9444444444444441E-3</v>
      </c>
      <c r="AP401" s="57"/>
      <c r="AQ401" s="59">
        <f t="shared" si="160"/>
        <v>6.9444444444444441E-3</v>
      </c>
      <c r="AR401" s="57"/>
      <c r="AS401" s="57"/>
      <c r="AT401" s="59">
        <f t="shared" si="161"/>
        <v>6.9444444444444441E-3</v>
      </c>
    </row>
    <row r="402" spans="1:46" hidden="1">
      <c r="A402" s="24"/>
      <c r="B402" s="26" t="s">
        <v>578</v>
      </c>
      <c r="C402" s="26"/>
      <c r="D402" s="50"/>
      <c r="E402" s="51"/>
      <c r="F402" s="50"/>
      <c r="G402" s="52"/>
      <c r="H402" s="50"/>
      <c r="I402" s="53"/>
      <c r="J402" s="50"/>
      <c r="K402" s="53"/>
      <c r="L402" s="50"/>
      <c r="M402" s="57"/>
      <c r="N402" s="55"/>
      <c r="O402" s="57"/>
      <c r="P402" s="57"/>
      <c r="Q402" s="59"/>
      <c r="R402" s="57">
        <v>5.3819444444444453E-3</v>
      </c>
      <c r="S402" s="57"/>
      <c r="T402" s="59">
        <f>IF(MIN(IF(ISBLANK(R402),Q402,R402),IF(ISBLANK(Q402),R402,Q402))=0,"",MIN(IF(ISBLANK(R402),Q402,R402),IF(ISBLANK(Q402),R402,Q402)))</f>
        <v>5.3819444444444453E-3</v>
      </c>
      <c r="U402" s="57">
        <v>5.347222222222222E-3</v>
      </c>
      <c r="V402" s="57"/>
      <c r="W402" s="59">
        <f>IF(MIN(IF(ISBLANK(U402),T402,U402),IF(ISBLANK(T402),U402,T402))=0,"",MIN(IF(ISBLANK(U402),T402,U402),IF(ISBLANK(T402),U402,T402)))</f>
        <v>5.347222222222222E-3</v>
      </c>
      <c r="X402" s="57"/>
      <c r="Y402" s="57"/>
      <c r="Z402" s="59">
        <f t="shared" si="156"/>
        <v>5.347222222222222E-3</v>
      </c>
      <c r="AA402" s="57"/>
      <c r="AB402" s="57"/>
      <c r="AC402" s="59">
        <f t="shared" si="157"/>
        <v>5.347222222222222E-3</v>
      </c>
      <c r="AD402" s="57"/>
      <c r="AE402" s="57"/>
      <c r="AF402" s="59">
        <f t="shared" si="158"/>
        <v>5.347222222222222E-3</v>
      </c>
      <c r="AG402" s="57"/>
      <c r="AH402" s="57"/>
      <c r="AI402" s="59">
        <f t="shared" si="159"/>
        <v>5.347222222222222E-3</v>
      </c>
      <c r="AJ402" s="57"/>
      <c r="AK402" s="57"/>
      <c r="AL402" s="59">
        <f t="shared" si="152"/>
        <v>5.347222222222222E-3</v>
      </c>
      <c r="AM402" s="57"/>
      <c r="AN402" s="57"/>
      <c r="AO402" s="59">
        <f t="shared" si="153"/>
        <v>5.347222222222222E-3</v>
      </c>
      <c r="AP402" s="57"/>
      <c r="AQ402" s="59">
        <f t="shared" si="160"/>
        <v>5.347222222222222E-3</v>
      </c>
      <c r="AR402" s="57"/>
      <c r="AS402" s="57"/>
      <c r="AT402" s="59">
        <f t="shared" si="161"/>
        <v>5.347222222222222E-3</v>
      </c>
    </row>
    <row r="403" spans="1:46" hidden="1">
      <c r="A403" s="24"/>
      <c r="B403" s="26" t="s">
        <v>571</v>
      </c>
      <c r="C403" s="26"/>
      <c r="D403" s="50"/>
      <c r="E403" s="51"/>
      <c r="F403" s="50"/>
      <c r="G403" s="52"/>
      <c r="H403" s="50"/>
      <c r="I403" s="53"/>
      <c r="J403" s="50"/>
      <c r="K403" s="53"/>
      <c r="L403" s="50"/>
      <c r="M403" s="57"/>
      <c r="N403" s="55"/>
      <c r="O403" s="57"/>
      <c r="P403" s="57"/>
      <c r="Q403" s="59"/>
      <c r="R403" s="57">
        <v>6.8402777777777776E-3</v>
      </c>
      <c r="S403" s="57"/>
      <c r="T403" s="59">
        <f>IF(MIN(IF(ISBLANK(R403),Q403,R403),IF(ISBLANK(Q403),R403,Q403))=0,"",MIN(IF(ISBLANK(R403),Q403,R403),IF(ISBLANK(Q403),R403,Q403)))</f>
        <v>6.8402777777777776E-3</v>
      </c>
      <c r="U403" s="57"/>
      <c r="V403" s="57"/>
      <c r="W403" s="59">
        <f>IF(MIN(IF(ISBLANK(U403),T403,U403),IF(ISBLANK(T403),U403,T403))=0,"",MIN(IF(ISBLANK(U403),T403,U403),IF(ISBLANK(T403),U403,T403)))</f>
        <v>6.8402777777777776E-3</v>
      </c>
      <c r="X403" s="57"/>
      <c r="Y403" s="57"/>
      <c r="Z403" s="59">
        <f t="shared" si="156"/>
        <v>6.8402777777777776E-3</v>
      </c>
      <c r="AA403" s="57"/>
      <c r="AB403" s="57"/>
      <c r="AC403" s="59">
        <f t="shared" si="157"/>
        <v>6.8402777777777776E-3</v>
      </c>
      <c r="AD403" s="57"/>
      <c r="AE403" s="57"/>
      <c r="AF403" s="59">
        <f t="shared" si="158"/>
        <v>6.8402777777777776E-3</v>
      </c>
      <c r="AG403" s="57"/>
      <c r="AH403" s="57"/>
      <c r="AI403" s="59">
        <f t="shared" si="159"/>
        <v>6.8402777777777776E-3</v>
      </c>
      <c r="AJ403" s="57"/>
      <c r="AK403" s="57"/>
      <c r="AL403" s="59">
        <f t="shared" si="152"/>
        <v>6.8402777777777776E-3</v>
      </c>
      <c r="AM403" s="57"/>
      <c r="AN403" s="57"/>
      <c r="AO403" s="59">
        <f t="shared" si="153"/>
        <v>6.8402777777777776E-3</v>
      </c>
      <c r="AP403" s="57"/>
      <c r="AQ403" s="59">
        <f t="shared" si="160"/>
        <v>6.8402777777777776E-3</v>
      </c>
      <c r="AR403" s="57"/>
      <c r="AS403" s="57"/>
      <c r="AT403" s="59">
        <f t="shared" si="161"/>
        <v>6.8402777777777776E-3</v>
      </c>
    </row>
    <row r="404" spans="1:46" hidden="1">
      <c r="A404" s="24"/>
      <c r="B404" s="26" t="s">
        <v>702</v>
      </c>
      <c r="C404" s="26"/>
      <c r="D404" s="50"/>
      <c r="E404" s="51"/>
      <c r="F404" s="50"/>
      <c r="G404" s="52"/>
      <c r="H404" s="50"/>
      <c r="I404" s="53"/>
      <c r="J404" s="50"/>
      <c r="K404" s="53"/>
      <c r="L404" s="50"/>
      <c r="M404" s="57"/>
      <c r="N404" s="55"/>
      <c r="O404" s="57"/>
      <c r="P404" s="57"/>
      <c r="Q404" s="59"/>
      <c r="R404" s="57"/>
      <c r="S404" s="57"/>
      <c r="T404" s="59"/>
      <c r="U404" s="57"/>
      <c r="V404" s="57"/>
      <c r="W404" s="59"/>
      <c r="X404" s="57"/>
      <c r="Y404" s="57"/>
      <c r="Z404" s="59"/>
      <c r="AA404" s="57"/>
      <c r="AB404" s="57"/>
      <c r="AC404" s="59" t="str">
        <f t="shared" si="157"/>
        <v/>
      </c>
      <c r="AD404" s="57"/>
      <c r="AE404" s="57"/>
      <c r="AF404" s="59" t="str">
        <f t="shared" si="158"/>
        <v/>
      </c>
      <c r="AG404" s="57"/>
      <c r="AH404" s="57"/>
      <c r="AI404" s="59" t="str">
        <f t="shared" si="159"/>
        <v/>
      </c>
      <c r="AJ404" s="57"/>
      <c r="AK404" s="57"/>
      <c r="AL404" s="59" t="str">
        <f t="shared" si="152"/>
        <v/>
      </c>
      <c r="AM404" s="57"/>
      <c r="AN404" s="57"/>
      <c r="AO404" s="59" t="str">
        <f t="shared" si="153"/>
        <v/>
      </c>
      <c r="AP404" s="57"/>
      <c r="AQ404" s="59" t="str">
        <f t="shared" si="160"/>
        <v/>
      </c>
      <c r="AR404" s="57"/>
      <c r="AS404" s="57"/>
      <c r="AT404" s="59" t="str">
        <f t="shared" si="161"/>
        <v/>
      </c>
    </row>
    <row r="405" spans="1:46" hidden="1">
      <c r="A405" s="24"/>
      <c r="B405" s="26" t="s">
        <v>603</v>
      </c>
      <c r="C405" s="26"/>
      <c r="D405" s="50"/>
      <c r="E405" s="51"/>
      <c r="F405" s="50"/>
      <c r="G405" s="52"/>
      <c r="H405" s="50"/>
      <c r="I405" s="53"/>
      <c r="J405" s="50"/>
      <c r="K405" s="53"/>
      <c r="L405" s="50"/>
      <c r="M405" s="57"/>
      <c r="N405" s="55"/>
      <c r="O405" s="57"/>
      <c r="P405" s="57"/>
      <c r="Q405" s="59"/>
      <c r="R405" s="57"/>
      <c r="S405" s="57"/>
      <c r="T405" s="59" t="str">
        <f>IF(MIN(IF(ISBLANK(R405),Q405,R405),IF(ISBLANK(Q405),R405,Q405))=0,"",MIN(IF(ISBLANK(R405),Q405,R405),IF(ISBLANK(Q405),R405,Q405)))</f>
        <v/>
      </c>
      <c r="U405" s="57"/>
      <c r="V405" s="57"/>
      <c r="W405" s="59" t="str">
        <f>IF(MIN(IF(ISBLANK(U405),T405,U405),IF(ISBLANK(T405),U405,T405))=0,"",MIN(IF(ISBLANK(U405),T405,U405),IF(ISBLANK(T405),U405,T405)))</f>
        <v/>
      </c>
      <c r="X405" s="57"/>
      <c r="Y405" s="57"/>
      <c r="Z405" s="59" t="str">
        <f t="shared" ref="Z405:Z413" si="162">IF(MIN(IF(ISBLANK(X405),W405,X405),IF(ISBLANK(W405),X405,W405))=0,"",MIN(IF(ISBLANK(X405),W405,X405),IF(ISBLANK(W405),X405,W405)))</f>
        <v/>
      </c>
      <c r="AA405" s="57"/>
      <c r="AB405" s="57"/>
      <c r="AC405" s="59" t="str">
        <f t="shared" si="157"/>
        <v/>
      </c>
      <c r="AD405" s="57"/>
      <c r="AE405" s="57"/>
      <c r="AF405" s="59" t="str">
        <f t="shared" si="158"/>
        <v/>
      </c>
      <c r="AG405" s="57"/>
      <c r="AH405" s="57"/>
      <c r="AI405" s="59" t="str">
        <f t="shared" si="159"/>
        <v/>
      </c>
      <c r="AJ405" s="57"/>
      <c r="AK405" s="57"/>
      <c r="AL405" s="59" t="str">
        <f t="shared" si="152"/>
        <v/>
      </c>
      <c r="AM405" s="57"/>
      <c r="AN405" s="57"/>
      <c r="AO405" s="59" t="str">
        <f t="shared" si="153"/>
        <v/>
      </c>
      <c r="AP405" s="57"/>
      <c r="AQ405" s="59" t="str">
        <f t="shared" si="160"/>
        <v/>
      </c>
      <c r="AR405" s="57"/>
      <c r="AS405" s="57"/>
      <c r="AT405" s="59" t="str">
        <f t="shared" si="161"/>
        <v/>
      </c>
    </row>
    <row r="406" spans="1:46" hidden="1">
      <c r="A406" s="24"/>
      <c r="B406" s="26" t="s">
        <v>513</v>
      </c>
      <c r="C406" s="26"/>
      <c r="D406" s="50"/>
      <c r="E406" s="51"/>
      <c r="F406" s="50"/>
      <c r="G406" s="52"/>
      <c r="H406" s="50"/>
      <c r="I406" s="53"/>
      <c r="J406" s="50"/>
      <c r="K406" s="53"/>
      <c r="L406" s="50"/>
      <c r="M406" s="57"/>
      <c r="N406" s="55"/>
      <c r="O406" s="57"/>
      <c r="P406" s="57"/>
      <c r="Q406" s="59" t="str">
        <f>IF(MIN(IF(ISBLANK(O406),N406,O406),IF(ISBLANK(N406),O406,N406))=0,"",MIN(IF(ISBLANK(O406),N406,O406),IF(ISBLANK(N406),O406,N406)))</f>
        <v/>
      </c>
      <c r="R406" s="57"/>
      <c r="S406" s="57"/>
      <c r="T406" s="59" t="str">
        <f>IF(MIN(IF(ISBLANK(R406),Q406,R406),IF(ISBLANK(Q406),R406,Q406))=0,"",MIN(IF(ISBLANK(R406),Q406,R406),IF(ISBLANK(Q406),R406,Q406)))</f>
        <v/>
      </c>
      <c r="U406" s="57"/>
      <c r="V406" s="57"/>
      <c r="W406" s="59" t="str">
        <f>IF(MIN(IF(ISBLANK(U406),T406,U406),IF(ISBLANK(T406),U406,T406))=0,"",MIN(IF(ISBLANK(U406),T406,U406),IF(ISBLANK(T406),U406,T406)))</f>
        <v/>
      </c>
      <c r="X406" s="57"/>
      <c r="Y406" s="57"/>
      <c r="Z406" s="59" t="str">
        <f t="shared" si="162"/>
        <v/>
      </c>
      <c r="AA406" s="57"/>
      <c r="AB406" s="57"/>
      <c r="AC406" s="59" t="str">
        <f t="shared" si="157"/>
        <v/>
      </c>
      <c r="AD406" s="57"/>
      <c r="AE406" s="57"/>
      <c r="AF406" s="59" t="str">
        <f t="shared" si="158"/>
        <v/>
      </c>
      <c r="AG406" s="57"/>
      <c r="AH406" s="57"/>
      <c r="AI406" s="59" t="str">
        <f t="shared" si="159"/>
        <v/>
      </c>
      <c r="AJ406" s="57"/>
      <c r="AK406" s="57"/>
      <c r="AL406" s="59" t="str">
        <f t="shared" si="152"/>
        <v/>
      </c>
      <c r="AM406" s="57"/>
      <c r="AN406" s="57"/>
      <c r="AO406" s="59" t="str">
        <f t="shared" si="153"/>
        <v/>
      </c>
      <c r="AP406" s="57"/>
      <c r="AQ406" s="59" t="str">
        <f t="shared" si="160"/>
        <v/>
      </c>
      <c r="AR406" s="57"/>
      <c r="AS406" s="57"/>
      <c r="AT406" s="59" t="str">
        <f t="shared" si="161"/>
        <v/>
      </c>
    </row>
    <row r="407" spans="1:46" hidden="1">
      <c r="A407" s="24"/>
      <c r="B407" s="26" t="s">
        <v>538</v>
      </c>
      <c r="C407" s="26"/>
      <c r="D407" s="50"/>
      <c r="E407" s="51"/>
      <c r="F407" s="50"/>
      <c r="G407" s="52"/>
      <c r="H407" s="50"/>
      <c r="I407" s="53"/>
      <c r="J407" s="50"/>
      <c r="K407" s="53"/>
      <c r="L407" s="50"/>
      <c r="M407" s="57"/>
      <c r="N407" s="55"/>
      <c r="O407" s="57"/>
      <c r="P407" s="57"/>
      <c r="Q407" s="59" t="str">
        <f>IF(MIN(IF(ISBLANK(O407),N407,O407),IF(ISBLANK(N407),O407,N407))=0,"",MIN(IF(ISBLANK(O407),N407,O407),IF(ISBLANK(N407),O407,N407)))</f>
        <v/>
      </c>
      <c r="R407" s="57"/>
      <c r="S407" s="57"/>
      <c r="T407" s="59" t="str">
        <f>IF(MIN(IF(ISBLANK(R407),Q407,R407),IF(ISBLANK(Q407),R407,Q407))=0,"",MIN(IF(ISBLANK(R407),Q407,R407),IF(ISBLANK(Q407),R407,Q407)))</f>
        <v/>
      </c>
      <c r="U407" s="57"/>
      <c r="V407" s="57"/>
      <c r="W407" s="59" t="str">
        <f>IF(MIN(IF(ISBLANK(U407),T407,U407),IF(ISBLANK(T407),U407,T407))=0,"",MIN(IF(ISBLANK(U407),T407,U407),IF(ISBLANK(T407),U407,T407)))</f>
        <v/>
      </c>
      <c r="X407" s="57"/>
      <c r="Y407" s="57"/>
      <c r="Z407" s="59" t="str">
        <f t="shared" si="162"/>
        <v/>
      </c>
      <c r="AA407" s="57"/>
      <c r="AB407" s="57"/>
      <c r="AC407" s="59" t="str">
        <f t="shared" si="157"/>
        <v/>
      </c>
      <c r="AD407" s="57"/>
      <c r="AE407" s="57"/>
      <c r="AF407" s="59" t="str">
        <f t="shared" si="158"/>
        <v/>
      </c>
      <c r="AG407" s="57"/>
      <c r="AH407" s="57"/>
      <c r="AI407" s="59" t="str">
        <f t="shared" si="159"/>
        <v/>
      </c>
      <c r="AJ407" s="57"/>
      <c r="AK407" s="57"/>
      <c r="AL407" s="59" t="str">
        <f t="shared" si="152"/>
        <v/>
      </c>
      <c r="AM407" s="57"/>
      <c r="AN407" s="57"/>
      <c r="AO407" s="59" t="str">
        <f t="shared" si="153"/>
        <v/>
      </c>
      <c r="AP407" s="57"/>
      <c r="AQ407" s="59" t="str">
        <f t="shared" si="160"/>
        <v/>
      </c>
      <c r="AR407" s="57"/>
      <c r="AS407" s="57"/>
      <c r="AT407" s="59" t="str">
        <f t="shared" si="161"/>
        <v/>
      </c>
    </row>
    <row r="408" spans="1:46" hidden="1">
      <c r="A408" s="24"/>
      <c r="B408" s="26" t="s">
        <v>539</v>
      </c>
      <c r="C408" s="26"/>
      <c r="D408" s="50"/>
      <c r="E408" s="51"/>
      <c r="F408" s="50"/>
      <c r="G408" s="52"/>
      <c r="H408" s="50"/>
      <c r="I408" s="53"/>
      <c r="J408" s="50"/>
      <c r="K408" s="53"/>
      <c r="L408" s="50"/>
      <c r="M408" s="57"/>
      <c r="N408" s="55"/>
      <c r="O408" s="57"/>
      <c r="P408" s="57"/>
      <c r="Q408" s="59" t="str">
        <f>IF(MIN(IF(ISBLANK(O408),N408,O408),IF(ISBLANK(N408),O408,N408))=0,"",MIN(IF(ISBLANK(O408),N408,O408),IF(ISBLANK(N408),O408,N408)))</f>
        <v/>
      </c>
      <c r="R408" s="57"/>
      <c r="S408" s="57"/>
      <c r="T408" s="59" t="str">
        <f>IF(MIN(IF(ISBLANK(R408),Q408,R408),IF(ISBLANK(Q408),R408,Q408))=0,"",MIN(IF(ISBLANK(R408),Q408,R408),IF(ISBLANK(Q408),R408,Q408)))</f>
        <v/>
      </c>
      <c r="U408" s="57"/>
      <c r="V408" s="57"/>
      <c r="W408" s="59" t="str">
        <f>IF(MIN(IF(ISBLANK(U408),T408,U408),IF(ISBLANK(T408),U408,T408))=0,"",MIN(IF(ISBLANK(U408),T408,U408),IF(ISBLANK(T408),U408,T408)))</f>
        <v/>
      </c>
      <c r="X408" s="57"/>
      <c r="Y408" s="57"/>
      <c r="Z408" s="59" t="str">
        <f t="shared" si="162"/>
        <v/>
      </c>
      <c r="AA408" s="57"/>
      <c r="AB408" s="57"/>
      <c r="AC408" s="59" t="str">
        <f t="shared" si="157"/>
        <v/>
      </c>
      <c r="AD408" s="57"/>
      <c r="AE408" s="57"/>
      <c r="AF408" s="59" t="str">
        <f t="shared" si="158"/>
        <v/>
      </c>
      <c r="AG408" s="57"/>
      <c r="AH408" s="57"/>
      <c r="AI408" s="59" t="str">
        <f t="shared" si="159"/>
        <v/>
      </c>
      <c r="AJ408" s="57"/>
      <c r="AK408" s="57"/>
      <c r="AL408" s="59" t="str">
        <f t="shared" si="152"/>
        <v/>
      </c>
      <c r="AM408" s="57"/>
      <c r="AN408" s="57"/>
      <c r="AO408" s="59" t="str">
        <f t="shared" si="153"/>
        <v/>
      </c>
      <c r="AP408" s="57"/>
      <c r="AQ408" s="59" t="str">
        <f t="shared" si="160"/>
        <v/>
      </c>
      <c r="AR408" s="57"/>
      <c r="AS408" s="57"/>
      <c r="AT408" s="59" t="str">
        <f t="shared" si="161"/>
        <v/>
      </c>
    </row>
    <row r="409" spans="1:46" hidden="1">
      <c r="A409" s="24"/>
      <c r="B409" s="26" t="s">
        <v>653</v>
      </c>
      <c r="C409" s="26"/>
      <c r="D409" s="50"/>
      <c r="E409" s="51"/>
      <c r="F409" s="50"/>
      <c r="G409" s="52"/>
      <c r="H409" s="50"/>
      <c r="I409" s="53"/>
      <c r="J409" s="50"/>
      <c r="K409" s="53"/>
      <c r="L409" s="50"/>
      <c r="M409" s="57"/>
      <c r="N409" s="55"/>
      <c r="O409" s="57"/>
      <c r="P409" s="57"/>
      <c r="Q409" s="59"/>
      <c r="R409" s="57"/>
      <c r="S409" s="57"/>
      <c r="T409" s="59"/>
      <c r="U409" s="57"/>
      <c r="V409" s="57"/>
      <c r="W409" s="59"/>
      <c r="X409" s="57"/>
      <c r="Y409" s="57"/>
      <c r="Z409" s="59" t="str">
        <f t="shared" si="162"/>
        <v/>
      </c>
      <c r="AA409" s="57"/>
      <c r="AB409" s="57"/>
      <c r="AC409" s="59" t="str">
        <f t="shared" si="157"/>
        <v/>
      </c>
      <c r="AD409" s="57"/>
      <c r="AE409" s="57"/>
      <c r="AF409" s="59" t="str">
        <f t="shared" si="158"/>
        <v/>
      </c>
      <c r="AG409" s="57"/>
      <c r="AH409" s="57"/>
      <c r="AI409" s="59" t="str">
        <f t="shared" si="159"/>
        <v/>
      </c>
      <c r="AJ409" s="57"/>
      <c r="AK409" s="57"/>
      <c r="AL409" s="59" t="str">
        <f t="shared" si="152"/>
        <v/>
      </c>
      <c r="AM409" s="57"/>
      <c r="AN409" s="57"/>
      <c r="AO409" s="59" t="str">
        <f t="shared" si="153"/>
        <v/>
      </c>
      <c r="AP409" s="57"/>
      <c r="AQ409" s="59" t="str">
        <f t="shared" si="160"/>
        <v/>
      </c>
      <c r="AR409" s="57"/>
      <c r="AS409" s="57"/>
      <c r="AT409" s="59" t="str">
        <f t="shared" si="161"/>
        <v/>
      </c>
    </row>
    <row r="410" spans="1:46">
      <c r="A410" s="24" t="s">
        <v>792</v>
      </c>
      <c r="B410" s="26" t="s">
        <v>654</v>
      </c>
      <c r="C410" s="26"/>
      <c r="D410" s="50"/>
      <c r="E410" s="51"/>
      <c r="F410" s="50"/>
      <c r="G410" s="52"/>
      <c r="H410" s="50"/>
      <c r="I410" s="53"/>
      <c r="J410" s="50"/>
      <c r="K410" s="53"/>
      <c r="L410" s="50"/>
      <c r="M410" s="57"/>
      <c r="N410" s="55"/>
      <c r="O410" s="57"/>
      <c r="P410" s="57"/>
      <c r="Q410" s="59"/>
      <c r="R410" s="57"/>
      <c r="S410" s="57"/>
      <c r="T410" s="59"/>
      <c r="U410" s="57"/>
      <c r="V410" s="57"/>
      <c r="W410" s="59"/>
      <c r="X410" s="57"/>
      <c r="Y410" s="57"/>
      <c r="Z410" s="59" t="str">
        <f t="shared" si="162"/>
        <v/>
      </c>
      <c r="AA410" s="57"/>
      <c r="AB410" s="57"/>
      <c r="AC410" s="59" t="str">
        <f t="shared" si="157"/>
        <v/>
      </c>
      <c r="AD410" s="57"/>
      <c r="AE410" s="57"/>
      <c r="AF410" s="59" t="str">
        <f t="shared" si="158"/>
        <v/>
      </c>
      <c r="AG410" s="57"/>
      <c r="AH410" s="57"/>
      <c r="AI410" s="59" t="str">
        <f t="shared" si="159"/>
        <v/>
      </c>
      <c r="AJ410" s="57"/>
      <c r="AK410" s="57"/>
      <c r="AL410" s="59" t="str">
        <f t="shared" si="152"/>
        <v/>
      </c>
      <c r="AM410" s="57"/>
      <c r="AN410" s="57"/>
      <c r="AO410" s="59" t="str">
        <f t="shared" si="153"/>
        <v/>
      </c>
      <c r="AP410" s="57"/>
      <c r="AQ410" s="59" t="str">
        <f t="shared" si="160"/>
        <v/>
      </c>
      <c r="AR410" s="57"/>
      <c r="AS410" s="57"/>
      <c r="AT410" s="59" t="str">
        <f t="shared" si="161"/>
        <v/>
      </c>
    </row>
    <row r="411" spans="1:46" hidden="1">
      <c r="A411" s="24"/>
      <c r="B411" s="26" t="s">
        <v>442</v>
      </c>
      <c r="C411" s="26"/>
      <c r="D411" s="50"/>
      <c r="E411" s="51"/>
      <c r="F411" s="50"/>
      <c r="G411" s="52"/>
      <c r="H411" s="50"/>
      <c r="I411" s="53">
        <v>12.4</v>
      </c>
      <c r="J411" s="50" t="s">
        <v>474</v>
      </c>
      <c r="K411" s="53"/>
      <c r="L411" s="50" t="s">
        <v>474</v>
      </c>
      <c r="M411" s="57"/>
      <c r="N411" s="55">
        <v>8.7962962962962968E-3</v>
      </c>
      <c r="O411" s="57"/>
      <c r="P411" s="57"/>
      <c r="Q411" s="59">
        <f>IF(MIN(IF(ISBLANK(O411),N411,O411),IF(ISBLANK(N411),O411,N411))=0,"",MIN(IF(ISBLANK(O411),N411,O411),IF(ISBLANK(N411),O411,N411)))</f>
        <v>8.7962962962962968E-3</v>
      </c>
      <c r="R411" s="57"/>
      <c r="S411" s="57"/>
      <c r="T411" s="59">
        <f>IF(MIN(IF(ISBLANK(R411),Q411,R411),IF(ISBLANK(Q411),R411,Q411))=0,"",MIN(IF(ISBLANK(R411),Q411,R411),IF(ISBLANK(Q411),R411,Q411)))</f>
        <v>8.7962962962962968E-3</v>
      </c>
      <c r="U411" s="57"/>
      <c r="V411" s="57"/>
      <c r="W411" s="59">
        <f>IF(MIN(IF(ISBLANK(U411),T411,U411),IF(ISBLANK(T411),U411,T411))=0,"",MIN(IF(ISBLANK(U411),T411,U411),IF(ISBLANK(T411),U411,T411)))</f>
        <v>8.7962962962962968E-3</v>
      </c>
      <c r="X411" s="57"/>
      <c r="Y411" s="57"/>
      <c r="Z411" s="59">
        <f t="shared" si="162"/>
        <v>8.7962962962962968E-3</v>
      </c>
      <c r="AA411" s="57"/>
      <c r="AB411" s="57"/>
      <c r="AC411" s="59">
        <f t="shared" si="157"/>
        <v>8.7962962962962968E-3</v>
      </c>
      <c r="AD411" s="57"/>
      <c r="AE411" s="57"/>
      <c r="AF411" s="59">
        <f t="shared" si="158"/>
        <v>8.7962962962962968E-3</v>
      </c>
      <c r="AG411" s="57"/>
      <c r="AH411" s="57"/>
      <c r="AI411" s="59">
        <f t="shared" si="159"/>
        <v>8.7962962962962968E-3</v>
      </c>
      <c r="AJ411" s="57"/>
      <c r="AK411" s="57"/>
      <c r="AL411" s="59">
        <f t="shared" si="152"/>
        <v>8.7962962962962968E-3</v>
      </c>
      <c r="AM411" s="57"/>
      <c r="AN411" s="57"/>
      <c r="AO411" s="59">
        <f t="shared" si="153"/>
        <v>8.7962962962962968E-3</v>
      </c>
      <c r="AP411" s="57"/>
      <c r="AQ411" s="59">
        <f t="shared" si="160"/>
        <v>8.7962962962962968E-3</v>
      </c>
      <c r="AR411" s="57"/>
      <c r="AS411" s="57"/>
      <c r="AT411" s="59">
        <f t="shared" si="161"/>
        <v>8.7962962962962968E-3</v>
      </c>
    </row>
    <row r="412" spans="1:46" hidden="1">
      <c r="A412" s="24"/>
      <c r="B412" s="26" t="s">
        <v>92</v>
      </c>
      <c r="C412" s="26"/>
      <c r="D412" s="50">
        <v>10.25</v>
      </c>
      <c r="E412" s="51"/>
      <c r="F412" s="50">
        <v>10.25</v>
      </c>
      <c r="G412" s="52"/>
      <c r="H412" s="50">
        <v>10.25</v>
      </c>
      <c r="I412" s="53"/>
      <c r="J412" s="50">
        <v>10.25</v>
      </c>
      <c r="K412" s="53"/>
      <c r="L412" s="50">
        <v>10.25</v>
      </c>
      <c r="M412" s="57"/>
      <c r="N412" s="55">
        <v>7.2337962962962963E-3</v>
      </c>
      <c r="O412" s="57"/>
      <c r="P412" s="57"/>
      <c r="Q412" s="59">
        <f>IF(MIN(IF(ISBLANK(O412),N412,O412),IF(ISBLANK(N412),O412,N412))=0,"",MIN(IF(ISBLANK(O412),N412,O412),IF(ISBLANK(N412),O412,N412)))</f>
        <v>7.2337962962962963E-3</v>
      </c>
      <c r="R412" s="57"/>
      <c r="S412" s="57"/>
      <c r="T412" s="59">
        <f>IF(MIN(IF(ISBLANK(R412),Q412,R412),IF(ISBLANK(Q412),R412,Q412))=0,"",MIN(IF(ISBLANK(R412),Q412,R412),IF(ISBLANK(Q412),R412,Q412)))</f>
        <v>7.2337962962962963E-3</v>
      </c>
      <c r="U412" s="57"/>
      <c r="V412" s="57"/>
      <c r="W412" s="59">
        <f>IF(MIN(IF(ISBLANK(U412),T412,U412),IF(ISBLANK(T412),U412,T412))=0,"",MIN(IF(ISBLANK(U412),T412,U412),IF(ISBLANK(T412),U412,T412)))</f>
        <v>7.2337962962962963E-3</v>
      </c>
      <c r="X412" s="57"/>
      <c r="Y412" s="57"/>
      <c r="Z412" s="59">
        <f t="shared" si="162"/>
        <v>7.2337962962962963E-3</v>
      </c>
      <c r="AA412" s="57"/>
      <c r="AB412" s="57"/>
      <c r="AC412" s="59">
        <f t="shared" si="157"/>
        <v>7.2337962962962963E-3</v>
      </c>
      <c r="AD412" s="57"/>
      <c r="AE412" s="57"/>
      <c r="AF412" s="59">
        <f t="shared" si="158"/>
        <v>7.2337962962962963E-3</v>
      </c>
      <c r="AG412" s="57"/>
      <c r="AH412" s="57"/>
      <c r="AI412" s="59">
        <f t="shared" si="159"/>
        <v>7.2337962962962963E-3</v>
      </c>
      <c r="AJ412" s="57"/>
      <c r="AK412" s="57"/>
      <c r="AL412" s="59">
        <f t="shared" si="152"/>
        <v>7.2337962962962963E-3</v>
      </c>
      <c r="AM412" s="57"/>
      <c r="AN412" s="57"/>
      <c r="AO412" s="59">
        <f t="shared" si="153"/>
        <v>7.2337962962962963E-3</v>
      </c>
      <c r="AP412" s="57"/>
      <c r="AQ412" s="59">
        <f t="shared" si="160"/>
        <v>7.2337962962962963E-3</v>
      </c>
      <c r="AR412" s="57"/>
      <c r="AS412" s="57"/>
      <c r="AT412" s="59">
        <f t="shared" si="161"/>
        <v>7.2337962962962963E-3</v>
      </c>
    </row>
    <row r="413" spans="1:46" hidden="1">
      <c r="A413" s="24"/>
      <c r="B413" s="26" t="s">
        <v>504</v>
      </c>
      <c r="C413" s="26" t="s">
        <v>444</v>
      </c>
      <c r="D413" s="50"/>
      <c r="E413" s="51"/>
      <c r="F413" s="50"/>
      <c r="G413" s="52"/>
      <c r="H413" s="50"/>
      <c r="I413" s="53"/>
      <c r="J413" s="50"/>
      <c r="K413" s="53"/>
      <c r="L413" s="50"/>
      <c r="M413" s="57"/>
      <c r="N413" s="55"/>
      <c r="O413" s="57"/>
      <c r="P413" s="57"/>
      <c r="Q413" s="59" t="str">
        <f>IF(MIN(IF(ISBLANK(O413),N413,O413),IF(ISBLANK(N413),O413,N413))=0,"",MIN(IF(ISBLANK(O413),N413,O413),IF(ISBLANK(N413),O413,N413)))</f>
        <v/>
      </c>
      <c r="R413" s="57"/>
      <c r="S413" s="57"/>
      <c r="T413" s="59" t="str">
        <f>IF(MIN(IF(ISBLANK(R413),Q413,R413),IF(ISBLANK(Q413),R413,Q413))=0,"",MIN(IF(ISBLANK(R413),Q413,R413),IF(ISBLANK(Q413),R413,Q413)))</f>
        <v/>
      </c>
      <c r="U413" s="57"/>
      <c r="V413" s="57"/>
      <c r="W413" s="59" t="str">
        <f>IF(MIN(IF(ISBLANK(U413),T413,U413),IF(ISBLANK(T413),U413,T413))=0,"",MIN(IF(ISBLANK(U413),T413,U413),IF(ISBLANK(T413),U413,T413)))</f>
        <v/>
      </c>
      <c r="X413" s="57"/>
      <c r="Y413" s="57"/>
      <c r="Z413" s="59" t="str">
        <f t="shared" si="162"/>
        <v/>
      </c>
      <c r="AA413" s="57"/>
      <c r="AB413" s="57"/>
      <c r="AC413" s="59" t="str">
        <f t="shared" si="157"/>
        <v/>
      </c>
      <c r="AD413" s="57"/>
      <c r="AE413" s="57"/>
      <c r="AF413" s="59" t="str">
        <f t="shared" si="158"/>
        <v/>
      </c>
      <c r="AG413" s="57"/>
      <c r="AH413" s="57"/>
      <c r="AI413" s="59" t="str">
        <f t="shared" si="159"/>
        <v/>
      </c>
      <c r="AJ413" s="57"/>
      <c r="AK413" s="57"/>
      <c r="AL413" s="59" t="str">
        <f t="shared" si="152"/>
        <v/>
      </c>
      <c r="AM413" s="57"/>
      <c r="AN413" s="57"/>
      <c r="AO413" s="59" t="str">
        <f t="shared" si="153"/>
        <v/>
      </c>
      <c r="AP413" s="57"/>
      <c r="AQ413" s="59" t="str">
        <f t="shared" si="160"/>
        <v/>
      </c>
      <c r="AR413" s="57"/>
      <c r="AS413" s="57"/>
      <c r="AT413" s="59" t="str">
        <f t="shared" si="161"/>
        <v/>
      </c>
    </row>
    <row r="414" spans="1:46" hidden="1">
      <c r="A414" s="24"/>
      <c r="B414" s="26" t="s">
        <v>696</v>
      </c>
      <c r="C414" s="26"/>
      <c r="D414" s="50"/>
      <c r="E414" s="51"/>
      <c r="F414" s="50"/>
      <c r="G414" s="52"/>
      <c r="H414" s="50"/>
      <c r="I414" s="53"/>
      <c r="J414" s="50"/>
      <c r="K414" s="54"/>
      <c r="L414" s="50"/>
      <c r="M414" s="56"/>
      <c r="N414" s="55"/>
      <c r="O414" s="56"/>
      <c r="P414" s="56"/>
      <c r="Q414" s="59"/>
      <c r="R414" s="56"/>
      <c r="S414" s="56"/>
      <c r="T414" s="59"/>
      <c r="U414" s="56"/>
      <c r="V414" s="56"/>
      <c r="W414" s="59"/>
      <c r="X414" s="56"/>
      <c r="Y414" s="56"/>
      <c r="Z414" s="59"/>
      <c r="AA414" s="56"/>
      <c r="AB414" s="56"/>
      <c r="AC414" s="59" t="str">
        <f t="shared" si="157"/>
        <v/>
      </c>
      <c r="AD414" s="56"/>
      <c r="AE414" s="56"/>
      <c r="AF414" s="59" t="str">
        <f t="shared" si="158"/>
        <v/>
      </c>
      <c r="AG414" s="56"/>
      <c r="AH414" s="56"/>
      <c r="AI414" s="59" t="str">
        <f t="shared" si="159"/>
        <v/>
      </c>
      <c r="AJ414" s="56"/>
      <c r="AK414" s="56"/>
      <c r="AL414" s="59" t="str">
        <f t="shared" si="152"/>
        <v/>
      </c>
      <c r="AM414" s="56"/>
      <c r="AN414" s="56"/>
      <c r="AO414" s="59" t="str">
        <f t="shared" si="153"/>
        <v/>
      </c>
      <c r="AP414" s="56"/>
      <c r="AQ414" s="59" t="str">
        <f t="shared" si="160"/>
        <v/>
      </c>
      <c r="AR414" s="56"/>
      <c r="AS414" s="56"/>
      <c r="AT414" s="59" t="str">
        <f t="shared" si="161"/>
        <v/>
      </c>
    </row>
    <row r="415" spans="1:46">
      <c r="A415" s="24" t="s">
        <v>792</v>
      </c>
      <c r="B415" s="26" t="s">
        <v>98</v>
      </c>
      <c r="C415" s="26" t="s">
        <v>444</v>
      </c>
      <c r="D415" s="50">
        <v>7.05</v>
      </c>
      <c r="E415" s="51" t="s">
        <v>298</v>
      </c>
      <c r="F415" s="50">
        <v>7.05</v>
      </c>
      <c r="G415" s="52"/>
      <c r="H415" s="50">
        <v>7.05</v>
      </c>
      <c r="I415" s="53"/>
      <c r="J415" s="50">
        <v>7.05</v>
      </c>
      <c r="K415" s="53">
        <v>7.27</v>
      </c>
      <c r="L415" s="50">
        <v>7.05</v>
      </c>
      <c r="M415" s="57"/>
      <c r="N415" s="55">
        <v>4.9189814814814816E-3</v>
      </c>
      <c r="O415" s="57">
        <v>5.2430555555555555E-3</v>
      </c>
      <c r="P415" s="57"/>
      <c r="Q415" s="59">
        <f>IF(MIN(IF(ISBLANK(O415),N415,O415),IF(ISBLANK(N415),O415,N415))=0,"",MIN(IF(ISBLANK(O415),N415,O415),IF(ISBLANK(N415),O415,N415)))</f>
        <v>4.9189814814814816E-3</v>
      </c>
      <c r="R415" s="57"/>
      <c r="S415" s="57"/>
      <c r="T415" s="59">
        <f>IF(MIN(IF(ISBLANK(R415),Q415,R415),IF(ISBLANK(Q415),R415,Q415))=0,"",MIN(IF(ISBLANK(R415),Q415,R415),IF(ISBLANK(Q415),R415,Q415)))</f>
        <v>4.9189814814814816E-3</v>
      </c>
      <c r="U415" s="57">
        <v>5.0578703703703706E-3</v>
      </c>
      <c r="V415" s="57"/>
      <c r="W415" s="59">
        <f>IF(MIN(IF(ISBLANK(U415),T415,U415),IF(ISBLANK(T415),U415,T415))=0,"",MIN(IF(ISBLANK(U415),T415,U415),IF(ISBLANK(T415),U415,T415)))</f>
        <v>4.9189814814814816E-3</v>
      </c>
      <c r="X415" s="57"/>
      <c r="Y415" s="57"/>
      <c r="Z415" s="59">
        <f>IF(MIN(IF(ISBLANK(X415),W415,X415),IF(ISBLANK(W415),X415,W415))=0,"",MIN(IF(ISBLANK(X415),W415,X415),IF(ISBLANK(W415),X415,W415)))</f>
        <v>4.9189814814814816E-3</v>
      </c>
      <c r="AA415" s="57"/>
      <c r="AB415" s="57"/>
      <c r="AC415" s="59">
        <f t="shared" si="157"/>
        <v>4.9189814814814816E-3</v>
      </c>
      <c r="AD415" s="57"/>
      <c r="AE415" s="57"/>
      <c r="AF415" s="59">
        <f t="shared" si="158"/>
        <v>4.9189814814814816E-3</v>
      </c>
      <c r="AG415" s="57"/>
      <c r="AH415" s="57"/>
      <c r="AI415" s="59">
        <f t="shared" si="159"/>
        <v>4.9189814814814816E-3</v>
      </c>
      <c r="AJ415" s="57"/>
      <c r="AK415" s="57"/>
      <c r="AL415" s="59">
        <f t="shared" si="152"/>
        <v>4.9189814814814816E-3</v>
      </c>
      <c r="AM415" s="57"/>
      <c r="AN415" s="57"/>
      <c r="AO415" s="59">
        <f t="shared" si="153"/>
        <v>4.9189814814814816E-3</v>
      </c>
      <c r="AP415" s="57"/>
      <c r="AQ415" s="59">
        <f t="shared" si="160"/>
        <v>4.9189814814814816E-3</v>
      </c>
      <c r="AR415" s="57"/>
      <c r="AS415" s="57"/>
      <c r="AT415" s="59">
        <f t="shared" si="161"/>
        <v>4.9189814814814816E-3</v>
      </c>
    </row>
    <row r="416" spans="1:46">
      <c r="A416" s="24" t="s">
        <v>792</v>
      </c>
      <c r="B416" s="26" t="s">
        <v>833</v>
      </c>
      <c r="C416" s="26"/>
      <c r="D416" s="50"/>
      <c r="E416" s="51"/>
      <c r="F416" s="50"/>
      <c r="G416" s="52"/>
      <c r="H416" s="50"/>
      <c r="I416" s="53"/>
      <c r="J416" s="50"/>
      <c r="K416" s="53"/>
      <c r="L416" s="50"/>
      <c r="M416" s="57"/>
      <c r="N416" s="55"/>
      <c r="O416" s="57"/>
      <c r="P416" s="57"/>
      <c r="Q416" s="59"/>
      <c r="R416" s="57"/>
      <c r="S416" s="57"/>
      <c r="T416" s="59"/>
      <c r="U416" s="57"/>
      <c r="V416" s="57"/>
      <c r="W416" s="59"/>
      <c r="X416" s="57"/>
      <c r="Y416" s="57"/>
      <c r="Z416" s="59"/>
      <c r="AA416" s="57"/>
      <c r="AB416" s="57"/>
      <c r="AC416" s="59"/>
      <c r="AD416" s="57"/>
      <c r="AE416" s="57"/>
      <c r="AF416" s="59"/>
      <c r="AG416" s="57"/>
      <c r="AH416" s="57"/>
      <c r="AI416" s="59"/>
      <c r="AJ416" s="57"/>
      <c r="AK416" s="57"/>
      <c r="AL416" s="59"/>
      <c r="AM416" s="57"/>
      <c r="AN416" s="57"/>
      <c r="AO416" s="59"/>
      <c r="AP416" s="57"/>
      <c r="AQ416" s="59" t="str">
        <f t="shared" si="160"/>
        <v/>
      </c>
      <c r="AR416" s="57"/>
      <c r="AS416" s="57"/>
      <c r="AT416" s="59" t="str">
        <f t="shared" si="161"/>
        <v/>
      </c>
    </row>
    <row r="417" spans="1:46">
      <c r="A417" s="24" t="s">
        <v>792</v>
      </c>
      <c r="B417" s="26" t="s">
        <v>105</v>
      </c>
      <c r="C417" s="26" t="s">
        <v>444</v>
      </c>
      <c r="D417" s="50">
        <v>9.0500000000000007</v>
      </c>
      <c r="E417" s="51"/>
      <c r="F417" s="50">
        <v>9.0500000000000007</v>
      </c>
      <c r="G417" s="52"/>
      <c r="H417" s="50">
        <v>9.0500000000000007</v>
      </c>
      <c r="I417" s="53"/>
      <c r="J417" s="50">
        <v>9.0500000000000007</v>
      </c>
      <c r="K417" s="53">
        <v>9.0500000000000007</v>
      </c>
      <c r="L417" s="50">
        <v>9.0500000000000007</v>
      </c>
      <c r="M417" s="57">
        <v>7.6736111111111111E-3</v>
      </c>
      <c r="N417" s="55">
        <v>6.3078703703703708E-3</v>
      </c>
      <c r="O417" s="57"/>
      <c r="P417" s="57"/>
      <c r="Q417" s="59">
        <f>IF(MIN(IF(ISBLANK(O417),N417,O417),IF(ISBLANK(N417),O417,N417))=0,"",MIN(IF(ISBLANK(O417),N417,O417),IF(ISBLANK(N417),O417,N417)))</f>
        <v>6.3078703703703708E-3</v>
      </c>
      <c r="R417" s="57"/>
      <c r="S417" s="57"/>
      <c r="T417" s="59">
        <f>IF(MIN(IF(ISBLANK(R417),Q417,R417),IF(ISBLANK(Q417),R417,Q417))=0,"",MIN(IF(ISBLANK(R417),Q417,R417),IF(ISBLANK(Q417),R417,Q417)))</f>
        <v>6.3078703703703708E-3</v>
      </c>
      <c r="U417" s="57"/>
      <c r="V417" s="57"/>
      <c r="W417" s="59">
        <f>IF(MIN(IF(ISBLANK(U417),T417,U417),IF(ISBLANK(T417),U417,T417))=0,"",MIN(IF(ISBLANK(U417),T417,U417),IF(ISBLANK(T417),U417,T417)))</f>
        <v>6.3078703703703708E-3</v>
      </c>
      <c r="X417" s="57"/>
      <c r="Y417" s="57"/>
      <c r="Z417" s="59">
        <f>IF(MIN(IF(ISBLANK(X417),W417,X417),IF(ISBLANK(W417),X417,W417))=0,"",MIN(IF(ISBLANK(X417),W417,X417),IF(ISBLANK(W417),X417,W417)))</f>
        <v>6.3078703703703708E-3</v>
      </c>
      <c r="AA417" s="57">
        <v>6.2615740740740748E-3</v>
      </c>
      <c r="AB417" s="57"/>
      <c r="AC417" s="59">
        <f>IF(MIN(IF(ISBLANK(Z417),AA417,Z417),IF(ISBLANK(AA417),Z417,AA417))=0,"",MIN(IF(ISBLANK(Z417),AA417,Z417),IF(ISBLANK(AA417),Z417,AA417)))</f>
        <v>6.2615740740740748E-3</v>
      </c>
      <c r="AD417" s="57">
        <v>7.3842592592592597E-3</v>
      </c>
      <c r="AE417" s="57"/>
      <c r="AF417" s="59">
        <f>IF(MIN(IF(ISBLANK(AC417),AD417,AC417),IF(ISBLANK(AD417),AC417,AD417))=0,"",MIN(IF(ISBLANK(AC417),AD417,AC417),IF(ISBLANK(AD417),AC417,AD417)))</f>
        <v>6.2615740740740748E-3</v>
      </c>
      <c r="AG417" s="57">
        <v>6.5277777777777782E-3</v>
      </c>
      <c r="AH417" s="57"/>
      <c r="AI417" s="59">
        <f>IF(MIN(IF(ISBLANK(AF417),AG417,AF417),IF(ISBLANK(AG417),AF417,AG417))=0,"",MIN(IF(ISBLANK(AF417),AG417,AF417),IF(ISBLANK(AG417),AF417,AG417)))</f>
        <v>6.2615740740740748E-3</v>
      </c>
      <c r="AJ417" s="57"/>
      <c r="AK417" s="57"/>
      <c r="AL417" s="59">
        <f t="shared" ref="AL417:AL425" si="163">IF(MIN(IF(ISBLANK(AI417),AJ417,AI417),IF(ISBLANK(AJ417),AI417,AJ417))=0,"",MIN(IF(ISBLANK(AI417),AJ417,AI417),IF(ISBLANK(AJ417),AI417,AJ417)))</f>
        <v>6.2615740740740748E-3</v>
      </c>
      <c r="AM417" s="57"/>
      <c r="AN417" s="57"/>
      <c r="AO417" s="59">
        <f t="shared" ref="AO417:AO425" si="164">IF(MIN(IF(ISBLANK(AL417),AM417,AL417),IF(ISBLANK(AM417),AL417,AM417))=0,"",MIN(IF(ISBLANK(AL417),AM417,AL417),IF(ISBLANK(AM417),AL417,AM417)))</f>
        <v>6.2615740740740748E-3</v>
      </c>
      <c r="AP417" s="57">
        <v>7.5231481481481477E-3</v>
      </c>
      <c r="AQ417" s="59">
        <f t="shared" si="160"/>
        <v>6.2615740740740748E-3</v>
      </c>
      <c r="AR417" s="57"/>
      <c r="AS417" s="57"/>
      <c r="AT417" s="59">
        <f t="shared" si="161"/>
        <v>6.2615740740740748E-3</v>
      </c>
    </row>
    <row r="418" spans="1:46" hidden="1">
      <c r="A418" s="24"/>
      <c r="B418" s="26" t="s">
        <v>402</v>
      </c>
      <c r="C418" s="26" t="s">
        <v>444</v>
      </c>
      <c r="D418" s="50"/>
      <c r="E418" s="51"/>
      <c r="F418" s="50"/>
      <c r="G418" s="52"/>
      <c r="H418" s="50"/>
      <c r="I418" s="53">
        <v>9.2200000000000006</v>
      </c>
      <c r="J418" s="50">
        <v>9.2200000000000006</v>
      </c>
      <c r="K418" s="53">
        <v>9.2100000000000009</v>
      </c>
      <c r="L418" s="50">
        <v>9.2100000000000009</v>
      </c>
      <c r="M418" s="57"/>
      <c r="N418" s="55">
        <v>6.4930555555555549E-3</v>
      </c>
      <c r="O418" s="57"/>
      <c r="P418" s="57"/>
      <c r="Q418" s="59">
        <f>IF(MIN(IF(ISBLANK(O418),N418,O418),IF(ISBLANK(N418),O418,N418))=0,"",MIN(IF(ISBLANK(O418),N418,O418),IF(ISBLANK(N418),O418,N418)))</f>
        <v>6.4930555555555549E-3</v>
      </c>
      <c r="R418" s="57"/>
      <c r="S418" s="57"/>
      <c r="T418" s="59">
        <f>IF(MIN(IF(ISBLANK(R418),Q418,R418),IF(ISBLANK(Q418),R418,Q418))=0,"",MIN(IF(ISBLANK(R418),Q418,R418),IF(ISBLANK(Q418),R418,Q418)))</f>
        <v>6.4930555555555549E-3</v>
      </c>
      <c r="U418" s="57"/>
      <c r="V418" s="57"/>
      <c r="W418" s="59">
        <f>IF(MIN(IF(ISBLANK(U418),T418,U418),IF(ISBLANK(T418),U418,T418))=0,"",MIN(IF(ISBLANK(U418),T418,U418),IF(ISBLANK(T418),U418,T418)))</f>
        <v>6.4930555555555549E-3</v>
      </c>
      <c r="X418" s="57"/>
      <c r="Y418" s="57"/>
      <c r="Z418" s="59">
        <f>IF(MIN(IF(ISBLANK(X418),W418,X418),IF(ISBLANK(W418),X418,W418))=0,"",MIN(IF(ISBLANK(X418),W418,X418),IF(ISBLANK(W418),X418,W418)))</f>
        <v>6.4930555555555549E-3</v>
      </c>
      <c r="AA418" s="57"/>
      <c r="AB418" s="57"/>
      <c r="AC418" s="59">
        <f>IF(MIN(IF(ISBLANK(Z418),AA418,Z418),IF(ISBLANK(AA418),Z418,AA418))=0,"",MIN(IF(ISBLANK(Z418),AA418,Z418),IF(ISBLANK(AA418),Z418,AA418)))</f>
        <v>6.4930555555555549E-3</v>
      </c>
      <c r="AD418" s="57"/>
      <c r="AE418" s="57"/>
      <c r="AF418" s="59">
        <f>IF(MIN(IF(ISBLANK(AC418),AD418,AC418),IF(ISBLANK(AD418),AC418,AD418))=0,"",MIN(IF(ISBLANK(AC418),AD418,AC418),IF(ISBLANK(AD418),AC418,AD418)))</f>
        <v>6.4930555555555549E-3</v>
      </c>
      <c r="AG418" s="57"/>
      <c r="AH418" s="57"/>
      <c r="AI418" s="59">
        <f>IF(MIN(IF(ISBLANK(AF418),AG418,AF418),IF(ISBLANK(AG418),AF418,AG418))=0,"",MIN(IF(ISBLANK(AF418),AG418,AF418),IF(ISBLANK(AG418),AF418,AG418)))</f>
        <v>6.4930555555555549E-3</v>
      </c>
      <c r="AJ418" s="57"/>
      <c r="AK418" s="57"/>
      <c r="AL418" s="59">
        <f t="shared" si="163"/>
        <v>6.4930555555555549E-3</v>
      </c>
      <c r="AM418" s="57"/>
      <c r="AN418" s="57"/>
      <c r="AO418" s="59">
        <f t="shared" si="164"/>
        <v>6.4930555555555549E-3</v>
      </c>
      <c r="AP418" s="57"/>
      <c r="AQ418" s="59">
        <f t="shared" si="160"/>
        <v>6.4930555555555549E-3</v>
      </c>
      <c r="AR418" s="57"/>
      <c r="AS418" s="57"/>
      <c r="AT418" s="59">
        <f t="shared" si="161"/>
        <v>6.4930555555555549E-3</v>
      </c>
    </row>
    <row r="419" spans="1:46" hidden="1">
      <c r="A419" s="24"/>
      <c r="B419" s="26" t="s">
        <v>401</v>
      </c>
      <c r="C419" s="26" t="s">
        <v>444</v>
      </c>
      <c r="D419" s="50"/>
      <c r="E419" s="51"/>
      <c r="F419" s="50"/>
      <c r="G419" s="52"/>
      <c r="H419" s="50"/>
      <c r="I419" s="53"/>
      <c r="J419" s="50" t="s">
        <v>448</v>
      </c>
      <c r="K419" s="53"/>
      <c r="L419" s="50"/>
      <c r="M419" s="57"/>
      <c r="N419" s="55"/>
      <c r="O419" s="57"/>
      <c r="P419" s="57"/>
      <c r="Q419" s="59" t="str">
        <f>IF(MIN(IF(ISBLANK(O419),N419,O419),IF(ISBLANK(N419),O419,N419))=0,"",MIN(IF(ISBLANK(O419),N419,O419),IF(ISBLANK(N419),O419,N419)))</f>
        <v/>
      </c>
      <c r="R419" s="57"/>
      <c r="S419" s="57"/>
      <c r="T419" s="59" t="str">
        <f>IF(MIN(IF(ISBLANK(R419),Q419,R419),IF(ISBLANK(Q419),R419,Q419))=0,"",MIN(IF(ISBLANK(R419),Q419,R419),IF(ISBLANK(Q419),R419,Q419)))</f>
        <v/>
      </c>
      <c r="U419" s="57"/>
      <c r="V419" s="57"/>
      <c r="W419" s="59" t="str">
        <f>IF(MIN(IF(ISBLANK(U419),T419,U419),IF(ISBLANK(T419),U419,T419))=0,"",MIN(IF(ISBLANK(U419),T419,U419),IF(ISBLANK(T419),U419,T419)))</f>
        <v/>
      </c>
      <c r="X419" s="57"/>
      <c r="Y419" s="57"/>
      <c r="Z419" s="59" t="str">
        <f>IF(MIN(IF(ISBLANK(X419),W419,X419),IF(ISBLANK(W419),X419,W419))=0,"",MIN(IF(ISBLANK(X419),W419,X419),IF(ISBLANK(W419),X419,W419)))</f>
        <v/>
      </c>
      <c r="AA419" s="57"/>
      <c r="AB419" s="57"/>
      <c r="AC419" s="59" t="str">
        <f>IF(MIN(IF(ISBLANK(Z419),AA419,Z419),IF(ISBLANK(AA419),Z419,AA419))=0,"",MIN(IF(ISBLANK(Z419),AA419,Z419),IF(ISBLANK(AA419),Z419,AA419)))</f>
        <v/>
      </c>
      <c r="AD419" s="57"/>
      <c r="AE419" s="57"/>
      <c r="AF419" s="59" t="str">
        <f>IF(MIN(IF(ISBLANK(AC419),AD419,AC419),IF(ISBLANK(AD419),AC419,AD419))=0,"",MIN(IF(ISBLANK(AC419),AD419,AC419),IF(ISBLANK(AD419),AC419,AD419)))</f>
        <v/>
      </c>
      <c r="AG419" s="57"/>
      <c r="AH419" s="57"/>
      <c r="AI419" s="59" t="str">
        <f>IF(MIN(IF(ISBLANK(AF419),AG419,AF419),IF(ISBLANK(AG419),AF419,AG419))=0,"",MIN(IF(ISBLANK(AF419),AG419,AF419),IF(ISBLANK(AG419),AF419,AG419)))</f>
        <v/>
      </c>
      <c r="AJ419" s="57"/>
      <c r="AK419" s="57"/>
      <c r="AL419" s="59" t="str">
        <f t="shared" si="163"/>
        <v/>
      </c>
      <c r="AM419" s="57"/>
      <c r="AN419" s="57"/>
      <c r="AO419" s="59" t="str">
        <f t="shared" si="164"/>
        <v/>
      </c>
      <c r="AP419" s="57"/>
      <c r="AQ419" s="59" t="str">
        <f t="shared" si="160"/>
        <v/>
      </c>
      <c r="AR419" s="57"/>
      <c r="AS419" s="57"/>
      <c r="AT419" s="59" t="str">
        <f t="shared" si="161"/>
        <v/>
      </c>
    </row>
    <row r="420" spans="1:46" hidden="1">
      <c r="A420" s="24"/>
      <c r="B420" s="26" t="s">
        <v>466</v>
      </c>
      <c r="C420" s="26" t="s">
        <v>444</v>
      </c>
      <c r="D420" s="50"/>
      <c r="E420" s="51"/>
      <c r="F420" s="50"/>
      <c r="G420" s="52"/>
      <c r="H420" s="50"/>
      <c r="I420" s="53"/>
      <c r="J420" s="50"/>
      <c r="K420" s="53">
        <v>9.1199999999999992</v>
      </c>
      <c r="L420" s="50">
        <v>9.1199999999999992</v>
      </c>
      <c r="M420" s="57"/>
      <c r="N420" s="55">
        <v>6.3888888888888884E-3</v>
      </c>
      <c r="O420" s="57"/>
      <c r="P420" s="57"/>
      <c r="Q420" s="59">
        <f>IF(MIN(IF(ISBLANK(O420),N420,O420),IF(ISBLANK(N420),O420,N420))=0,"",MIN(IF(ISBLANK(O420),N420,O420),IF(ISBLANK(N420),O420,N420)))</f>
        <v>6.3888888888888884E-3</v>
      </c>
      <c r="R420" s="57"/>
      <c r="S420" s="57"/>
      <c r="T420" s="59">
        <f>IF(MIN(IF(ISBLANK(R420),Q420,R420),IF(ISBLANK(Q420),R420,Q420))=0,"",MIN(IF(ISBLANK(R420),Q420,R420),IF(ISBLANK(Q420),R420,Q420)))</f>
        <v>6.3888888888888884E-3</v>
      </c>
      <c r="U420" s="57"/>
      <c r="V420" s="57"/>
      <c r="W420" s="59">
        <f>IF(MIN(IF(ISBLANK(U420),T420,U420),IF(ISBLANK(T420),U420,T420))=0,"",MIN(IF(ISBLANK(U420),T420,U420),IF(ISBLANK(T420),U420,T420)))</f>
        <v>6.3888888888888884E-3</v>
      </c>
      <c r="X420" s="57"/>
      <c r="Y420" s="57"/>
      <c r="Z420" s="59">
        <f>IF(MIN(IF(ISBLANK(X420),W420,X420),IF(ISBLANK(W420),X420,W420))=0,"",MIN(IF(ISBLANK(X420),W420,X420),IF(ISBLANK(W420),X420,W420)))</f>
        <v>6.3888888888888884E-3</v>
      </c>
      <c r="AA420" s="57"/>
      <c r="AB420" s="57"/>
      <c r="AC420" s="59">
        <f>IF(MIN(IF(ISBLANK(Z420),AA420,Z420),IF(ISBLANK(AA420),Z420,AA420))=0,"",MIN(IF(ISBLANK(Z420),AA420,Z420),IF(ISBLANK(AA420),Z420,AA420)))</f>
        <v>6.3888888888888884E-3</v>
      </c>
      <c r="AD420" s="57"/>
      <c r="AE420" s="57"/>
      <c r="AF420" s="59">
        <f>IF(MIN(IF(ISBLANK(AC420),AD420,AC420),IF(ISBLANK(AD420),AC420,AD420))=0,"",MIN(IF(ISBLANK(AC420),AD420,AC420),IF(ISBLANK(AD420),AC420,AD420)))</f>
        <v>6.3888888888888884E-3</v>
      </c>
      <c r="AG420" s="57"/>
      <c r="AH420" s="57"/>
      <c r="AI420" s="59">
        <f>IF(MIN(IF(ISBLANK(AF420),AG420,AF420),IF(ISBLANK(AG420),AF420,AG420))=0,"",MIN(IF(ISBLANK(AF420),AG420,AF420),IF(ISBLANK(AG420),AF420,AG420)))</f>
        <v>6.3888888888888884E-3</v>
      </c>
      <c r="AJ420" s="57"/>
      <c r="AK420" s="57"/>
      <c r="AL420" s="59">
        <f t="shared" si="163"/>
        <v>6.3888888888888884E-3</v>
      </c>
      <c r="AM420" s="57"/>
      <c r="AN420" s="57"/>
      <c r="AO420" s="59">
        <f t="shared" si="164"/>
        <v>6.3888888888888884E-3</v>
      </c>
      <c r="AP420" s="57"/>
      <c r="AQ420" s="59">
        <f t="shared" si="160"/>
        <v>6.3888888888888884E-3</v>
      </c>
      <c r="AR420" s="57"/>
      <c r="AS420" s="57"/>
      <c r="AT420" s="59">
        <f t="shared" si="161"/>
        <v>6.3888888888888884E-3</v>
      </c>
    </row>
    <row r="421" spans="1:46" hidden="1">
      <c r="A421" s="24"/>
      <c r="B421" s="26" t="s">
        <v>331</v>
      </c>
      <c r="C421" s="26" t="s">
        <v>443</v>
      </c>
      <c r="D421" s="50"/>
      <c r="E421" s="51"/>
      <c r="F421" s="50" t="s">
        <v>448</v>
      </c>
      <c r="G421" s="52"/>
      <c r="H421" s="50"/>
      <c r="I421" s="53"/>
      <c r="J421" s="50" t="s">
        <v>448</v>
      </c>
      <c r="K421" s="53"/>
      <c r="L421" s="50"/>
      <c r="M421" s="57"/>
      <c r="N421" s="55"/>
      <c r="O421" s="57"/>
      <c r="P421" s="57"/>
      <c r="Q421" s="59" t="str">
        <f>IF(MIN(IF(ISBLANK(O421),N421,O421),IF(ISBLANK(N421),O421,N421))=0,"",MIN(IF(ISBLANK(O421),N421,O421),IF(ISBLANK(N421),O421,N421)))</f>
        <v/>
      </c>
      <c r="R421" s="57"/>
      <c r="S421" s="57"/>
      <c r="T421" s="59" t="str">
        <f>IF(MIN(IF(ISBLANK(R421),Q421,R421),IF(ISBLANK(Q421),R421,Q421))=0,"",MIN(IF(ISBLANK(R421),Q421,R421),IF(ISBLANK(Q421),R421,Q421)))</f>
        <v/>
      </c>
      <c r="U421" s="57"/>
      <c r="V421" s="57"/>
      <c r="W421" s="59" t="str">
        <f>IF(MIN(IF(ISBLANK(U421),T421,U421),IF(ISBLANK(T421),U421,T421))=0,"",MIN(IF(ISBLANK(U421),T421,U421),IF(ISBLANK(T421),U421,T421)))</f>
        <v/>
      </c>
      <c r="X421" s="57"/>
      <c r="Y421" s="57"/>
      <c r="Z421" s="59" t="str">
        <f>IF(MIN(IF(ISBLANK(X421),W421,X421),IF(ISBLANK(W421),X421,W421))=0,"",MIN(IF(ISBLANK(X421),W421,X421),IF(ISBLANK(W421),X421,W421)))</f>
        <v/>
      </c>
      <c r="AA421" s="57"/>
      <c r="AB421" s="57"/>
      <c r="AC421" s="59" t="str">
        <f>IF(MIN(IF(ISBLANK(Z421),AA421,Z421),IF(ISBLANK(AA421),Z421,AA421))=0,"",MIN(IF(ISBLANK(Z421),AA421,Z421),IF(ISBLANK(AA421),Z421,AA421)))</f>
        <v/>
      </c>
      <c r="AD421" s="57"/>
      <c r="AE421" s="57"/>
      <c r="AF421" s="59" t="str">
        <f>IF(MIN(IF(ISBLANK(AC421),AD421,AC421),IF(ISBLANK(AD421),AC421,AD421))=0,"",MIN(IF(ISBLANK(AC421),AD421,AC421),IF(ISBLANK(AD421),AC421,AD421)))</f>
        <v/>
      </c>
      <c r="AG421" s="57"/>
      <c r="AH421" s="57"/>
      <c r="AI421" s="59" t="str">
        <f>IF(MIN(IF(ISBLANK(AF421),AG421,AF421),IF(ISBLANK(AG421),AF421,AG421))=0,"",MIN(IF(ISBLANK(AF421),AG421,AF421),IF(ISBLANK(AG421),AF421,AG421)))</f>
        <v/>
      </c>
      <c r="AJ421" s="57"/>
      <c r="AK421" s="57"/>
      <c r="AL421" s="59" t="str">
        <f t="shared" si="163"/>
        <v/>
      </c>
      <c r="AM421" s="57"/>
      <c r="AN421" s="57"/>
      <c r="AO421" s="59" t="str">
        <f t="shared" si="164"/>
        <v/>
      </c>
      <c r="AP421" s="57"/>
      <c r="AQ421" s="59" t="str">
        <f t="shared" si="160"/>
        <v/>
      </c>
      <c r="AR421" s="57"/>
      <c r="AS421" s="57"/>
      <c r="AT421" s="59" t="str">
        <f t="shared" si="161"/>
        <v/>
      </c>
    </row>
    <row r="422" spans="1:46" hidden="1">
      <c r="A422" s="24"/>
      <c r="B422" s="26" t="s">
        <v>797</v>
      </c>
      <c r="C422" s="26"/>
      <c r="D422" s="50"/>
      <c r="E422" s="51"/>
      <c r="F422" s="50"/>
      <c r="G422" s="52"/>
      <c r="H422" s="50"/>
      <c r="I422" s="53"/>
      <c r="J422" s="50"/>
      <c r="K422" s="53"/>
      <c r="L422" s="50"/>
      <c r="M422" s="57"/>
      <c r="N422" s="55"/>
      <c r="O422" s="57"/>
      <c r="P422" s="57"/>
      <c r="Q422" s="59"/>
      <c r="R422" s="57"/>
      <c r="S422" s="57"/>
      <c r="T422" s="59"/>
      <c r="U422" s="57"/>
      <c r="V422" s="57"/>
      <c r="W422" s="59"/>
      <c r="X422" s="57"/>
      <c r="Y422" s="57"/>
      <c r="Z422" s="59"/>
      <c r="AA422" s="57"/>
      <c r="AB422" s="57"/>
      <c r="AC422" s="59"/>
      <c r="AD422" s="57"/>
      <c r="AE422" s="57"/>
      <c r="AF422" s="59"/>
      <c r="AG422" s="57"/>
      <c r="AH422" s="57"/>
      <c r="AI422" s="59"/>
      <c r="AJ422" s="57">
        <v>5.3819444444444453E-3</v>
      </c>
      <c r="AK422" s="57"/>
      <c r="AL422" s="59">
        <f t="shared" si="163"/>
        <v>5.3819444444444453E-3</v>
      </c>
      <c r="AM422" s="57"/>
      <c r="AN422" s="57"/>
      <c r="AO422" s="59">
        <f t="shared" si="164"/>
        <v>5.3819444444444453E-3</v>
      </c>
      <c r="AP422" s="57"/>
      <c r="AQ422" s="59">
        <f t="shared" si="160"/>
        <v>5.3819444444444453E-3</v>
      </c>
      <c r="AR422" s="57"/>
      <c r="AS422" s="57"/>
      <c r="AT422" s="59">
        <f t="shared" si="161"/>
        <v>5.3819444444444453E-3</v>
      </c>
    </row>
    <row r="423" spans="1:46">
      <c r="A423" s="24" t="s">
        <v>792</v>
      </c>
      <c r="B423" s="26" t="s">
        <v>111</v>
      </c>
      <c r="C423" s="26" t="s">
        <v>443</v>
      </c>
      <c r="D423" s="50">
        <v>8.2799999999999994</v>
      </c>
      <c r="E423" s="51" t="s">
        <v>299</v>
      </c>
      <c r="F423" s="50">
        <v>8.2799999999999994</v>
      </c>
      <c r="G423" s="52"/>
      <c r="H423" s="50">
        <v>8.2799999999999994</v>
      </c>
      <c r="I423" s="53"/>
      <c r="J423" s="50">
        <v>8.2799999999999994</v>
      </c>
      <c r="K423" s="53">
        <v>9.57</v>
      </c>
      <c r="L423" s="50">
        <v>8.2799999999999994</v>
      </c>
      <c r="M423" s="57">
        <v>7.0601851851851841E-3</v>
      </c>
      <c r="N423" s="55">
        <v>5.8796296296296296E-3</v>
      </c>
      <c r="O423" s="57">
        <v>6.6666666666666671E-3</v>
      </c>
      <c r="P423" s="57"/>
      <c r="Q423" s="59">
        <f>IF(MIN(IF(ISBLANK(O423),N423,O423),IF(ISBLANK(N423),O423,N423))=0,"",MIN(IF(ISBLANK(O423),N423,O423),IF(ISBLANK(N423),O423,N423)))</f>
        <v>5.8796296296296296E-3</v>
      </c>
      <c r="R423" s="57">
        <v>6.6319444444444446E-3</v>
      </c>
      <c r="S423" s="57"/>
      <c r="T423" s="59">
        <f>IF(MIN(IF(ISBLANK(R423),Q423,R423),IF(ISBLANK(Q423),R423,Q423))=0,"",MIN(IF(ISBLANK(R423),Q423,R423),IF(ISBLANK(Q423),R423,Q423)))</f>
        <v>5.8796296296296296E-3</v>
      </c>
      <c r="U423" s="57">
        <v>6.7476851851851856E-3</v>
      </c>
      <c r="V423" s="57"/>
      <c r="W423" s="59">
        <f>IF(MIN(IF(ISBLANK(U423),T423,U423),IF(ISBLANK(T423),U423,T423))=0,"",MIN(IF(ISBLANK(U423),T423,U423),IF(ISBLANK(T423),U423,T423)))</f>
        <v>5.8796296296296296E-3</v>
      </c>
      <c r="X423" s="57">
        <v>6.851851851851852E-3</v>
      </c>
      <c r="Y423" s="57"/>
      <c r="Z423" s="59">
        <f>IF(MIN(IF(ISBLANK(X423),W423,X423),IF(ISBLANK(W423),X423,W423))=0,"",MIN(IF(ISBLANK(X423),W423,X423),IF(ISBLANK(W423),X423,W423)))</f>
        <v>5.8796296296296296E-3</v>
      </c>
      <c r="AA423" s="57">
        <v>6.828703703703704E-3</v>
      </c>
      <c r="AB423" s="57"/>
      <c r="AC423" s="59">
        <f>IF(MIN(IF(ISBLANK(Z423),AA423,Z423),IF(ISBLANK(AA423),Z423,AA423))=0,"",MIN(IF(ISBLANK(Z423),AA423,Z423),IF(ISBLANK(AA423),Z423,AA423)))</f>
        <v>5.8796296296296296E-3</v>
      </c>
      <c r="AD423" s="57"/>
      <c r="AE423" s="57"/>
      <c r="AF423" s="59">
        <f>IF(MIN(IF(ISBLANK(AC423),AD423,AC423),IF(ISBLANK(AD423),AC423,AD423))=0,"",MIN(IF(ISBLANK(AC423),AD423,AC423),IF(ISBLANK(AD423),AC423,AD423)))</f>
        <v>5.8796296296296296E-3</v>
      </c>
      <c r="AG423" s="57">
        <v>6.6319444444444446E-3</v>
      </c>
      <c r="AH423" s="57"/>
      <c r="AI423" s="59">
        <f>IF(MIN(IF(ISBLANK(AF423),AG423,AF423),IF(ISBLANK(AG423),AF423,AG423))=0,"",MIN(IF(ISBLANK(AF423),AG423,AF423),IF(ISBLANK(AG423),AF423,AG423)))</f>
        <v>5.8796296296296296E-3</v>
      </c>
      <c r="AJ423" s="57">
        <v>6.7129629629629622E-3</v>
      </c>
      <c r="AK423" s="57"/>
      <c r="AL423" s="59">
        <f t="shared" si="163"/>
        <v>5.8796296296296296E-3</v>
      </c>
      <c r="AM423" s="57">
        <v>6.9212962962962969E-3</v>
      </c>
      <c r="AN423" s="57"/>
      <c r="AO423" s="59">
        <f t="shared" si="164"/>
        <v>5.8796296296296296E-3</v>
      </c>
      <c r="AP423" s="57"/>
      <c r="AQ423" s="59">
        <f t="shared" si="160"/>
        <v>5.8796296296296296E-3</v>
      </c>
      <c r="AR423" s="57"/>
      <c r="AS423" s="57"/>
      <c r="AT423" s="59">
        <f t="shared" si="161"/>
        <v>5.8796296296296296E-3</v>
      </c>
    </row>
    <row r="424" spans="1:46" hidden="1">
      <c r="A424" s="24"/>
      <c r="B424" s="26" t="s">
        <v>118</v>
      </c>
      <c r="C424" s="26" t="s">
        <v>444</v>
      </c>
      <c r="D424" s="50">
        <v>9.59</v>
      </c>
      <c r="E424" s="51" t="s">
        <v>300</v>
      </c>
      <c r="F424" s="50">
        <v>9.59</v>
      </c>
      <c r="G424" s="52"/>
      <c r="H424" s="50">
        <v>9.59</v>
      </c>
      <c r="I424" s="53"/>
      <c r="J424" s="50">
        <v>9.59</v>
      </c>
      <c r="K424" s="53">
        <v>10.53</v>
      </c>
      <c r="L424" s="50">
        <v>9.59</v>
      </c>
      <c r="M424" s="57"/>
      <c r="N424" s="55">
        <v>6.9328703703703696E-3</v>
      </c>
      <c r="O424" s="57"/>
      <c r="P424" s="57"/>
      <c r="Q424" s="59">
        <f>IF(MIN(IF(ISBLANK(O424),N424,O424),IF(ISBLANK(N424),O424,N424))=0,"",MIN(IF(ISBLANK(O424),N424,O424),IF(ISBLANK(N424),O424,N424)))</f>
        <v>6.9328703703703696E-3</v>
      </c>
      <c r="R424" s="57"/>
      <c r="S424" s="57"/>
      <c r="T424" s="59">
        <f>IF(MIN(IF(ISBLANK(R424),Q424,R424),IF(ISBLANK(Q424),R424,Q424))=0,"",MIN(IF(ISBLANK(R424),Q424,R424),IF(ISBLANK(Q424),R424,Q424)))</f>
        <v>6.9328703703703696E-3</v>
      </c>
      <c r="U424" s="57"/>
      <c r="V424" s="57"/>
      <c r="W424" s="59">
        <f>IF(MIN(IF(ISBLANK(U424),T424,U424),IF(ISBLANK(T424),U424,T424))=0,"",MIN(IF(ISBLANK(U424),T424,U424),IF(ISBLANK(T424),U424,T424)))</f>
        <v>6.9328703703703696E-3</v>
      </c>
      <c r="X424" s="57"/>
      <c r="Y424" s="57"/>
      <c r="Z424" s="59">
        <f>IF(MIN(IF(ISBLANK(X424),W424,X424),IF(ISBLANK(W424),X424,W424))=0,"",MIN(IF(ISBLANK(X424),W424,X424),IF(ISBLANK(W424),X424,W424)))</f>
        <v>6.9328703703703696E-3</v>
      </c>
      <c r="AA424" s="57"/>
      <c r="AB424" s="57"/>
      <c r="AC424" s="59">
        <f>IF(MIN(IF(ISBLANK(Z424),AA424,Z424),IF(ISBLANK(AA424),Z424,AA424))=0,"",MIN(IF(ISBLANK(Z424),AA424,Z424),IF(ISBLANK(AA424),Z424,AA424)))</f>
        <v>6.9328703703703696E-3</v>
      </c>
      <c r="AD424" s="57"/>
      <c r="AE424" s="57"/>
      <c r="AF424" s="59">
        <f>IF(MIN(IF(ISBLANK(AC424),AD424,AC424),IF(ISBLANK(AD424),AC424,AD424))=0,"",MIN(IF(ISBLANK(AC424),AD424,AC424),IF(ISBLANK(AD424),AC424,AD424)))</f>
        <v>6.9328703703703696E-3</v>
      </c>
      <c r="AG424" s="57"/>
      <c r="AH424" s="57"/>
      <c r="AI424" s="59">
        <f>IF(MIN(IF(ISBLANK(AF424),AG424,AF424),IF(ISBLANK(AG424),AF424,AG424))=0,"",MIN(IF(ISBLANK(AF424),AG424,AF424),IF(ISBLANK(AG424),AF424,AG424)))</f>
        <v>6.9328703703703696E-3</v>
      </c>
      <c r="AJ424" s="57"/>
      <c r="AK424" s="57"/>
      <c r="AL424" s="59">
        <f t="shared" si="163"/>
        <v>6.9328703703703696E-3</v>
      </c>
      <c r="AM424" s="57"/>
      <c r="AN424" s="57"/>
      <c r="AO424" s="59">
        <f t="shared" si="164"/>
        <v>6.9328703703703696E-3</v>
      </c>
      <c r="AP424" s="57"/>
      <c r="AQ424" s="59">
        <f t="shared" si="160"/>
        <v>6.9328703703703696E-3</v>
      </c>
      <c r="AR424" s="57"/>
      <c r="AS424" s="57"/>
      <c r="AT424" s="59">
        <f t="shared" si="161"/>
        <v>6.9328703703703696E-3</v>
      </c>
    </row>
    <row r="425" spans="1:46" hidden="1">
      <c r="A425" s="24"/>
      <c r="B425" s="26" t="s">
        <v>434</v>
      </c>
      <c r="C425" s="26" t="s">
        <v>443</v>
      </c>
      <c r="D425" s="50"/>
      <c r="E425" s="51"/>
      <c r="F425" s="50"/>
      <c r="G425" s="52"/>
      <c r="H425" s="50"/>
      <c r="I425" s="53">
        <v>8.4</v>
      </c>
      <c r="J425" s="50" t="s">
        <v>259</v>
      </c>
      <c r="K425" s="53">
        <v>7.51</v>
      </c>
      <c r="L425" s="50">
        <v>7.51</v>
      </c>
      <c r="M425" s="57"/>
      <c r="N425" s="55">
        <v>5.4513888888888884E-3</v>
      </c>
      <c r="O425" s="57"/>
      <c r="P425" s="57"/>
      <c r="Q425" s="59">
        <f>IF(MIN(IF(ISBLANK(O425),N425,O425),IF(ISBLANK(N425),O425,N425))=0,"",MIN(IF(ISBLANK(O425),N425,O425),IF(ISBLANK(N425),O425,N425)))</f>
        <v>5.4513888888888884E-3</v>
      </c>
      <c r="R425" s="57"/>
      <c r="S425" s="57"/>
      <c r="T425" s="59">
        <f>IF(MIN(IF(ISBLANK(R425),Q425,R425),IF(ISBLANK(Q425),R425,Q425))=0,"",MIN(IF(ISBLANK(R425),Q425,R425),IF(ISBLANK(Q425),R425,Q425)))</f>
        <v>5.4513888888888884E-3</v>
      </c>
      <c r="U425" s="57"/>
      <c r="V425" s="57"/>
      <c r="W425" s="59">
        <f>IF(MIN(IF(ISBLANK(U425),T425,U425),IF(ISBLANK(T425),U425,T425))=0,"",MIN(IF(ISBLANK(U425),T425,U425),IF(ISBLANK(T425),U425,T425)))</f>
        <v>5.4513888888888884E-3</v>
      </c>
      <c r="X425" s="57"/>
      <c r="Y425" s="57"/>
      <c r="Z425" s="59">
        <f>IF(MIN(IF(ISBLANK(X425),W425,X425),IF(ISBLANK(W425),X425,W425))=0,"",MIN(IF(ISBLANK(X425),W425,X425),IF(ISBLANK(W425),X425,W425)))</f>
        <v>5.4513888888888884E-3</v>
      </c>
      <c r="AA425" s="57"/>
      <c r="AB425" s="57"/>
      <c r="AC425" s="59">
        <f>IF(MIN(IF(ISBLANK(Z425),AA425,Z425),IF(ISBLANK(AA425),Z425,AA425))=0,"",MIN(IF(ISBLANK(Z425),AA425,Z425),IF(ISBLANK(AA425),Z425,AA425)))</f>
        <v>5.4513888888888884E-3</v>
      </c>
      <c r="AD425" s="57">
        <v>5.5787037037037038E-3</v>
      </c>
      <c r="AE425" s="57"/>
      <c r="AF425" s="59">
        <f>IF(MIN(IF(ISBLANK(AC425),AD425,AC425),IF(ISBLANK(AD425),AC425,AD425))=0,"",MIN(IF(ISBLANK(AC425),AD425,AC425),IF(ISBLANK(AD425),AC425,AD425)))</f>
        <v>5.4513888888888884E-3</v>
      </c>
      <c r="AG425" s="57">
        <v>5.4629629629629637E-3</v>
      </c>
      <c r="AH425" s="57"/>
      <c r="AI425" s="59">
        <f>IF(MIN(IF(ISBLANK(AF425),AG425,AF425),IF(ISBLANK(AG425),AF425,AG425))=0,"",MIN(IF(ISBLANK(AF425),AG425,AF425),IF(ISBLANK(AG425),AF425,AG425)))</f>
        <v>5.4513888888888884E-3</v>
      </c>
      <c r="AJ425" s="57"/>
      <c r="AK425" s="57"/>
      <c r="AL425" s="59">
        <f t="shared" si="163"/>
        <v>5.4513888888888884E-3</v>
      </c>
      <c r="AM425" s="57"/>
      <c r="AN425" s="57"/>
      <c r="AO425" s="59">
        <f t="shared" si="164"/>
        <v>5.4513888888888884E-3</v>
      </c>
      <c r="AP425" s="57"/>
      <c r="AQ425" s="59">
        <f t="shared" si="160"/>
        <v>5.4513888888888884E-3</v>
      </c>
      <c r="AR425" s="57"/>
      <c r="AS425" s="57"/>
      <c r="AT425" s="59">
        <f t="shared" si="161"/>
        <v>5.4513888888888884E-3</v>
      </c>
    </row>
    <row r="426" spans="1:46">
      <c r="A426" s="24" t="s">
        <v>792</v>
      </c>
      <c r="B426" s="26" t="s">
        <v>837</v>
      </c>
      <c r="C426" s="26"/>
      <c r="D426" s="50"/>
      <c r="E426" s="51"/>
      <c r="F426" s="50"/>
      <c r="G426" s="52"/>
      <c r="H426" s="50"/>
      <c r="I426" s="53"/>
      <c r="J426" s="50"/>
      <c r="K426" s="53"/>
      <c r="L426" s="50"/>
      <c r="M426" s="57"/>
      <c r="N426" s="55"/>
      <c r="O426" s="57"/>
      <c r="P426" s="57"/>
      <c r="Q426" s="59"/>
      <c r="R426" s="57"/>
      <c r="S426" s="57"/>
      <c r="T426" s="59"/>
      <c r="U426" s="57"/>
      <c r="V426" s="57"/>
      <c r="W426" s="59"/>
      <c r="X426" s="57"/>
      <c r="Y426" s="57"/>
      <c r="Z426" s="59"/>
      <c r="AA426" s="57"/>
      <c r="AB426" s="57"/>
      <c r="AC426" s="59"/>
      <c r="AD426" s="57"/>
      <c r="AE426" s="57"/>
      <c r="AF426" s="59"/>
      <c r="AG426" s="57"/>
      <c r="AH426" s="57"/>
      <c r="AI426" s="59"/>
      <c r="AJ426" s="57"/>
      <c r="AK426" s="57"/>
      <c r="AL426" s="59"/>
      <c r="AM426" s="57"/>
      <c r="AN426" s="57"/>
      <c r="AO426" s="59"/>
      <c r="AP426" s="57"/>
      <c r="AQ426" s="59" t="str">
        <f t="shared" si="160"/>
        <v/>
      </c>
      <c r="AR426" s="57"/>
      <c r="AS426" s="57"/>
      <c r="AT426" s="59" t="str">
        <f t="shared" si="161"/>
        <v/>
      </c>
    </row>
    <row r="427" spans="1:46" hidden="1">
      <c r="A427" s="24"/>
      <c r="B427" s="26" t="s">
        <v>128</v>
      </c>
      <c r="C427" s="26"/>
      <c r="D427" s="50">
        <v>6.09</v>
      </c>
      <c r="E427" s="51"/>
      <c r="F427" s="50">
        <v>6.09</v>
      </c>
      <c r="G427" s="52"/>
      <c r="H427" s="50">
        <v>6.09</v>
      </c>
      <c r="I427" s="53"/>
      <c r="J427" s="50">
        <v>6.09</v>
      </c>
      <c r="K427" s="53"/>
      <c r="L427" s="50">
        <v>6.09</v>
      </c>
      <c r="M427" s="57"/>
      <c r="N427" s="55">
        <v>4.2708333333333339E-3</v>
      </c>
      <c r="O427" s="57"/>
      <c r="P427" s="57"/>
      <c r="Q427" s="59">
        <f>IF(MIN(IF(ISBLANK(O427),N427,O427),IF(ISBLANK(N427),O427,N427))=0,"",MIN(IF(ISBLANK(O427),N427,O427),IF(ISBLANK(N427),O427,N427)))</f>
        <v>4.2708333333333339E-3</v>
      </c>
      <c r="R427" s="57"/>
      <c r="S427" s="57"/>
      <c r="T427" s="59">
        <f>IF(MIN(IF(ISBLANK(R427),Q427,R427),IF(ISBLANK(Q427),R427,Q427))=0,"",MIN(IF(ISBLANK(R427),Q427,R427),IF(ISBLANK(Q427),R427,Q427)))</f>
        <v>4.2708333333333339E-3</v>
      </c>
      <c r="U427" s="57"/>
      <c r="V427" s="57"/>
      <c r="W427" s="59">
        <f>IF(MIN(IF(ISBLANK(U427),T427,U427),IF(ISBLANK(T427),U427,T427))=0,"",MIN(IF(ISBLANK(U427),T427,U427),IF(ISBLANK(T427),U427,T427)))</f>
        <v>4.2708333333333339E-3</v>
      </c>
      <c r="X427" s="57"/>
      <c r="Y427" s="57"/>
      <c r="Z427" s="59">
        <f>IF(MIN(IF(ISBLANK(X427),W427,X427),IF(ISBLANK(W427),X427,W427))=0,"",MIN(IF(ISBLANK(X427),W427,X427),IF(ISBLANK(W427),X427,W427)))</f>
        <v>4.2708333333333339E-3</v>
      </c>
      <c r="AA427" s="57"/>
      <c r="AB427" s="57"/>
      <c r="AC427" s="59">
        <f>IF(MIN(IF(ISBLANK(Z427),AA427,Z427),IF(ISBLANK(AA427),Z427,AA427))=0,"",MIN(IF(ISBLANK(Z427),AA427,Z427),IF(ISBLANK(AA427),Z427,AA427)))</f>
        <v>4.2708333333333339E-3</v>
      </c>
      <c r="AD427" s="57"/>
      <c r="AE427" s="57"/>
      <c r="AF427" s="59">
        <f>IF(MIN(IF(ISBLANK(AC427),AD427,AC427),IF(ISBLANK(AD427),AC427,AD427))=0,"",MIN(IF(ISBLANK(AC427),AD427,AC427),IF(ISBLANK(AD427),AC427,AD427)))</f>
        <v>4.2708333333333339E-3</v>
      </c>
      <c r="AG427" s="57"/>
      <c r="AH427" s="57"/>
      <c r="AI427" s="59">
        <f>IF(MIN(IF(ISBLANK(AF427),AG427,AF427),IF(ISBLANK(AG427),AF427,AG427))=0,"",MIN(IF(ISBLANK(AF427),AG427,AF427),IF(ISBLANK(AG427),AF427,AG427)))</f>
        <v>4.2708333333333339E-3</v>
      </c>
      <c r="AJ427" s="57"/>
      <c r="AK427" s="57"/>
      <c r="AL427" s="59">
        <f>IF(MIN(IF(ISBLANK(AI427),AJ427,AI427),IF(ISBLANK(AJ427),AI427,AJ427))=0,"",MIN(IF(ISBLANK(AI427),AJ427,AI427),IF(ISBLANK(AJ427),AI427,AJ427)))</f>
        <v>4.2708333333333339E-3</v>
      </c>
      <c r="AM427" s="57"/>
      <c r="AN427" s="57"/>
      <c r="AO427" s="59">
        <f>IF(MIN(IF(ISBLANK(AL427),AM427,AL427),IF(ISBLANK(AM427),AL427,AM427))=0,"",MIN(IF(ISBLANK(AL427),AM427,AL427),IF(ISBLANK(AM427),AL427,AM427)))</f>
        <v>4.2708333333333339E-3</v>
      </c>
      <c r="AP427" s="57"/>
      <c r="AQ427" s="59">
        <f t="shared" si="160"/>
        <v>4.2708333333333339E-3</v>
      </c>
      <c r="AR427" s="57"/>
      <c r="AS427" s="57"/>
      <c r="AT427" s="59">
        <f t="shared" si="161"/>
        <v>4.2708333333333339E-3</v>
      </c>
    </row>
    <row r="428" spans="1:46" hidden="1">
      <c r="A428" s="24"/>
      <c r="B428" s="26" t="s">
        <v>505</v>
      </c>
      <c r="C428" s="26"/>
      <c r="D428" s="50"/>
      <c r="E428" s="51"/>
      <c r="F428" s="50"/>
      <c r="G428" s="52"/>
      <c r="H428" s="50"/>
      <c r="I428" s="53"/>
      <c r="J428" s="50"/>
      <c r="K428" s="53"/>
      <c r="L428" s="50"/>
      <c r="M428" s="57"/>
      <c r="N428" s="55"/>
      <c r="O428" s="57"/>
      <c r="P428" s="57"/>
      <c r="Q428" s="59" t="str">
        <f>IF(MIN(IF(ISBLANK(O428),N428,O428),IF(ISBLANK(N428),O428,N428))=0,"",MIN(IF(ISBLANK(O428),N428,O428),IF(ISBLANK(N428),O428,N428)))</f>
        <v/>
      </c>
      <c r="R428" s="57"/>
      <c r="S428" s="57"/>
      <c r="T428" s="59" t="str">
        <f>IF(MIN(IF(ISBLANK(R428),Q428,R428),IF(ISBLANK(Q428),R428,Q428))=0,"",MIN(IF(ISBLANK(R428),Q428,R428),IF(ISBLANK(Q428),R428,Q428)))</f>
        <v/>
      </c>
      <c r="U428" s="57"/>
      <c r="V428" s="57"/>
      <c r="W428" s="59" t="str">
        <f>IF(MIN(IF(ISBLANK(U428),T428,U428),IF(ISBLANK(T428),U428,T428))=0,"",MIN(IF(ISBLANK(U428),T428,U428),IF(ISBLANK(T428),U428,T428)))</f>
        <v/>
      </c>
      <c r="X428" s="57"/>
      <c r="Y428" s="57"/>
      <c r="Z428" s="59" t="str">
        <f>IF(MIN(IF(ISBLANK(X428),W428,X428),IF(ISBLANK(W428),X428,W428))=0,"",MIN(IF(ISBLANK(X428),W428,X428),IF(ISBLANK(W428),X428,W428)))</f>
        <v/>
      </c>
      <c r="AA428" s="57"/>
      <c r="AB428" s="57"/>
      <c r="AC428" s="59" t="str">
        <f>IF(MIN(IF(ISBLANK(Z428),AA428,Z428),IF(ISBLANK(AA428),Z428,AA428))=0,"",MIN(IF(ISBLANK(Z428),AA428,Z428),IF(ISBLANK(AA428),Z428,AA428)))</f>
        <v/>
      </c>
      <c r="AD428" s="57"/>
      <c r="AE428" s="57"/>
      <c r="AF428" s="59" t="str">
        <f>IF(MIN(IF(ISBLANK(AC428),AD428,AC428),IF(ISBLANK(AD428),AC428,AD428))=0,"",MIN(IF(ISBLANK(AC428),AD428,AC428),IF(ISBLANK(AD428),AC428,AD428)))</f>
        <v/>
      </c>
      <c r="AG428" s="57"/>
      <c r="AH428" s="57"/>
      <c r="AI428" s="59" t="str">
        <f>IF(MIN(IF(ISBLANK(AF428),AG428,AF428),IF(ISBLANK(AG428),AF428,AG428))=0,"",MIN(IF(ISBLANK(AF428),AG428,AF428),IF(ISBLANK(AG428),AF428,AG428)))</f>
        <v/>
      </c>
      <c r="AJ428" s="57"/>
      <c r="AK428" s="57"/>
      <c r="AL428" s="59" t="str">
        <f>IF(MIN(IF(ISBLANK(AI428),AJ428,AI428),IF(ISBLANK(AJ428),AI428,AJ428))=0,"",MIN(IF(ISBLANK(AI428),AJ428,AI428),IF(ISBLANK(AJ428),AI428,AJ428)))</f>
        <v/>
      </c>
      <c r="AM428" s="57"/>
      <c r="AN428" s="57"/>
      <c r="AO428" s="59" t="str">
        <f>IF(MIN(IF(ISBLANK(AL428),AM428,AL428),IF(ISBLANK(AM428),AL428,AM428))=0,"",MIN(IF(ISBLANK(AL428),AM428,AL428),IF(ISBLANK(AM428),AL428,AM428)))</f>
        <v/>
      </c>
      <c r="AP428" s="57"/>
      <c r="AQ428" s="59" t="str">
        <f t="shared" si="160"/>
        <v/>
      </c>
      <c r="AR428" s="57"/>
      <c r="AS428" s="57"/>
      <c r="AT428" s="59" t="str">
        <f t="shared" si="161"/>
        <v/>
      </c>
    </row>
    <row r="429" spans="1:46" hidden="1">
      <c r="A429" s="24"/>
      <c r="B429" s="26" t="s">
        <v>141</v>
      </c>
      <c r="C429" s="26" t="s">
        <v>443</v>
      </c>
      <c r="D429" s="50">
        <v>7.16</v>
      </c>
      <c r="E429" s="51"/>
      <c r="F429" s="50">
        <v>7.16</v>
      </c>
      <c r="G429" s="52"/>
      <c r="H429" s="50">
        <v>7.16</v>
      </c>
      <c r="I429" s="53"/>
      <c r="J429" s="50">
        <v>7.16</v>
      </c>
      <c r="K429" s="53"/>
      <c r="L429" s="50">
        <v>7.16</v>
      </c>
      <c r="M429" s="57"/>
      <c r="N429" s="55">
        <v>5.0462962962962961E-3</v>
      </c>
      <c r="O429" s="57"/>
      <c r="P429" s="57"/>
      <c r="Q429" s="59">
        <f>IF(MIN(IF(ISBLANK(O429),N429,O429),IF(ISBLANK(N429),O429,N429))=0,"",MIN(IF(ISBLANK(O429),N429,O429),IF(ISBLANK(N429),O429,N429)))</f>
        <v>5.0462962962962961E-3</v>
      </c>
      <c r="R429" s="57"/>
      <c r="S429" s="57"/>
      <c r="T429" s="59">
        <f>IF(MIN(IF(ISBLANK(R429),Q429,R429),IF(ISBLANK(Q429),R429,Q429))=0,"",MIN(IF(ISBLANK(R429),Q429,R429),IF(ISBLANK(Q429),R429,Q429)))</f>
        <v>5.0462962962962961E-3</v>
      </c>
      <c r="U429" s="57"/>
      <c r="V429" s="57"/>
      <c r="W429" s="59">
        <f>IF(MIN(IF(ISBLANK(U429),T429,U429),IF(ISBLANK(T429),U429,T429))=0,"",MIN(IF(ISBLANK(U429),T429,U429),IF(ISBLANK(T429),U429,T429)))</f>
        <v>5.0462962962962961E-3</v>
      </c>
      <c r="X429" s="57"/>
      <c r="Y429" s="57"/>
      <c r="Z429" s="59">
        <f>IF(MIN(IF(ISBLANK(X429),W429,X429),IF(ISBLANK(W429),X429,W429))=0,"",MIN(IF(ISBLANK(X429),W429,X429),IF(ISBLANK(W429),X429,W429)))</f>
        <v>5.0462962962962961E-3</v>
      </c>
      <c r="AA429" s="57"/>
      <c r="AB429" s="57"/>
      <c r="AC429" s="59">
        <f>IF(MIN(IF(ISBLANK(Z429),AA429,Z429),IF(ISBLANK(AA429),Z429,AA429))=0,"",MIN(IF(ISBLANK(Z429),AA429,Z429),IF(ISBLANK(AA429),Z429,AA429)))</f>
        <v>5.0462962962962961E-3</v>
      </c>
      <c r="AD429" s="57"/>
      <c r="AE429" s="57"/>
      <c r="AF429" s="59">
        <f>IF(MIN(IF(ISBLANK(AC429),AD429,AC429),IF(ISBLANK(AD429),AC429,AD429))=0,"",MIN(IF(ISBLANK(AC429),AD429,AC429),IF(ISBLANK(AD429),AC429,AD429)))</f>
        <v>5.0462962962962961E-3</v>
      </c>
      <c r="AG429" s="57"/>
      <c r="AH429" s="57"/>
      <c r="AI429" s="59">
        <f>IF(MIN(IF(ISBLANK(AF429),AG429,AF429),IF(ISBLANK(AG429),AF429,AG429))=0,"",MIN(IF(ISBLANK(AF429),AG429,AF429),IF(ISBLANK(AG429),AF429,AG429)))</f>
        <v>5.0462962962962961E-3</v>
      </c>
      <c r="AJ429" s="57"/>
      <c r="AK429" s="57"/>
      <c r="AL429" s="59">
        <f>IF(MIN(IF(ISBLANK(AI429),AJ429,AI429),IF(ISBLANK(AJ429),AI429,AJ429))=0,"",MIN(IF(ISBLANK(AI429),AJ429,AI429),IF(ISBLANK(AJ429),AI429,AJ429)))</f>
        <v>5.0462962962962961E-3</v>
      </c>
      <c r="AM429" s="57"/>
      <c r="AN429" s="57"/>
      <c r="AO429" s="59">
        <f>IF(MIN(IF(ISBLANK(AL429),AM429,AL429),IF(ISBLANK(AM429),AL429,AM429))=0,"",MIN(IF(ISBLANK(AL429),AM429,AL429),IF(ISBLANK(AM429),AL429,AM429)))</f>
        <v>5.0462962962962961E-3</v>
      </c>
      <c r="AP429" s="57"/>
      <c r="AQ429" s="59">
        <f t="shared" si="160"/>
        <v>5.0462962962962961E-3</v>
      </c>
      <c r="AR429" s="57"/>
      <c r="AS429" s="57"/>
      <c r="AT429" s="59">
        <f t="shared" si="161"/>
        <v>5.0462962962962961E-3</v>
      </c>
    </row>
    <row r="430" spans="1:46">
      <c r="A430" s="24" t="s">
        <v>792</v>
      </c>
      <c r="B430" s="26" t="s">
        <v>248</v>
      </c>
      <c r="C430" s="26" t="s">
        <v>444</v>
      </c>
      <c r="D430" s="50"/>
      <c r="E430" s="51"/>
      <c r="F430" s="50" t="s">
        <v>448</v>
      </c>
      <c r="G430" s="52"/>
      <c r="H430" s="50"/>
      <c r="I430" s="53"/>
      <c r="J430" s="50" t="s">
        <v>448</v>
      </c>
      <c r="K430" s="53"/>
      <c r="L430" s="50"/>
      <c r="M430" s="57"/>
      <c r="N430" s="55"/>
      <c r="O430" s="57"/>
      <c r="P430" s="57"/>
      <c r="Q430" s="59" t="str">
        <f>IF(MIN(IF(ISBLANK(O430),N430,O430),IF(ISBLANK(N430),O430,N430))=0,"",MIN(IF(ISBLANK(O430),N430,O430),IF(ISBLANK(N430),O430,N430)))</f>
        <v/>
      </c>
      <c r="R430" s="57"/>
      <c r="S430" s="57"/>
      <c r="T430" s="59" t="str">
        <f>IF(MIN(IF(ISBLANK(R430),Q430,R430),IF(ISBLANK(Q430),R430,Q430))=0,"",MIN(IF(ISBLANK(R430),Q430,R430),IF(ISBLANK(Q430),R430,Q430)))</f>
        <v/>
      </c>
      <c r="U430" s="57">
        <v>7.037037037037037E-3</v>
      </c>
      <c r="V430" s="57"/>
      <c r="W430" s="59">
        <f>IF(MIN(IF(ISBLANK(U430),T430,U430),IF(ISBLANK(T430),U430,T430))=0,"",MIN(IF(ISBLANK(U430),T430,U430),IF(ISBLANK(T430),U430,T430)))</f>
        <v>7.037037037037037E-3</v>
      </c>
      <c r="X430" s="57"/>
      <c r="Y430" s="57"/>
      <c r="Z430" s="59">
        <f>IF(MIN(IF(ISBLANK(X430),W430,X430),IF(ISBLANK(W430),X430,W430))=0,"",MIN(IF(ISBLANK(X430),W430,X430),IF(ISBLANK(W430),X430,W430)))</f>
        <v>7.037037037037037E-3</v>
      </c>
      <c r="AA430" s="57"/>
      <c r="AB430" s="57"/>
      <c r="AC430" s="59">
        <f>IF(MIN(IF(ISBLANK(Z430),AA430,Z430),IF(ISBLANK(AA430),Z430,AA430))=0,"",MIN(IF(ISBLANK(Z430),AA430,Z430),IF(ISBLANK(AA430),Z430,AA430)))</f>
        <v>7.037037037037037E-3</v>
      </c>
      <c r="AD430" s="57"/>
      <c r="AE430" s="57"/>
      <c r="AF430" s="59">
        <f>IF(MIN(IF(ISBLANK(AC430),AD430,AC430),IF(ISBLANK(AD430),AC430,AD430))=0,"",MIN(IF(ISBLANK(AC430),AD430,AC430),IF(ISBLANK(AD430),AC430,AD430)))</f>
        <v>7.037037037037037E-3</v>
      </c>
      <c r="AG430" s="57"/>
      <c r="AH430" s="57"/>
      <c r="AI430" s="59">
        <f>IF(MIN(IF(ISBLANK(AF430),AG430,AF430),IF(ISBLANK(AG430),AF430,AG430))=0,"",MIN(IF(ISBLANK(AF430),AG430,AF430),IF(ISBLANK(AG430),AF430,AG430)))</f>
        <v>7.037037037037037E-3</v>
      </c>
      <c r="AJ430" s="57"/>
      <c r="AK430" s="57"/>
      <c r="AL430" s="59">
        <f>IF(MIN(IF(ISBLANK(AI430),AJ430,AI430),IF(ISBLANK(AJ430),AI430,AJ430))=0,"",MIN(IF(ISBLANK(AI430),AJ430,AI430),IF(ISBLANK(AJ430),AI430,AJ430)))</f>
        <v>7.037037037037037E-3</v>
      </c>
      <c r="AM430" s="57"/>
      <c r="AN430" s="57"/>
      <c r="AO430" s="59">
        <f>IF(MIN(IF(ISBLANK(AL430),AM430,AL430),IF(ISBLANK(AM430),AL430,AM430))=0,"",MIN(IF(ISBLANK(AL430),AM430,AL430),IF(ISBLANK(AM430),AL430,AM430)))</f>
        <v>7.037037037037037E-3</v>
      </c>
      <c r="AP430" s="57"/>
      <c r="AQ430" s="59">
        <f t="shared" si="160"/>
        <v>7.037037037037037E-3</v>
      </c>
      <c r="AR430" s="57"/>
      <c r="AS430" s="57"/>
      <c r="AT430" s="59">
        <f t="shared" si="161"/>
        <v>7.037037037037037E-3</v>
      </c>
    </row>
    <row r="431" spans="1:46" hidden="1">
      <c r="A431" s="24"/>
      <c r="B431" s="26" t="s">
        <v>435</v>
      </c>
      <c r="C431" s="26" t="s">
        <v>444</v>
      </c>
      <c r="D431" s="50"/>
      <c r="E431" s="51"/>
      <c r="F431" s="50"/>
      <c r="G431" s="52"/>
      <c r="H431" s="50"/>
      <c r="I431" s="53"/>
      <c r="J431" s="50" t="s">
        <v>448</v>
      </c>
      <c r="K431" s="53"/>
      <c r="L431" s="50"/>
      <c r="M431" s="57"/>
      <c r="N431" s="55"/>
      <c r="O431" s="57"/>
      <c r="P431" s="57"/>
      <c r="Q431" s="59" t="str">
        <f>IF(MIN(IF(ISBLANK(O431),N431,O431),IF(ISBLANK(N431),O431,N431))=0,"",MIN(IF(ISBLANK(O431),N431,O431),IF(ISBLANK(N431),O431,N431)))</f>
        <v/>
      </c>
      <c r="R431" s="57"/>
      <c r="S431" s="57"/>
      <c r="T431" s="59" t="str">
        <f>IF(MIN(IF(ISBLANK(R431),Q431,R431),IF(ISBLANK(Q431),R431,Q431))=0,"",MIN(IF(ISBLANK(R431),Q431,R431),IF(ISBLANK(Q431),R431,Q431)))</f>
        <v/>
      </c>
      <c r="U431" s="57"/>
      <c r="V431" s="57"/>
      <c r="W431" s="59" t="str">
        <f>IF(MIN(IF(ISBLANK(U431),T431,U431),IF(ISBLANK(T431),U431,T431))=0,"",MIN(IF(ISBLANK(U431),T431,U431),IF(ISBLANK(T431),U431,T431)))</f>
        <v/>
      </c>
      <c r="X431" s="57"/>
      <c r="Y431" s="57"/>
      <c r="Z431" s="59" t="str">
        <f>IF(MIN(IF(ISBLANK(X431),W431,X431),IF(ISBLANK(W431),X431,W431))=0,"",MIN(IF(ISBLANK(X431),W431,X431),IF(ISBLANK(W431),X431,W431)))</f>
        <v/>
      </c>
      <c r="AA431" s="57"/>
      <c r="AB431" s="57"/>
      <c r="AC431" s="59" t="str">
        <f>IF(MIN(IF(ISBLANK(Z431),AA431,Z431),IF(ISBLANK(AA431),Z431,AA431))=0,"",MIN(IF(ISBLANK(Z431),AA431,Z431),IF(ISBLANK(AA431),Z431,AA431)))</f>
        <v/>
      </c>
      <c r="AD431" s="57"/>
      <c r="AE431" s="57"/>
      <c r="AF431" s="59" t="str">
        <f>IF(MIN(IF(ISBLANK(AC431),AD431,AC431),IF(ISBLANK(AD431),AC431,AD431))=0,"",MIN(IF(ISBLANK(AC431),AD431,AC431),IF(ISBLANK(AD431),AC431,AD431)))</f>
        <v/>
      </c>
      <c r="AG431" s="57"/>
      <c r="AH431" s="57"/>
      <c r="AI431" s="59" t="str">
        <f>IF(MIN(IF(ISBLANK(AF431),AG431,AF431),IF(ISBLANK(AG431),AF431,AG431))=0,"",MIN(IF(ISBLANK(AF431),AG431,AF431),IF(ISBLANK(AG431),AF431,AG431)))</f>
        <v/>
      </c>
      <c r="AJ431" s="57"/>
      <c r="AK431" s="57"/>
      <c r="AL431" s="59" t="str">
        <f>IF(MIN(IF(ISBLANK(AI431),AJ431,AI431),IF(ISBLANK(AJ431),AI431,AJ431))=0,"",MIN(IF(ISBLANK(AI431),AJ431,AI431),IF(ISBLANK(AJ431),AI431,AJ431)))</f>
        <v/>
      </c>
      <c r="AM431" s="57"/>
      <c r="AN431" s="57"/>
      <c r="AO431" s="59" t="str">
        <f>IF(MIN(IF(ISBLANK(AL431),AM431,AL431),IF(ISBLANK(AM431),AL431,AM431))=0,"",MIN(IF(ISBLANK(AL431),AM431,AL431),IF(ISBLANK(AM431),AL431,AM431)))</f>
        <v/>
      </c>
      <c r="AP431" s="57"/>
      <c r="AQ431" s="59" t="str">
        <f t="shared" si="160"/>
        <v/>
      </c>
      <c r="AR431" s="57"/>
      <c r="AS431" s="57"/>
      <c r="AT431" s="59" t="str">
        <f t="shared" si="161"/>
        <v/>
      </c>
    </row>
    <row r="432" spans="1:46">
      <c r="A432" s="24" t="s">
        <v>792</v>
      </c>
      <c r="B432" s="26" t="s">
        <v>840</v>
      </c>
      <c r="C432" s="26"/>
      <c r="D432" s="50"/>
      <c r="E432" s="51"/>
      <c r="F432" s="50"/>
      <c r="G432" s="52"/>
      <c r="H432" s="50"/>
      <c r="I432" s="53"/>
      <c r="J432" s="50"/>
      <c r="K432" s="53"/>
      <c r="L432" s="50"/>
      <c r="M432" s="57"/>
      <c r="N432" s="55"/>
      <c r="O432" s="57"/>
      <c r="P432" s="57"/>
      <c r="Q432" s="59"/>
      <c r="R432" s="57"/>
      <c r="S432" s="57"/>
      <c r="T432" s="59"/>
      <c r="U432" s="57"/>
      <c r="V432" s="57"/>
      <c r="W432" s="59"/>
      <c r="X432" s="57"/>
      <c r="Y432" s="57"/>
      <c r="Z432" s="59"/>
      <c r="AA432" s="57"/>
      <c r="AB432" s="57"/>
      <c r="AC432" s="59"/>
      <c r="AD432" s="57"/>
      <c r="AE432" s="57"/>
      <c r="AF432" s="59"/>
      <c r="AG432" s="57"/>
      <c r="AH432" s="57"/>
      <c r="AI432" s="59"/>
      <c r="AJ432" s="57"/>
      <c r="AK432" s="57"/>
      <c r="AL432" s="59"/>
      <c r="AM432" s="57"/>
      <c r="AN432" s="57"/>
      <c r="AO432" s="59"/>
      <c r="AP432" s="57"/>
      <c r="AQ432" s="59" t="str">
        <f t="shared" si="160"/>
        <v/>
      </c>
      <c r="AR432" s="57"/>
      <c r="AS432" s="57"/>
      <c r="AT432" s="59" t="str">
        <f t="shared" si="161"/>
        <v/>
      </c>
    </row>
    <row r="433" spans="1:46" hidden="1">
      <c r="A433" s="24"/>
      <c r="B433" s="26" t="s">
        <v>148</v>
      </c>
      <c r="C433" s="26" t="s">
        <v>444</v>
      </c>
      <c r="D433" s="50">
        <v>8.5399999999999991</v>
      </c>
      <c r="E433" s="51"/>
      <c r="F433" s="50">
        <v>8.5399999999999991</v>
      </c>
      <c r="G433" s="52"/>
      <c r="H433" s="50">
        <v>8.5399999999999991</v>
      </c>
      <c r="I433" s="53"/>
      <c r="J433" s="50">
        <v>8.5399999999999991</v>
      </c>
      <c r="K433" s="53"/>
      <c r="L433" s="50">
        <v>8.5399999999999991</v>
      </c>
      <c r="M433" s="57"/>
      <c r="N433" s="55">
        <v>6.1805555555555563E-3</v>
      </c>
      <c r="O433" s="57"/>
      <c r="P433" s="57"/>
      <c r="Q433" s="59">
        <f>IF(MIN(IF(ISBLANK(O433),N433,O433),IF(ISBLANK(N433),O433,N433))=0,"",MIN(IF(ISBLANK(O433),N433,O433),IF(ISBLANK(N433),O433,N433)))</f>
        <v>6.1805555555555563E-3</v>
      </c>
      <c r="R433" s="57"/>
      <c r="S433" s="57"/>
      <c r="T433" s="59">
        <f>IF(MIN(IF(ISBLANK(R433),Q433,R433),IF(ISBLANK(Q433),R433,Q433))=0,"",MIN(IF(ISBLANK(R433),Q433,R433),IF(ISBLANK(Q433),R433,Q433)))</f>
        <v>6.1805555555555563E-3</v>
      </c>
      <c r="U433" s="57"/>
      <c r="V433" s="57"/>
      <c r="W433" s="59">
        <f>IF(MIN(IF(ISBLANK(U433),T433,U433),IF(ISBLANK(T433),U433,T433))=0,"",MIN(IF(ISBLANK(U433),T433,U433),IF(ISBLANK(T433),U433,T433)))</f>
        <v>6.1805555555555563E-3</v>
      </c>
      <c r="X433" s="57"/>
      <c r="Y433" s="57"/>
      <c r="Z433" s="59">
        <f>IF(MIN(IF(ISBLANK(X433),W433,X433),IF(ISBLANK(W433),X433,W433))=0,"",MIN(IF(ISBLANK(X433),W433,X433),IF(ISBLANK(W433),X433,W433)))</f>
        <v>6.1805555555555563E-3</v>
      </c>
      <c r="AA433" s="57"/>
      <c r="AB433" s="57"/>
      <c r="AC433" s="59">
        <f>IF(MIN(IF(ISBLANK(Z433),AA433,Z433),IF(ISBLANK(AA433),Z433,AA433))=0,"",MIN(IF(ISBLANK(Z433),AA433,Z433),IF(ISBLANK(AA433),Z433,AA433)))</f>
        <v>6.1805555555555563E-3</v>
      </c>
      <c r="AD433" s="57"/>
      <c r="AE433" s="57"/>
      <c r="AF433" s="59">
        <f>IF(MIN(IF(ISBLANK(AC433),AD433,AC433),IF(ISBLANK(AD433),AC433,AD433))=0,"",MIN(IF(ISBLANK(AC433),AD433,AC433),IF(ISBLANK(AD433),AC433,AD433)))</f>
        <v>6.1805555555555563E-3</v>
      </c>
      <c r="AG433" s="57"/>
      <c r="AH433" s="57"/>
      <c r="AI433" s="59">
        <f>IF(MIN(IF(ISBLANK(AF433),AG433,AF433),IF(ISBLANK(AG433),AF433,AG433))=0,"",MIN(IF(ISBLANK(AF433),AG433,AF433),IF(ISBLANK(AG433),AF433,AG433)))</f>
        <v>6.1805555555555563E-3</v>
      </c>
      <c r="AJ433" s="57"/>
      <c r="AK433" s="57"/>
      <c r="AL433" s="59">
        <f t="shared" ref="AL433:AL441" si="165">IF(MIN(IF(ISBLANK(AI433),AJ433,AI433),IF(ISBLANK(AJ433),AI433,AJ433))=0,"",MIN(IF(ISBLANK(AI433),AJ433,AI433),IF(ISBLANK(AJ433),AI433,AJ433)))</f>
        <v>6.1805555555555563E-3</v>
      </c>
      <c r="AM433" s="57"/>
      <c r="AN433" s="57"/>
      <c r="AO433" s="59">
        <f t="shared" ref="AO433:AO458" si="166">IF(MIN(IF(ISBLANK(AL433),AM433,AL433),IF(ISBLANK(AM433),AL433,AM433))=0,"",MIN(IF(ISBLANK(AL433),AM433,AL433),IF(ISBLANK(AM433),AL433,AM433)))</f>
        <v>6.1805555555555563E-3</v>
      </c>
      <c r="AP433" s="57"/>
      <c r="AQ433" s="59">
        <f t="shared" si="160"/>
        <v>6.1805555555555563E-3</v>
      </c>
      <c r="AR433" s="57"/>
      <c r="AS433" s="57"/>
      <c r="AT433" s="59">
        <f t="shared" si="161"/>
        <v>6.1805555555555563E-3</v>
      </c>
    </row>
    <row r="434" spans="1:46" hidden="1">
      <c r="A434" s="24"/>
      <c r="B434" s="26" t="s">
        <v>686</v>
      </c>
      <c r="C434" s="26"/>
      <c r="D434" s="50"/>
      <c r="E434" s="51"/>
      <c r="F434" s="50"/>
      <c r="G434" s="52"/>
      <c r="H434" s="50"/>
      <c r="I434" s="53"/>
      <c r="J434" s="50"/>
      <c r="K434" s="53"/>
      <c r="L434" s="50"/>
      <c r="M434" s="57"/>
      <c r="N434" s="55"/>
      <c r="O434" s="57"/>
      <c r="P434" s="57"/>
      <c r="Q434" s="59"/>
      <c r="R434" s="57"/>
      <c r="S434" s="57"/>
      <c r="T434" s="59"/>
      <c r="U434" s="57"/>
      <c r="V434" s="57"/>
      <c r="W434" s="59"/>
      <c r="X434" s="57"/>
      <c r="Y434" s="57"/>
      <c r="Z434" s="59" t="str">
        <f>IF(MIN(IF(ISBLANK(X434),W434,X434),IF(ISBLANK(W434),X434,W434))=0,"",MIN(IF(ISBLANK(X434),W434,X434),IF(ISBLANK(W434),X434,W434)))</f>
        <v/>
      </c>
      <c r="AA434" s="57"/>
      <c r="AB434" s="57"/>
      <c r="AC434" s="59" t="str">
        <f>IF(MIN(IF(ISBLANK(Z434),AA434,Z434),IF(ISBLANK(AA434),Z434,AA434))=0,"",MIN(IF(ISBLANK(Z434),AA434,Z434),IF(ISBLANK(AA434),Z434,AA434)))</f>
        <v/>
      </c>
      <c r="AD434" s="57"/>
      <c r="AE434" s="57"/>
      <c r="AF434" s="59" t="str">
        <f>IF(MIN(IF(ISBLANK(AC434),AD434,AC434),IF(ISBLANK(AD434),AC434,AD434))=0,"",MIN(IF(ISBLANK(AC434),AD434,AC434),IF(ISBLANK(AD434),AC434,AD434)))</f>
        <v/>
      </c>
      <c r="AG434" s="57"/>
      <c r="AH434" s="57"/>
      <c r="AI434" s="59" t="str">
        <f>IF(MIN(IF(ISBLANK(AF434),AG434,AF434),IF(ISBLANK(AG434),AF434,AG434))=0,"",MIN(IF(ISBLANK(AF434),AG434,AF434),IF(ISBLANK(AG434),AF434,AG434)))</f>
        <v/>
      </c>
      <c r="AJ434" s="57"/>
      <c r="AK434" s="57"/>
      <c r="AL434" s="59" t="str">
        <f t="shared" si="165"/>
        <v/>
      </c>
      <c r="AM434" s="57"/>
      <c r="AN434" s="57"/>
      <c r="AO434" s="59" t="str">
        <f t="shared" si="166"/>
        <v/>
      </c>
      <c r="AP434" s="57"/>
      <c r="AQ434" s="59" t="str">
        <f t="shared" si="160"/>
        <v/>
      </c>
      <c r="AR434" s="57"/>
      <c r="AS434" s="57"/>
      <c r="AT434" s="59" t="str">
        <f t="shared" si="161"/>
        <v/>
      </c>
    </row>
    <row r="435" spans="1:46">
      <c r="A435" s="24" t="s">
        <v>792</v>
      </c>
      <c r="B435" s="26" t="s">
        <v>771</v>
      </c>
      <c r="C435" s="26"/>
      <c r="D435" s="50"/>
      <c r="E435" s="51"/>
      <c r="F435" s="50"/>
      <c r="G435" s="52"/>
      <c r="H435" s="50"/>
      <c r="I435" s="53"/>
      <c r="J435" s="50"/>
      <c r="K435" s="53"/>
      <c r="L435" s="50"/>
      <c r="M435" s="57"/>
      <c r="N435" s="55"/>
      <c r="O435" s="57"/>
      <c r="P435" s="57"/>
      <c r="Q435" s="59"/>
      <c r="R435" s="57"/>
      <c r="S435" s="57"/>
      <c r="T435" s="59"/>
      <c r="U435" s="57"/>
      <c r="V435" s="57"/>
      <c r="W435" s="59"/>
      <c r="X435" s="57"/>
      <c r="Y435" s="57"/>
      <c r="Z435" s="59"/>
      <c r="AA435" s="57"/>
      <c r="AB435" s="57"/>
      <c r="AC435" s="59"/>
      <c r="AD435" s="57"/>
      <c r="AE435" s="57"/>
      <c r="AF435" s="59"/>
      <c r="AG435" s="57"/>
      <c r="AH435" s="57"/>
      <c r="AI435" s="59"/>
      <c r="AJ435" s="57"/>
      <c r="AK435" s="57"/>
      <c r="AL435" s="59" t="str">
        <f t="shared" si="165"/>
        <v/>
      </c>
      <c r="AM435" s="57"/>
      <c r="AN435" s="57"/>
      <c r="AO435" s="59" t="str">
        <f t="shared" si="166"/>
        <v/>
      </c>
      <c r="AP435" s="57"/>
      <c r="AQ435" s="59" t="str">
        <f t="shared" si="160"/>
        <v/>
      </c>
      <c r="AR435" s="57"/>
      <c r="AS435" s="57"/>
      <c r="AT435" s="59" t="str">
        <f t="shared" si="161"/>
        <v/>
      </c>
    </row>
    <row r="436" spans="1:46">
      <c r="A436" s="24" t="s">
        <v>792</v>
      </c>
      <c r="B436" s="26" t="s">
        <v>153</v>
      </c>
      <c r="C436" s="26" t="s">
        <v>443</v>
      </c>
      <c r="D436" s="50">
        <v>8.39</v>
      </c>
      <c r="E436" s="51"/>
      <c r="F436" s="50">
        <v>8.39</v>
      </c>
      <c r="G436" s="52" t="s">
        <v>350</v>
      </c>
      <c r="H436" s="50">
        <v>8.39</v>
      </c>
      <c r="I436" s="53"/>
      <c r="J436" s="50">
        <v>8.39</v>
      </c>
      <c r="K436" s="53"/>
      <c r="L436" s="50">
        <v>8.39</v>
      </c>
      <c r="M436" s="57"/>
      <c r="N436" s="55">
        <v>6.0069444444444441E-3</v>
      </c>
      <c r="O436" s="57">
        <v>6.5972222222222222E-3</v>
      </c>
      <c r="P436" s="57"/>
      <c r="Q436" s="59">
        <f>IF(MIN(IF(ISBLANK(O436),N436,O436),IF(ISBLANK(N436),O436,N436))=0,"",MIN(IF(ISBLANK(O436),N436,O436),IF(ISBLANK(N436),O436,N436)))</f>
        <v>6.0069444444444441E-3</v>
      </c>
      <c r="R436" s="57"/>
      <c r="S436" s="57"/>
      <c r="T436" s="59">
        <f>IF(MIN(IF(ISBLANK(R436),Q436,R436),IF(ISBLANK(Q436),R436,Q436))=0,"",MIN(IF(ISBLANK(R436),Q436,R436),IF(ISBLANK(Q436),R436,Q436)))</f>
        <v>6.0069444444444441E-3</v>
      </c>
      <c r="U436" s="57">
        <v>6.9560185185185185E-3</v>
      </c>
      <c r="V436" s="57"/>
      <c r="W436" s="59">
        <f>IF(MIN(IF(ISBLANK(U436),T436,U436),IF(ISBLANK(T436),U436,T436))=0,"",MIN(IF(ISBLANK(U436),T436,U436),IF(ISBLANK(T436),U436,T436)))</f>
        <v>6.0069444444444441E-3</v>
      </c>
      <c r="X436" s="57"/>
      <c r="Y436" s="57"/>
      <c r="Z436" s="59">
        <f>IF(MIN(IF(ISBLANK(X436),W436,X436),IF(ISBLANK(W436),X436,W436))=0,"",MIN(IF(ISBLANK(X436),W436,X436),IF(ISBLANK(W436),X436,W436)))</f>
        <v>6.0069444444444441E-3</v>
      </c>
      <c r="AA436" s="57"/>
      <c r="AB436" s="57"/>
      <c r="AC436" s="59">
        <f>IF(MIN(IF(ISBLANK(Z436),AA436,Z436),IF(ISBLANK(AA436),Z436,AA436))=0,"",MIN(IF(ISBLANK(Z436),AA436,Z436),IF(ISBLANK(AA436),Z436,AA436)))</f>
        <v>6.0069444444444441E-3</v>
      </c>
      <c r="AD436" s="57">
        <v>7.4189814814814813E-3</v>
      </c>
      <c r="AE436" s="57"/>
      <c r="AF436" s="59">
        <f>IF(MIN(IF(ISBLANK(AC436),AD436,AC436),IF(ISBLANK(AD436),AC436,AD436))=0,"",MIN(IF(ISBLANK(AC436),AD436,AC436),IF(ISBLANK(AD436),AC436,AD436)))</f>
        <v>6.0069444444444441E-3</v>
      </c>
      <c r="AG436" s="57">
        <v>7.1643518518518514E-3</v>
      </c>
      <c r="AH436" s="57"/>
      <c r="AI436" s="59">
        <f>IF(MIN(IF(ISBLANK(AF436),AG436,AF436),IF(ISBLANK(AG436),AF436,AG436))=0,"",MIN(IF(ISBLANK(AF436),AG436,AF436),IF(ISBLANK(AG436),AF436,AG436)))</f>
        <v>6.0069444444444441E-3</v>
      </c>
      <c r="AJ436" s="57"/>
      <c r="AK436" s="57"/>
      <c r="AL436" s="59">
        <f t="shared" si="165"/>
        <v>6.0069444444444441E-3</v>
      </c>
      <c r="AM436" s="57">
        <v>8.1712962962962963E-3</v>
      </c>
      <c r="AN436" s="57"/>
      <c r="AO436" s="59">
        <f t="shared" si="166"/>
        <v>6.0069444444444441E-3</v>
      </c>
      <c r="AP436" s="57"/>
      <c r="AQ436" s="59">
        <f t="shared" si="160"/>
        <v>6.0069444444444441E-3</v>
      </c>
      <c r="AR436" s="57"/>
      <c r="AS436" s="57"/>
      <c r="AT436" s="59">
        <f t="shared" si="161"/>
        <v>6.0069444444444441E-3</v>
      </c>
    </row>
    <row r="437" spans="1:46" hidden="1">
      <c r="A437" s="24"/>
      <c r="B437" s="26" t="s">
        <v>772</v>
      </c>
      <c r="C437" s="26"/>
      <c r="D437" s="50"/>
      <c r="E437" s="51"/>
      <c r="F437" s="50"/>
      <c r="G437" s="52"/>
      <c r="H437" s="50"/>
      <c r="I437" s="53"/>
      <c r="J437" s="50"/>
      <c r="K437" s="53"/>
      <c r="L437" s="50"/>
      <c r="M437" s="57"/>
      <c r="N437" s="55"/>
      <c r="O437" s="57"/>
      <c r="P437" s="57"/>
      <c r="Q437" s="59"/>
      <c r="R437" s="57"/>
      <c r="S437" s="57"/>
      <c r="T437" s="59"/>
      <c r="U437" s="57"/>
      <c r="V437" s="57"/>
      <c r="W437" s="59"/>
      <c r="X437" s="57"/>
      <c r="Y437" s="57"/>
      <c r="Z437" s="59"/>
      <c r="AA437" s="57"/>
      <c r="AB437" s="57"/>
      <c r="AC437" s="59"/>
      <c r="AD437" s="57"/>
      <c r="AE437" s="57"/>
      <c r="AF437" s="59"/>
      <c r="AG437" s="57"/>
      <c r="AH437" s="57"/>
      <c r="AI437" s="59"/>
      <c r="AJ437" s="57"/>
      <c r="AK437" s="57"/>
      <c r="AL437" s="59" t="str">
        <f t="shared" si="165"/>
        <v/>
      </c>
      <c r="AM437" s="57"/>
      <c r="AN437" s="57"/>
      <c r="AO437" s="59" t="str">
        <f t="shared" si="166"/>
        <v/>
      </c>
      <c r="AP437" s="57"/>
      <c r="AQ437" s="59" t="str">
        <f t="shared" si="160"/>
        <v/>
      </c>
      <c r="AR437" s="57"/>
      <c r="AS437" s="57"/>
      <c r="AT437" s="59" t="str">
        <f t="shared" si="161"/>
        <v/>
      </c>
    </row>
    <row r="438" spans="1:46" hidden="1">
      <c r="A438" s="24"/>
      <c r="B438" s="26" t="s">
        <v>276</v>
      </c>
      <c r="C438" s="26" t="s">
        <v>444</v>
      </c>
      <c r="D438" s="50"/>
      <c r="E438" s="51"/>
      <c r="F438" s="50" t="s">
        <v>448</v>
      </c>
      <c r="G438" s="52"/>
      <c r="H438" s="50"/>
      <c r="I438" s="53"/>
      <c r="J438" s="50" t="s">
        <v>448</v>
      </c>
      <c r="K438" s="53"/>
      <c r="L438" s="50"/>
      <c r="M438" s="57"/>
      <c r="N438" s="55"/>
      <c r="O438" s="57"/>
      <c r="P438" s="57"/>
      <c r="Q438" s="59" t="str">
        <f>IF(MIN(IF(ISBLANK(O438),N438,O438),IF(ISBLANK(N438),O438,N438))=0,"",MIN(IF(ISBLANK(O438),N438,O438),IF(ISBLANK(N438),O438,N438)))</f>
        <v/>
      </c>
      <c r="R438" s="57"/>
      <c r="S438" s="57"/>
      <c r="T438" s="59" t="str">
        <f>IF(MIN(IF(ISBLANK(R438),Q438,R438),IF(ISBLANK(Q438),R438,Q438))=0,"",MIN(IF(ISBLANK(R438),Q438,R438),IF(ISBLANK(Q438),R438,Q438)))</f>
        <v/>
      </c>
      <c r="U438" s="57"/>
      <c r="V438" s="57"/>
      <c r="W438" s="59" t="str">
        <f>IF(MIN(IF(ISBLANK(U438),T438,U438),IF(ISBLANK(T438),U438,T438))=0,"",MIN(IF(ISBLANK(U438),T438,U438),IF(ISBLANK(T438),U438,T438)))</f>
        <v/>
      </c>
      <c r="X438" s="57"/>
      <c r="Y438" s="57"/>
      <c r="Z438" s="59" t="str">
        <f>IF(MIN(IF(ISBLANK(X438),W438,X438),IF(ISBLANK(W438),X438,W438))=0,"",MIN(IF(ISBLANK(X438),W438,X438),IF(ISBLANK(W438),X438,W438)))</f>
        <v/>
      </c>
      <c r="AA438" s="57"/>
      <c r="AB438" s="57"/>
      <c r="AC438" s="59" t="str">
        <f>IF(MIN(IF(ISBLANK(Z438),AA438,Z438),IF(ISBLANK(AA438),Z438,AA438))=0,"",MIN(IF(ISBLANK(Z438),AA438,Z438),IF(ISBLANK(AA438),Z438,AA438)))</f>
        <v/>
      </c>
      <c r="AD438" s="57"/>
      <c r="AE438" s="57"/>
      <c r="AF438" s="59" t="str">
        <f>IF(MIN(IF(ISBLANK(AC438),AD438,AC438),IF(ISBLANK(AD438),AC438,AD438))=0,"",MIN(IF(ISBLANK(AC438),AD438,AC438),IF(ISBLANK(AD438),AC438,AD438)))</f>
        <v/>
      </c>
      <c r="AG438" s="57"/>
      <c r="AH438" s="57"/>
      <c r="AI438" s="59" t="str">
        <f>IF(MIN(IF(ISBLANK(AF438),AG438,AF438),IF(ISBLANK(AG438),AF438,AG438))=0,"",MIN(IF(ISBLANK(AF438),AG438,AF438),IF(ISBLANK(AG438),AF438,AG438)))</f>
        <v/>
      </c>
      <c r="AJ438" s="57"/>
      <c r="AK438" s="57"/>
      <c r="AL438" s="59" t="str">
        <f t="shared" si="165"/>
        <v/>
      </c>
      <c r="AM438" s="57"/>
      <c r="AN438" s="57"/>
      <c r="AO438" s="59" t="str">
        <f t="shared" si="166"/>
        <v/>
      </c>
      <c r="AP438" s="57"/>
      <c r="AQ438" s="59" t="str">
        <f t="shared" si="160"/>
        <v/>
      </c>
      <c r="AR438" s="57"/>
      <c r="AS438" s="57"/>
      <c r="AT438" s="59" t="str">
        <f t="shared" si="161"/>
        <v/>
      </c>
    </row>
    <row r="439" spans="1:46" hidden="1">
      <c r="A439" s="24"/>
      <c r="B439" s="26" t="s">
        <v>655</v>
      </c>
      <c r="C439" s="26"/>
      <c r="D439" s="50"/>
      <c r="E439" s="51"/>
      <c r="F439" s="50"/>
      <c r="G439" s="52"/>
      <c r="H439" s="50"/>
      <c r="I439" s="53"/>
      <c r="J439" s="50"/>
      <c r="K439" s="53"/>
      <c r="L439" s="50"/>
      <c r="M439" s="57"/>
      <c r="N439" s="55"/>
      <c r="O439" s="57"/>
      <c r="P439" s="57"/>
      <c r="Q439" s="59"/>
      <c r="R439" s="57"/>
      <c r="S439" s="57"/>
      <c r="T439" s="59"/>
      <c r="U439" s="57"/>
      <c r="V439" s="57"/>
      <c r="W439" s="59"/>
      <c r="X439" s="57">
        <v>6.6203703703703702E-3</v>
      </c>
      <c r="Y439" s="57"/>
      <c r="Z439" s="59">
        <f>IF(MIN(IF(ISBLANK(X439),W439,X439),IF(ISBLANK(W439),X439,W439))=0,"",MIN(IF(ISBLANK(X439),W439,X439),IF(ISBLANK(W439),X439,W439)))</f>
        <v>6.6203703703703702E-3</v>
      </c>
      <c r="AA439" s="57"/>
      <c r="AB439" s="57"/>
      <c r="AC439" s="59">
        <f>IF(MIN(IF(ISBLANK(Z439),AA439,Z439),IF(ISBLANK(AA439),Z439,AA439))=0,"",MIN(IF(ISBLANK(Z439),AA439,Z439),IF(ISBLANK(AA439),Z439,AA439)))</f>
        <v>6.6203703703703702E-3</v>
      </c>
      <c r="AD439" s="57"/>
      <c r="AE439" s="57"/>
      <c r="AF439" s="59">
        <f>IF(MIN(IF(ISBLANK(AC439),AD439,AC439),IF(ISBLANK(AD439),AC439,AD439))=0,"",MIN(IF(ISBLANK(AC439),AD439,AC439),IF(ISBLANK(AD439),AC439,AD439)))</f>
        <v>6.6203703703703702E-3</v>
      </c>
      <c r="AG439" s="57"/>
      <c r="AH439" s="57"/>
      <c r="AI439" s="59">
        <f>IF(MIN(IF(ISBLANK(AF439),AG439,AF439),IF(ISBLANK(AG439),AF439,AG439))=0,"",MIN(IF(ISBLANK(AF439),AG439,AF439),IF(ISBLANK(AG439),AF439,AG439)))</f>
        <v>6.6203703703703702E-3</v>
      </c>
      <c r="AJ439" s="57"/>
      <c r="AK439" s="57"/>
      <c r="AL439" s="59">
        <f t="shared" si="165"/>
        <v>6.6203703703703702E-3</v>
      </c>
      <c r="AM439" s="57"/>
      <c r="AN439" s="57"/>
      <c r="AO439" s="59">
        <f t="shared" si="166"/>
        <v>6.6203703703703702E-3</v>
      </c>
      <c r="AP439" s="57"/>
      <c r="AQ439" s="59">
        <f t="shared" si="160"/>
        <v>6.6203703703703702E-3</v>
      </c>
      <c r="AR439" s="57"/>
      <c r="AS439" s="57"/>
      <c r="AT439" s="59">
        <f t="shared" si="161"/>
        <v>6.6203703703703702E-3</v>
      </c>
    </row>
    <row r="440" spans="1:46" hidden="1">
      <c r="A440" s="24"/>
      <c r="B440" s="26" t="s">
        <v>159</v>
      </c>
      <c r="C440" s="26" t="s">
        <v>444</v>
      </c>
      <c r="D440" s="50">
        <v>9.17</v>
      </c>
      <c r="E440" s="51"/>
      <c r="F440" s="50">
        <v>9.17</v>
      </c>
      <c r="G440" s="52"/>
      <c r="H440" s="50">
        <v>9.17</v>
      </c>
      <c r="I440" s="53"/>
      <c r="J440" s="50">
        <v>9.17</v>
      </c>
      <c r="K440" s="53"/>
      <c r="L440" s="50">
        <v>9.17</v>
      </c>
      <c r="M440" s="57"/>
      <c r="N440" s="55">
        <v>6.4467592592592597E-3</v>
      </c>
      <c r="O440" s="57"/>
      <c r="P440" s="57"/>
      <c r="Q440" s="59">
        <f>IF(MIN(IF(ISBLANK(O440),N440,O440),IF(ISBLANK(N440),O440,N440))=0,"",MIN(IF(ISBLANK(O440),N440,O440),IF(ISBLANK(N440),O440,N440)))</f>
        <v>6.4467592592592597E-3</v>
      </c>
      <c r="R440" s="57"/>
      <c r="S440" s="57"/>
      <c r="T440" s="59">
        <f>IF(MIN(IF(ISBLANK(R440),Q440,R440),IF(ISBLANK(Q440),R440,Q440))=0,"",MIN(IF(ISBLANK(R440),Q440,R440),IF(ISBLANK(Q440),R440,Q440)))</f>
        <v>6.4467592592592597E-3</v>
      </c>
      <c r="U440" s="57"/>
      <c r="V440" s="57"/>
      <c r="W440" s="59">
        <f>IF(MIN(IF(ISBLANK(U440),T440,U440),IF(ISBLANK(T440),U440,T440))=0,"",MIN(IF(ISBLANK(U440),T440,U440),IF(ISBLANK(T440),U440,T440)))</f>
        <v>6.4467592592592597E-3</v>
      </c>
      <c r="X440" s="57"/>
      <c r="Y440" s="57"/>
      <c r="Z440" s="59">
        <f>IF(MIN(IF(ISBLANK(X440),W440,X440),IF(ISBLANK(W440),X440,W440))=0,"",MIN(IF(ISBLANK(X440),W440,X440),IF(ISBLANK(W440),X440,W440)))</f>
        <v>6.4467592592592597E-3</v>
      </c>
      <c r="AA440" s="57"/>
      <c r="AB440" s="57"/>
      <c r="AC440" s="59">
        <f>IF(MIN(IF(ISBLANK(Z440),AA440,Z440),IF(ISBLANK(AA440),Z440,AA440))=0,"",MIN(IF(ISBLANK(Z440),AA440,Z440),IF(ISBLANK(AA440),Z440,AA440)))</f>
        <v>6.4467592592592597E-3</v>
      </c>
      <c r="AD440" s="57"/>
      <c r="AE440" s="57"/>
      <c r="AF440" s="59">
        <f>IF(MIN(IF(ISBLANK(AC440),AD440,AC440),IF(ISBLANK(AD440),AC440,AD440))=0,"",MIN(IF(ISBLANK(AC440),AD440,AC440),IF(ISBLANK(AD440),AC440,AD440)))</f>
        <v>6.4467592592592597E-3</v>
      </c>
      <c r="AG440" s="57"/>
      <c r="AH440" s="57"/>
      <c r="AI440" s="59">
        <f>IF(MIN(IF(ISBLANK(AF440),AG440,AF440),IF(ISBLANK(AG440),AF440,AG440))=0,"",MIN(IF(ISBLANK(AF440),AG440,AF440),IF(ISBLANK(AG440),AF440,AG440)))</f>
        <v>6.4467592592592597E-3</v>
      </c>
      <c r="AJ440" s="57"/>
      <c r="AK440" s="57"/>
      <c r="AL440" s="59">
        <f t="shared" si="165"/>
        <v>6.4467592592592597E-3</v>
      </c>
      <c r="AM440" s="57"/>
      <c r="AN440" s="57"/>
      <c r="AO440" s="59">
        <f t="shared" si="166"/>
        <v>6.4467592592592597E-3</v>
      </c>
      <c r="AP440" s="57"/>
      <c r="AQ440" s="59">
        <f t="shared" si="160"/>
        <v>6.4467592592592597E-3</v>
      </c>
      <c r="AR440" s="57"/>
      <c r="AS440" s="57"/>
      <c r="AT440" s="59">
        <f t="shared" si="161"/>
        <v>6.4467592592592597E-3</v>
      </c>
    </row>
    <row r="441" spans="1:46" hidden="1">
      <c r="A441" s="24"/>
      <c r="B441" s="26" t="s">
        <v>229</v>
      </c>
      <c r="C441" s="26" t="s">
        <v>443</v>
      </c>
      <c r="D441" s="50" t="s">
        <v>259</v>
      </c>
      <c r="E441" s="51"/>
      <c r="F441" s="50" t="s">
        <v>259</v>
      </c>
      <c r="G441" s="52"/>
      <c r="H441" s="50" t="s">
        <v>259</v>
      </c>
      <c r="I441" s="53"/>
      <c r="J441" s="50" t="s">
        <v>259</v>
      </c>
      <c r="K441" s="53"/>
      <c r="L441" s="50" t="s">
        <v>259</v>
      </c>
      <c r="M441" s="57"/>
      <c r="N441" s="55">
        <v>6.0185185185185177E-3</v>
      </c>
      <c r="O441" s="57"/>
      <c r="P441" s="57"/>
      <c r="Q441" s="59">
        <f>IF(MIN(IF(ISBLANK(O441),N441,O441),IF(ISBLANK(N441),O441,N441))=0,"",MIN(IF(ISBLANK(O441),N441,O441),IF(ISBLANK(N441),O441,N441)))</f>
        <v>6.0185185185185177E-3</v>
      </c>
      <c r="R441" s="57"/>
      <c r="S441" s="57"/>
      <c r="T441" s="59">
        <f>IF(MIN(IF(ISBLANK(R441),Q441,R441),IF(ISBLANK(Q441),R441,Q441))=0,"",MIN(IF(ISBLANK(R441),Q441,R441),IF(ISBLANK(Q441),R441,Q441)))</f>
        <v>6.0185185185185177E-3</v>
      </c>
      <c r="U441" s="57"/>
      <c r="V441" s="57"/>
      <c r="W441" s="59">
        <f>IF(MIN(IF(ISBLANK(U441),T441,U441),IF(ISBLANK(T441),U441,T441))=0,"",MIN(IF(ISBLANK(U441),T441,U441),IF(ISBLANK(T441),U441,T441)))</f>
        <v>6.0185185185185177E-3</v>
      </c>
      <c r="X441" s="57"/>
      <c r="Y441" s="57"/>
      <c r="Z441" s="59">
        <f>IF(MIN(IF(ISBLANK(X441),W441,X441),IF(ISBLANK(W441),X441,W441))=0,"",MIN(IF(ISBLANK(X441),W441,X441),IF(ISBLANK(W441),X441,W441)))</f>
        <v>6.0185185185185177E-3</v>
      </c>
      <c r="AA441" s="57"/>
      <c r="AB441" s="57"/>
      <c r="AC441" s="59">
        <f>IF(MIN(IF(ISBLANK(Z441),AA441,Z441),IF(ISBLANK(AA441),Z441,AA441))=0,"",MIN(IF(ISBLANK(Z441),AA441,Z441),IF(ISBLANK(AA441),Z441,AA441)))</f>
        <v>6.0185185185185177E-3</v>
      </c>
      <c r="AD441" s="57"/>
      <c r="AE441" s="57"/>
      <c r="AF441" s="59">
        <f>IF(MIN(IF(ISBLANK(AC441),AD441,AC441),IF(ISBLANK(AD441),AC441,AD441))=0,"",MIN(IF(ISBLANK(AC441),AD441,AC441),IF(ISBLANK(AD441),AC441,AD441)))</f>
        <v>6.0185185185185177E-3</v>
      </c>
      <c r="AG441" s="57"/>
      <c r="AH441" s="57"/>
      <c r="AI441" s="59">
        <f>IF(MIN(IF(ISBLANK(AF441),AG441,AF441),IF(ISBLANK(AG441),AF441,AG441))=0,"",MIN(IF(ISBLANK(AF441),AG441,AF441),IF(ISBLANK(AG441),AF441,AG441)))</f>
        <v>6.0185185185185177E-3</v>
      </c>
      <c r="AJ441" s="57"/>
      <c r="AK441" s="57"/>
      <c r="AL441" s="59">
        <f t="shared" si="165"/>
        <v>6.0185185185185177E-3</v>
      </c>
      <c r="AM441" s="57"/>
      <c r="AN441" s="57"/>
      <c r="AO441" s="59">
        <f t="shared" si="166"/>
        <v>6.0185185185185177E-3</v>
      </c>
      <c r="AP441" s="57"/>
      <c r="AQ441" s="59">
        <f t="shared" si="160"/>
        <v>6.0185185185185177E-3</v>
      </c>
      <c r="AR441" s="57"/>
      <c r="AS441" s="57"/>
      <c r="AT441" s="59">
        <f t="shared" si="161"/>
        <v>6.0185185185185177E-3</v>
      </c>
    </row>
    <row r="442" spans="1:46">
      <c r="A442" s="24" t="s">
        <v>792</v>
      </c>
      <c r="B442" s="26" t="s">
        <v>817</v>
      </c>
      <c r="C442" s="26"/>
      <c r="D442" s="55"/>
      <c r="E442" s="51"/>
      <c r="F442" s="55"/>
      <c r="G442" s="52"/>
      <c r="H442" s="55"/>
      <c r="I442" s="53"/>
      <c r="J442" s="55"/>
      <c r="K442" s="53"/>
      <c r="L442" s="55"/>
      <c r="M442" s="57"/>
      <c r="N442" s="55"/>
      <c r="O442" s="57"/>
      <c r="P442" s="57"/>
      <c r="Q442" s="59"/>
      <c r="R442" s="57"/>
      <c r="S442" s="57"/>
      <c r="T442" s="59"/>
      <c r="U442" s="57"/>
      <c r="V442" s="57"/>
      <c r="W442" s="59"/>
      <c r="X442" s="57"/>
      <c r="Y442" s="57"/>
      <c r="Z442" s="59"/>
      <c r="AA442" s="57"/>
      <c r="AB442" s="57"/>
      <c r="AC442" s="59"/>
      <c r="AD442" s="57"/>
      <c r="AE442" s="57"/>
      <c r="AF442" s="59"/>
      <c r="AG442" s="57"/>
      <c r="AH442" s="57"/>
      <c r="AI442" s="59"/>
      <c r="AJ442" s="57"/>
      <c r="AK442" s="57"/>
      <c r="AL442" s="59"/>
      <c r="AM442" s="57">
        <v>5.5439814814814822E-3</v>
      </c>
      <c r="AN442" s="57"/>
      <c r="AO442" s="59">
        <f t="shared" si="166"/>
        <v>5.5439814814814822E-3</v>
      </c>
      <c r="AP442" s="57"/>
      <c r="AQ442" s="59">
        <f t="shared" si="160"/>
        <v>5.5439814814814822E-3</v>
      </c>
      <c r="AR442" s="57"/>
      <c r="AS442" s="57"/>
      <c r="AT442" s="59">
        <f t="shared" si="161"/>
        <v>5.5439814814814822E-3</v>
      </c>
    </row>
    <row r="443" spans="1:46" hidden="1">
      <c r="A443" s="24"/>
      <c r="B443" s="26" t="s">
        <v>805</v>
      </c>
      <c r="C443" s="26"/>
      <c r="D443" s="50"/>
      <c r="E443" s="51"/>
      <c r="F443" s="50"/>
      <c r="G443" s="52"/>
      <c r="H443" s="50"/>
      <c r="I443" s="53"/>
      <c r="J443" s="50"/>
      <c r="K443" s="53"/>
      <c r="L443" s="50"/>
      <c r="M443" s="57"/>
      <c r="N443" s="55"/>
      <c r="O443" s="57"/>
      <c r="P443" s="57"/>
      <c r="Q443" s="59"/>
      <c r="R443" s="57"/>
      <c r="S443" s="57"/>
      <c r="T443" s="59"/>
      <c r="U443" s="57"/>
      <c r="V443" s="57"/>
      <c r="W443" s="59"/>
      <c r="X443" s="57"/>
      <c r="Y443" s="57"/>
      <c r="Z443" s="59"/>
      <c r="AA443" s="57"/>
      <c r="AB443" s="57"/>
      <c r="AC443" s="59"/>
      <c r="AD443" s="57"/>
      <c r="AE443" s="57"/>
      <c r="AF443" s="59"/>
      <c r="AG443" s="57"/>
      <c r="AH443" s="57"/>
      <c r="AI443" s="59"/>
      <c r="AJ443" s="57"/>
      <c r="AK443" s="57"/>
      <c r="AL443" s="59"/>
      <c r="AM443" s="57"/>
      <c r="AN443" s="57"/>
      <c r="AO443" s="59" t="str">
        <f t="shared" si="166"/>
        <v/>
      </c>
      <c r="AP443" s="57"/>
      <c r="AQ443" s="59" t="str">
        <f t="shared" si="160"/>
        <v/>
      </c>
      <c r="AR443" s="57"/>
      <c r="AS443" s="57"/>
      <c r="AT443" s="59" t="str">
        <f t="shared" si="161"/>
        <v/>
      </c>
    </row>
    <row r="444" spans="1:46" hidden="1">
      <c r="A444" s="24"/>
      <c r="B444" s="26" t="s">
        <v>166</v>
      </c>
      <c r="C444" s="26" t="s">
        <v>444</v>
      </c>
      <c r="D444" s="50">
        <v>11.13</v>
      </c>
      <c r="E444" s="51"/>
      <c r="F444" s="50">
        <v>11.13</v>
      </c>
      <c r="G444" s="52"/>
      <c r="H444" s="50">
        <v>11.13</v>
      </c>
      <c r="I444" s="53"/>
      <c r="J444" s="50">
        <v>11.13</v>
      </c>
      <c r="K444" s="53"/>
      <c r="L444" s="50">
        <v>11.13</v>
      </c>
      <c r="M444" s="57"/>
      <c r="N444" s="55">
        <v>7.789351851851852E-3</v>
      </c>
      <c r="O444" s="57"/>
      <c r="P444" s="57"/>
      <c r="Q444" s="59">
        <f>IF(MIN(IF(ISBLANK(O444),N444,O444),IF(ISBLANK(N444),O444,N444))=0,"",MIN(IF(ISBLANK(O444),N444,O444),IF(ISBLANK(N444),O444,N444)))</f>
        <v>7.789351851851852E-3</v>
      </c>
      <c r="R444" s="57"/>
      <c r="S444" s="57"/>
      <c r="T444" s="59">
        <f>IF(MIN(IF(ISBLANK(R444),Q444,R444),IF(ISBLANK(Q444),R444,Q444))=0,"",MIN(IF(ISBLANK(R444),Q444,R444),IF(ISBLANK(Q444),R444,Q444)))</f>
        <v>7.789351851851852E-3</v>
      </c>
      <c r="U444" s="57"/>
      <c r="V444" s="57"/>
      <c r="W444" s="59">
        <f>IF(MIN(IF(ISBLANK(U444),T444,U444),IF(ISBLANK(T444),U444,T444))=0,"",MIN(IF(ISBLANK(U444),T444,U444),IF(ISBLANK(T444),U444,T444)))</f>
        <v>7.789351851851852E-3</v>
      </c>
      <c r="X444" s="57"/>
      <c r="Y444" s="57"/>
      <c r="Z444" s="59">
        <f>IF(MIN(IF(ISBLANK(X444),W444,X444),IF(ISBLANK(W444),X444,W444))=0,"",MIN(IF(ISBLANK(X444),W444,X444),IF(ISBLANK(W444),X444,W444)))</f>
        <v>7.789351851851852E-3</v>
      </c>
      <c r="AA444" s="57"/>
      <c r="AB444" s="57"/>
      <c r="AC444" s="59">
        <f t="shared" ref="AC444:AC454" si="167">IF(MIN(IF(ISBLANK(Z444),AA444,Z444),IF(ISBLANK(AA444),Z444,AA444))=0,"",MIN(IF(ISBLANK(Z444),AA444,Z444),IF(ISBLANK(AA444),Z444,AA444)))</f>
        <v>7.789351851851852E-3</v>
      </c>
      <c r="AD444" s="57"/>
      <c r="AE444" s="57"/>
      <c r="AF444" s="59">
        <f t="shared" ref="AF444:AF454" si="168">IF(MIN(IF(ISBLANK(AC444),AD444,AC444),IF(ISBLANK(AD444),AC444,AD444))=0,"",MIN(IF(ISBLANK(AC444),AD444,AC444),IF(ISBLANK(AD444),AC444,AD444)))</f>
        <v>7.789351851851852E-3</v>
      </c>
      <c r="AG444" s="57"/>
      <c r="AH444" s="57"/>
      <c r="AI444" s="59">
        <f t="shared" ref="AI444:AI454" si="169">IF(MIN(IF(ISBLANK(AF444),AG444,AF444),IF(ISBLANK(AG444),AF444,AG444))=0,"",MIN(IF(ISBLANK(AF444),AG444,AF444),IF(ISBLANK(AG444),AF444,AG444)))</f>
        <v>7.789351851851852E-3</v>
      </c>
      <c r="AJ444" s="57"/>
      <c r="AK444" s="57"/>
      <c r="AL444" s="59">
        <f t="shared" ref="AL444:AL458" si="170">IF(MIN(IF(ISBLANK(AI444),AJ444,AI444),IF(ISBLANK(AJ444),AI444,AJ444))=0,"",MIN(IF(ISBLANK(AI444),AJ444,AI444),IF(ISBLANK(AJ444),AI444,AJ444)))</f>
        <v>7.789351851851852E-3</v>
      </c>
      <c r="AM444" s="57"/>
      <c r="AN444" s="57"/>
      <c r="AO444" s="59">
        <f t="shared" si="166"/>
        <v>7.789351851851852E-3</v>
      </c>
      <c r="AP444" s="57"/>
      <c r="AQ444" s="59">
        <f t="shared" si="160"/>
        <v>7.789351851851852E-3</v>
      </c>
      <c r="AR444" s="57"/>
      <c r="AS444" s="57"/>
      <c r="AT444" s="59">
        <f t="shared" si="161"/>
        <v>7.789351851851852E-3</v>
      </c>
    </row>
    <row r="445" spans="1:46" hidden="1">
      <c r="A445" s="24"/>
      <c r="B445" s="26" t="s">
        <v>403</v>
      </c>
      <c r="C445" s="26" t="s">
        <v>444</v>
      </c>
      <c r="D445" s="50"/>
      <c r="E445" s="51"/>
      <c r="F445" s="50"/>
      <c r="G445" s="52"/>
      <c r="H445" s="50"/>
      <c r="I445" s="53"/>
      <c r="J445" s="50" t="s">
        <v>448</v>
      </c>
      <c r="K445" s="53"/>
      <c r="L445" s="50"/>
      <c r="M445" s="57"/>
      <c r="N445" s="55"/>
      <c r="O445" s="57"/>
      <c r="P445" s="57"/>
      <c r="Q445" s="59" t="str">
        <f>IF(MIN(IF(ISBLANK(O445),N445,O445),IF(ISBLANK(N445),O445,N445))=0,"",MIN(IF(ISBLANK(O445),N445,O445),IF(ISBLANK(N445),O445,N445)))</f>
        <v/>
      </c>
      <c r="R445" s="57"/>
      <c r="S445" s="57"/>
      <c r="T445" s="59" t="str">
        <f>IF(MIN(IF(ISBLANK(R445),Q445,R445),IF(ISBLANK(Q445),R445,Q445))=0,"",MIN(IF(ISBLANK(R445),Q445,R445),IF(ISBLANK(Q445),R445,Q445)))</f>
        <v/>
      </c>
      <c r="U445" s="57"/>
      <c r="V445" s="57"/>
      <c r="W445" s="59" t="str">
        <f>IF(MIN(IF(ISBLANK(U445),T445,U445),IF(ISBLANK(T445),U445,T445))=0,"",MIN(IF(ISBLANK(U445),T445,U445),IF(ISBLANK(T445),U445,T445)))</f>
        <v/>
      </c>
      <c r="X445" s="57"/>
      <c r="Y445" s="57"/>
      <c r="Z445" s="59" t="str">
        <f>IF(MIN(IF(ISBLANK(X445),W445,X445),IF(ISBLANK(W445),X445,W445))=0,"",MIN(IF(ISBLANK(X445),W445,X445),IF(ISBLANK(W445),X445,W445)))</f>
        <v/>
      </c>
      <c r="AA445" s="57"/>
      <c r="AB445" s="57"/>
      <c r="AC445" s="59" t="str">
        <f t="shared" si="167"/>
        <v/>
      </c>
      <c r="AD445" s="57"/>
      <c r="AE445" s="57"/>
      <c r="AF445" s="59" t="str">
        <f t="shared" si="168"/>
        <v/>
      </c>
      <c r="AG445" s="57"/>
      <c r="AH445" s="57"/>
      <c r="AI445" s="59" t="str">
        <f t="shared" si="169"/>
        <v/>
      </c>
      <c r="AJ445" s="57"/>
      <c r="AK445" s="57"/>
      <c r="AL445" s="59" t="str">
        <f t="shared" si="170"/>
        <v/>
      </c>
      <c r="AM445" s="57"/>
      <c r="AN445" s="57"/>
      <c r="AO445" s="59" t="str">
        <f t="shared" si="166"/>
        <v/>
      </c>
      <c r="AP445" s="57"/>
      <c r="AQ445" s="59" t="str">
        <f t="shared" si="160"/>
        <v/>
      </c>
      <c r="AR445" s="57"/>
      <c r="AS445" s="57"/>
      <c r="AT445" s="59" t="str">
        <f t="shared" si="161"/>
        <v/>
      </c>
    </row>
    <row r="446" spans="1:46" hidden="1">
      <c r="A446" s="24"/>
      <c r="B446" s="26" t="s">
        <v>774</v>
      </c>
      <c r="C446" s="26"/>
      <c r="D446" s="50"/>
      <c r="E446" s="51"/>
      <c r="F446" s="50"/>
      <c r="G446" s="52"/>
      <c r="H446" s="50"/>
      <c r="I446" s="53"/>
      <c r="J446" s="50"/>
      <c r="K446" s="53"/>
      <c r="L446" s="50"/>
      <c r="M446" s="57"/>
      <c r="N446" s="55"/>
      <c r="O446" s="57"/>
      <c r="P446" s="57"/>
      <c r="Q446" s="59"/>
      <c r="R446" s="57"/>
      <c r="S446" s="57"/>
      <c r="T446" s="59"/>
      <c r="U446" s="57"/>
      <c r="V446" s="57"/>
      <c r="W446" s="59"/>
      <c r="X446" s="57"/>
      <c r="Y446" s="57"/>
      <c r="Z446" s="59"/>
      <c r="AA446" s="57">
        <v>8.1249999999999985E-3</v>
      </c>
      <c r="AB446" s="57"/>
      <c r="AC446" s="59">
        <f t="shared" si="167"/>
        <v>8.1249999999999985E-3</v>
      </c>
      <c r="AD446" s="57">
        <v>7.905092592592592E-3</v>
      </c>
      <c r="AE446" s="57"/>
      <c r="AF446" s="59">
        <f t="shared" si="168"/>
        <v>7.905092592592592E-3</v>
      </c>
      <c r="AG446" s="57"/>
      <c r="AH446" s="57"/>
      <c r="AI446" s="59">
        <f t="shared" si="169"/>
        <v>7.905092592592592E-3</v>
      </c>
      <c r="AJ446" s="57"/>
      <c r="AK446" s="57"/>
      <c r="AL446" s="59">
        <f t="shared" si="170"/>
        <v>7.905092592592592E-3</v>
      </c>
      <c r="AM446" s="57"/>
      <c r="AN446" s="57"/>
      <c r="AO446" s="59">
        <f t="shared" si="166"/>
        <v>7.905092592592592E-3</v>
      </c>
      <c r="AP446" s="57"/>
      <c r="AQ446" s="59">
        <f t="shared" si="160"/>
        <v>7.905092592592592E-3</v>
      </c>
      <c r="AR446" s="57"/>
      <c r="AS446" s="57"/>
      <c r="AT446" s="59">
        <f t="shared" si="161"/>
        <v>7.905092592592592E-3</v>
      </c>
    </row>
    <row r="447" spans="1:46" hidden="1">
      <c r="A447" s="24"/>
      <c r="B447" s="26" t="s">
        <v>404</v>
      </c>
      <c r="C447" s="26" t="s">
        <v>444</v>
      </c>
      <c r="D447" s="50"/>
      <c r="E447" s="51"/>
      <c r="F447" s="50"/>
      <c r="G447" s="52"/>
      <c r="H447" s="50"/>
      <c r="I447" s="53"/>
      <c r="J447" s="50" t="s">
        <v>448</v>
      </c>
      <c r="K447" s="53"/>
      <c r="L447" s="50"/>
      <c r="M447" s="57"/>
      <c r="N447" s="55"/>
      <c r="O447" s="57"/>
      <c r="P447" s="57"/>
      <c r="Q447" s="59" t="str">
        <f>IF(MIN(IF(ISBLANK(O447),N447,O447),IF(ISBLANK(N447),O447,N447))=0,"",MIN(IF(ISBLANK(O447),N447,O447),IF(ISBLANK(N447),O447,N447)))</f>
        <v/>
      </c>
      <c r="R447" s="57"/>
      <c r="S447" s="57"/>
      <c r="T447" s="59" t="str">
        <f>IF(MIN(IF(ISBLANK(R447),Q447,R447),IF(ISBLANK(Q447),R447,Q447))=0,"",MIN(IF(ISBLANK(R447),Q447,R447),IF(ISBLANK(Q447),R447,Q447)))</f>
        <v/>
      </c>
      <c r="U447" s="57"/>
      <c r="V447" s="57"/>
      <c r="W447" s="59" t="str">
        <f>IF(MIN(IF(ISBLANK(U447),T447,U447),IF(ISBLANK(T447),U447,T447))=0,"",MIN(IF(ISBLANK(U447),T447,U447),IF(ISBLANK(T447),U447,T447)))</f>
        <v/>
      </c>
      <c r="X447" s="57"/>
      <c r="Y447" s="57"/>
      <c r="Z447" s="59" t="str">
        <f>IF(MIN(IF(ISBLANK(X447),W447,X447),IF(ISBLANK(W447),X447,W447))=0,"",MIN(IF(ISBLANK(X447),W447,X447),IF(ISBLANK(W447),X447,W447)))</f>
        <v/>
      </c>
      <c r="AA447" s="57"/>
      <c r="AB447" s="57"/>
      <c r="AC447" s="59" t="str">
        <f t="shared" si="167"/>
        <v/>
      </c>
      <c r="AD447" s="57"/>
      <c r="AE447" s="57"/>
      <c r="AF447" s="59" t="str">
        <f t="shared" si="168"/>
        <v/>
      </c>
      <c r="AG447" s="57"/>
      <c r="AH447" s="57"/>
      <c r="AI447" s="59" t="str">
        <f t="shared" si="169"/>
        <v/>
      </c>
      <c r="AJ447" s="57"/>
      <c r="AK447" s="57"/>
      <c r="AL447" s="59" t="str">
        <f t="shared" si="170"/>
        <v/>
      </c>
      <c r="AM447" s="57"/>
      <c r="AN447" s="57"/>
      <c r="AO447" s="59" t="str">
        <f t="shared" si="166"/>
        <v/>
      </c>
      <c r="AP447" s="57"/>
      <c r="AQ447" s="59" t="str">
        <f t="shared" si="160"/>
        <v/>
      </c>
      <c r="AR447" s="57"/>
      <c r="AS447" s="57"/>
      <c r="AT447" s="59" t="str">
        <f t="shared" si="161"/>
        <v/>
      </c>
    </row>
    <row r="448" spans="1:46" hidden="1">
      <c r="A448" s="24"/>
      <c r="B448" s="26" t="s">
        <v>329</v>
      </c>
      <c r="C448" s="26" t="s">
        <v>444</v>
      </c>
      <c r="D448" s="50"/>
      <c r="E448" s="51"/>
      <c r="F448" s="50" t="s">
        <v>448</v>
      </c>
      <c r="G448" s="52" t="s">
        <v>318</v>
      </c>
      <c r="H448" s="50">
        <v>9.2799999999999994</v>
      </c>
      <c r="I448" s="53">
        <v>9.08</v>
      </c>
      <c r="J448" s="50">
        <v>9.08</v>
      </c>
      <c r="K448" s="53"/>
      <c r="L448" s="50">
        <v>9.08</v>
      </c>
      <c r="M448" s="57">
        <v>6.5972222222222222E-3</v>
      </c>
      <c r="N448" s="55">
        <v>6.3425925925925915E-3</v>
      </c>
      <c r="O448" s="57"/>
      <c r="P448" s="57"/>
      <c r="Q448" s="59">
        <f>IF(MIN(IF(ISBLANK(O448),N448,O448),IF(ISBLANK(N448),O448,N448))=0,"",MIN(IF(ISBLANK(O448),N448,O448),IF(ISBLANK(N448),O448,N448)))</f>
        <v>6.3425925925925915E-3</v>
      </c>
      <c r="R448" s="57"/>
      <c r="S448" s="57"/>
      <c r="T448" s="59">
        <f>IF(MIN(IF(ISBLANK(R448),Q448,R448),IF(ISBLANK(Q448),R448,Q448))=0,"",MIN(IF(ISBLANK(R448),Q448,R448),IF(ISBLANK(Q448),R448,Q448)))</f>
        <v>6.3425925925925915E-3</v>
      </c>
      <c r="U448" s="57"/>
      <c r="V448" s="57"/>
      <c r="W448" s="59">
        <f>IF(MIN(IF(ISBLANK(U448),T448,U448),IF(ISBLANK(T448),U448,T448))=0,"",MIN(IF(ISBLANK(U448),T448,U448),IF(ISBLANK(T448),U448,T448)))</f>
        <v>6.3425925925925915E-3</v>
      </c>
      <c r="X448" s="57"/>
      <c r="Y448" s="57"/>
      <c r="Z448" s="59">
        <f>IF(MIN(IF(ISBLANK(X448),W448,X448),IF(ISBLANK(W448),X448,W448))=0,"",MIN(IF(ISBLANK(X448),W448,X448),IF(ISBLANK(W448),X448,W448)))</f>
        <v>6.3425925925925915E-3</v>
      </c>
      <c r="AA448" s="57"/>
      <c r="AB448" s="57"/>
      <c r="AC448" s="59">
        <f t="shared" si="167"/>
        <v>6.3425925925925915E-3</v>
      </c>
      <c r="AD448" s="57"/>
      <c r="AE448" s="57"/>
      <c r="AF448" s="59">
        <f t="shared" si="168"/>
        <v>6.3425925925925915E-3</v>
      </c>
      <c r="AG448" s="57"/>
      <c r="AH448" s="57"/>
      <c r="AI448" s="59">
        <f t="shared" si="169"/>
        <v>6.3425925925925915E-3</v>
      </c>
      <c r="AJ448" s="57"/>
      <c r="AK448" s="57"/>
      <c r="AL448" s="59">
        <f t="shared" si="170"/>
        <v>6.3425925925925915E-3</v>
      </c>
      <c r="AM448" s="57"/>
      <c r="AN448" s="57"/>
      <c r="AO448" s="59">
        <f t="shared" si="166"/>
        <v>6.3425925925925915E-3</v>
      </c>
      <c r="AP448" s="57"/>
      <c r="AQ448" s="59">
        <f t="shared" si="160"/>
        <v>6.3425925925925915E-3</v>
      </c>
      <c r="AR448" s="57"/>
      <c r="AS448" s="57"/>
      <c r="AT448" s="59">
        <f t="shared" si="161"/>
        <v>6.3425925925925915E-3</v>
      </c>
    </row>
    <row r="449" spans="1:46">
      <c r="A449" s="24" t="s">
        <v>792</v>
      </c>
      <c r="B449" s="26" t="s">
        <v>703</v>
      </c>
      <c r="C449" s="26"/>
      <c r="D449" s="50"/>
      <c r="E449" s="51"/>
      <c r="F449" s="50"/>
      <c r="G449" s="52"/>
      <c r="H449" s="50"/>
      <c r="I449" s="53"/>
      <c r="J449" s="50"/>
      <c r="K449" s="53"/>
      <c r="L449" s="50"/>
      <c r="M449" s="57"/>
      <c r="N449" s="55"/>
      <c r="O449" s="57"/>
      <c r="P449" s="57"/>
      <c r="Q449" s="59"/>
      <c r="R449" s="57"/>
      <c r="S449" s="57"/>
      <c r="T449" s="59"/>
      <c r="U449" s="57"/>
      <c r="V449" s="57"/>
      <c r="W449" s="59"/>
      <c r="X449" s="57"/>
      <c r="Y449" s="57"/>
      <c r="Z449" s="59"/>
      <c r="AA449" s="57">
        <v>6.2268518518518515E-3</v>
      </c>
      <c r="AB449" s="57"/>
      <c r="AC449" s="59">
        <f t="shared" si="167"/>
        <v>6.2268518518518515E-3</v>
      </c>
      <c r="AD449" s="57"/>
      <c r="AE449" s="57"/>
      <c r="AF449" s="59">
        <f t="shared" si="168"/>
        <v>6.2268518518518515E-3</v>
      </c>
      <c r="AG449" s="57"/>
      <c r="AH449" s="57"/>
      <c r="AI449" s="59">
        <f t="shared" si="169"/>
        <v>6.2268518518518515E-3</v>
      </c>
      <c r="AJ449" s="57"/>
      <c r="AK449" s="57"/>
      <c r="AL449" s="59">
        <f t="shared" si="170"/>
        <v>6.2268518518518515E-3</v>
      </c>
      <c r="AM449" s="57"/>
      <c r="AN449" s="57"/>
      <c r="AO449" s="59">
        <f t="shared" si="166"/>
        <v>6.2268518518518515E-3</v>
      </c>
      <c r="AP449" s="57">
        <v>5.9490740740740745E-3</v>
      </c>
      <c r="AQ449" s="59">
        <f t="shared" si="160"/>
        <v>5.9490740740740745E-3</v>
      </c>
      <c r="AR449" s="57">
        <v>6.0069444444444441E-3</v>
      </c>
      <c r="AS449" s="57"/>
      <c r="AT449" s="59">
        <f t="shared" si="161"/>
        <v>5.9490740740740745E-3</v>
      </c>
    </row>
    <row r="450" spans="1:46" hidden="1">
      <c r="A450" s="24"/>
      <c r="B450" s="26" t="s">
        <v>656</v>
      </c>
      <c r="C450" s="26"/>
      <c r="D450" s="50"/>
      <c r="E450" s="51"/>
      <c r="F450" s="50"/>
      <c r="G450" s="52"/>
      <c r="H450" s="50"/>
      <c r="I450" s="53"/>
      <c r="J450" s="50"/>
      <c r="K450" s="53"/>
      <c r="L450" s="50"/>
      <c r="M450" s="57"/>
      <c r="N450" s="55"/>
      <c r="O450" s="57"/>
      <c r="P450" s="57"/>
      <c r="Q450" s="59"/>
      <c r="R450" s="57"/>
      <c r="S450" s="57"/>
      <c r="T450" s="59"/>
      <c r="U450" s="57"/>
      <c r="V450" s="57"/>
      <c r="W450" s="59"/>
      <c r="X450" s="57">
        <v>5.2199074074074066E-3</v>
      </c>
      <c r="Y450" s="57"/>
      <c r="Z450" s="59">
        <f>IF(MIN(IF(ISBLANK(X450),W450,X450),IF(ISBLANK(W450),X450,W450))=0,"",MIN(IF(ISBLANK(X450),W450,X450),IF(ISBLANK(W450),X450,W450)))</f>
        <v>5.2199074074074066E-3</v>
      </c>
      <c r="AA450" s="57"/>
      <c r="AB450" s="57"/>
      <c r="AC450" s="59">
        <f t="shared" si="167"/>
        <v>5.2199074074074066E-3</v>
      </c>
      <c r="AD450" s="57"/>
      <c r="AE450" s="57"/>
      <c r="AF450" s="59">
        <f t="shared" si="168"/>
        <v>5.2199074074074066E-3</v>
      </c>
      <c r="AG450" s="57"/>
      <c r="AH450" s="57"/>
      <c r="AI450" s="59">
        <f t="shared" si="169"/>
        <v>5.2199074074074066E-3</v>
      </c>
      <c r="AJ450" s="57"/>
      <c r="AK450" s="57"/>
      <c r="AL450" s="59">
        <f t="shared" si="170"/>
        <v>5.2199074074074066E-3</v>
      </c>
      <c r="AM450" s="57"/>
      <c r="AN450" s="57"/>
      <c r="AO450" s="59">
        <f t="shared" si="166"/>
        <v>5.2199074074074066E-3</v>
      </c>
      <c r="AP450" s="57"/>
      <c r="AQ450" s="59">
        <f t="shared" si="160"/>
        <v>5.2199074074074066E-3</v>
      </c>
      <c r="AR450" s="57"/>
      <c r="AS450" s="57"/>
      <c r="AT450" s="59">
        <f t="shared" si="161"/>
        <v>5.2199074074074066E-3</v>
      </c>
    </row>
    <row r="451" spans="1:46" hidden="1">
      <c r="A451" s="24"/>
      <c r="B451" s="26" t="s">
        <v>173</v>
      </c>
      <c r="C451" s="26"/>
      <c r="D451" s="50"/>
      <c r="E451" s="51"/>
      <c r="F451" s="50" t="s">
        <v>448</v>
      </c>
      <c r="G451" s="52"/>
      <c r="H451" s="50"/>
      <c r="I451" s="53"/>
      <c r="J451" s="50" t="s">
        <v>448</v>
      </c>
      <c r="K451" s="53"/>
      <c r="L451" s="50"/>
      <c r="M451" s="57"/>
      <c r="N451" s="55"/>
      <c r="O451" s="57"/>
      <c r="P451" s="57"/>
      <c r="Q451" s="59" t="str">
        <f>IF(MIN(IF(ISBLANK(O451),N451,O451),IF(ISBLANK(N451),O451,N451))=0,"",MIN(IF(ISBLANK(O451),N451,O451),IF(ISBLANK(N451),O451,N451)))</f>
        <v/>
      </c>
      <c r="R451" s="57"/>
      <c r="S451" s="57"/>
      <c r="T451" s="59" t="str">
        <f>IF(MIN(IF(ISBLANK(R451),Q451,R451),IF(ISBLANK(Q451),R451,Q451))=0,"",MIN(IF(ISBLANK(R451),Q451,R451),IF(ISBLANK(Q451),R451,Q451)))</f>
        <v/>
      </c>
      <c r="U451" s="57"/>
      <c r="V451" s="57"/>
      <c r="W451" s="59" t="str">
        <f>IF(MIN(IF(ISBLANK(U451),T451,U451),IF(ISBLANK(T451),U451,T451))=0,"",MIN(IF(ISBLANK(U451),T451,U451),IF(ISBLANK(T451),U451,T451)))</f>
        <v/>
      </c>
      <c r="X451" s="57"/>
      <c r="Y451" s="57"/>
      <c r="Z451" s="59" t="str">
        <f>IF(MIN(IF(ISBLANK(X451),W451,X451),IF(ISBLANK(W451),X451,W451))=0,"",MIN(IF(ISBLANK(X451),W451,X451),IF(ISBLANK(W451),X451,W451)))</f>
        <v/>
      </c>
      <c r="AA451" s="57"/>
      <c r="AB451" s="57"/>
      <c r="AC451" s="59" t="str">
        <f t="shared" si="167"/>
        <v/>
      </c>
      <c r="AD451" s="57"/>
      <c r="AE451" s="57"/>
      <c r="AF451" s="59" t="str">
        <f t="shared" si="168"/>
        <v/>
      </c>
      <c r="AG451" s="57"/>
      <c r="AH451" s="57"/>
      <c r="AI451" s="59" t="str">
        <f t="shared" si="169"/>
        <v/>
      </c>
      <c r="AJ451" s="57"/>
      <c r="AK451" s="57"/>
      <c r="AL451" s="59" t="str">
        <f t="shared" si="170"/>
        <v/>
      </c>
      <c r="AM451" s="57"/>
      <c r="AN451" s="57"/>
      <c r="AO451" s="59" t="str">
        <f t="shared" si="166"/>
        <v/>
      </c>
      <c r="AP451" s="57"/>
      <c r="AQ451" s="59" t="str">
        <f t="shared" si="160"/>
        <v/>
      </c>
      <c r="AR451" s="57"/>
      <c r="AS451" s="57"/>
      <c r="AT451" s="59" t="str">
        <f t="shared" si="161"/>
        <v/>
      </c>
    </row>
    <row r="452" spans="1:46" hidden="1">
      <c r="A452" s="24"/>
      <c r="B452" s="26" t="s">
        <v>180</v>
      </c>
      <c r="C452" s="26"/>
      <c r="D452" s="50">
        <v>8.35</v>
      </c>
      <c r="E452" s="51" t="s">
        <v>301</v>
      </c>
      <c r="F452" s="50">
        <v>8.35</v>
      </c>
      <c r="G452" s="52"/>
      <c r="H452" s="50">
        <v>8.35</v>
      </c>
      <c r="I452" s="53"/>
      <c r="J452" s="50">
        <v>8.35</v>
      </c>
      <c r="K452" s="53"/>
      <c r="L452" s="50">
        <v>8.35</v>
      </c>
      <c r="M452" s="57"/>
      <c r="N452" s="55">
        <v>5.9606481481481489E-3</v>
      </c>
      <c r="O452" s="57"/>
      <c r="P452" s="57"/>
      <c r="Q452" s="59">
        <f>IF(MIN(IF(ISBLANK(O452),N452,O452),IF(ISBLANK(N452),O452,N452))=0,"",MIN(IF(ISBLANK(O452),N452,O452),IF(ISBLANK(N452),O452,N452)))</f>
        <v>5.9606481481481489E-3</v>
      </c>
      <c r="R452" s="57"/>
      <c r="S452" s="57"/>
      <c r="T452" s="59">
        <f>IF(MIN(IF(ISBLANK(R452),Q452,R452),IF(ISBLANK(Q452),R452,Q452))=0,"",MIN(IF(ISBLANK(R452),Q452,R452),IF(ISBLANK(Q452),R452,Q452)))</f>
        <v>5.9606481481481489E-3</v>
      </c>
      <c r="U452" s="57"/>
      <c r="V452" s="57"/>
      <c r="W452" s="59">
        <f>IF(MIN(IF(ISBLANK(U452),T452,U452),IF(ISBLANK(T452),U452,T452))=0,"",MIN(IF(ISBLANK(U452),T452,U452),IF(ISBLANK(T452),U452,T452)))</f>
        <v>5.9606481481481489E-3</v>
      </c>
      <c r="X452" s="57"/>
      <c r="Y452" s="57"/>
      <c r="Z452" s="59">
        <f>IF(MIN(IF(ISBLANK(X452),W452,X452),IF(ISBLANK(W452),X452,W452))=0,"",MIN(IF(ISBLANK(X452),W452,X452),IF(ISBLANK(W452),X452,W452)))</f>
        <v>5.9606481481481489E-3</v>
      </c>
      <c r="AA452" s="57"/>
      <c r="AB452" s="57"/>
      <c r="AC452" s="59">
        <f t="shared" si="167"/>
        <v>5.9606481481481489E-3</v>
      </c>
      <c r="AD452" s="57"/>
      <c r="AE452" s="57"/>
      <c r="AF452" s="59">
        <f t="shared" si="168"/>
        <v>5.9606481481481489E-3</v>
      </c>
      <c r="AG452" s="57"/>
      <c r="AH452" s="57"/>
      <c r="AI452" s="59">
        <f t="shared" si="169"/>
        <v>5.9606481481481489E-3</v>
      </c>
      <c r="AJ452" s="57"/>
      <c r="AK452" s="57"/>
      <c r="AL452" s="59">
        <f t="shared" si="170"/>
        <v>5.9606481481481489E-3</v>
      </c>
      <c r="AM452" s="57"/>
      <c r="AN452" s="57"/>
      <c r="AO452" s="59">
        <f t="shared" si="166"/>
        <v>5.9606481481481489E-3</v>
      </c>
      <c r="AP452" s="57"/>
      <c r="AQ452" s="59">
        <f t="shared" si="160"/>
        <v>5.9606481481481489E-3</v>
      </c>
      <c r="AR452" s="57"/>
      <c r="AS452" s="57"/>
      <c r="AT452" s="59">
        <f t="shared" si="161"/>
        <v>5.9606481481481489E-3</v>
      </c>
    </row>
    <row r="453" spans="1:46" hidden="1">
      <c r="A453" s="24"/>
      <c r="B453" s="26" t="s">
        <v>572</v>
      </c>
      <c r="C453" s="26"/>
      <c r="D453" s="50"/>
      <c r="E453" s="51"/>
      <c r="F453" s="50"/>
      <c r="G453" s="52"/>
      <c r="H453" s="50"/>
      <c r="I453" s="53"/>
      <c r="J453" s="50"/>
      <c r="K453" s="53"/>
      <c r="L453" s="50"/>
      <c r="M453" s="57"/>
      <c r="N453" s="55"/>
      <c r="O453" s="57"/>
      <c r="P453" s="57"/>
      <c r="Q453" s="59"/>
      <c r="R453" s="57">
        <v>6.8055555555555569E-3</v>
      </c>
      <c r="S453" s="57"/>
      <c r="T453" s="59">
        <f>IF(MIN(IF(ISBLANK(R453),Q453,R453),IF(ISBLANK(Q453),R453,Q453))=0,"",MIN(IF(ISBLANK(R453),Q453,R453),IF(ISBLANK(Q453),R453,Q453)))</f>
        <v>6.8055555555555569E-3</v>
      </c>
      <c r="U453" s="57">
        <v>7.9745370370370369E-3</v>
      </c>
      <c r="V453" s="57"/>
      <c r="W453" s="59">
        <f>IF(MIN(IF(ISBLANK(U453),T453,U453),IF(ISBLANK(T453),U453,T453))=0,"",MIN(IF(ISBLANK(U453),T453,U453),IF(ISBLANK(T453),U453,T453)))</f>
        <v>6.8055555555555569E-3</v>
      </c>
      <c r="X453" s="57"/>
      <c r="Y453" s="57"/>
      <c r="Z453" s="59">
        <f>IF(MIN(IF(ISBLANK(X453),W453,X453),IF(ISBLANK(W453),X453,W453))=0,"",MIN(IF(ISBLANK(X453),W453,X453),IF(ISBLANK(W453),X453,W453)))</f>
        <v>6.8055555555555569E-3</v>
      </c>
      <c r="AA453" s="57"/>
      <c r="AB453" s="57"/>
      <c r="AC453" s="59">
        <f t="shared" si="167"/>
        <v>6.8055555555555569E-3</v>
      </c>
      <c r="AD453" s="57"/>
      <c r="AE453" s="57"/>
      <c r="AF453" s="59">
        <f t="shared" si="168"/>
        <v>6.8055555555555569E-3</v>
      </c>
      <c r="AG453" s="57"/>
      <c r="AH453" s="57"/>
      <c r="AI453" s="59">
        <f t="shared" si="169"/>
        <v>6.8055555555555569E-3</v>
      </c>
      <c r="AJ453" s="57"/>
      <c r="AK453" s="57"/>
      <c r="AL453" s="59">
        <f t="shared" si="170"/>
        <v>6.8055555555555569E-3</v>
      </c>
      <c r="AM453" s="57"/>
      <c r="AN453" s="57"/>
      <c r="AO453" s="59">
        <f t="shared" si="166"/>
        <v>6.8055555555555569E-3</v>
      </c>
      <c r="AP453" s="57"/>
      <c r="AQ453" s="59">
        <f t="shared" si="160"/>
        <v>6.8055555555555569E-3</v>
      </c>
      <c r="AR453" s="57"/>
      <c r="AS453" s="57"/>
      <c r="AT453" s="59">
        <f t="shared" si="161"/>
        <v>6.8055555555555569E-3</v>
      </c>
    </row>
    <row r="454" spans="1:46" hidden="1">
      <c r="A454" s="24"/>
      <c r="B454" s="26" t="s">
        <v>258</v>
      </c>
      <c r="C454" s="26" t="s">
        <v>444</v>
      </c>
      <c r="D454" s="50"/>
      <c r="E454" s="51"/>
      <c r="F454" s="50" t="s">
        <v>448</v>
      </c>
      <c r="G454" s="52"/>
      <c r="H454" s="50"/>
      <c r="I454" s="53"/>
      <c r="J454" s="50" t="s">
        <v>448</v>
      </c>
      <c r="K454" s="53"/>
      <c r="L454" s="50"/>
      <c r="M454" s="57"/>
      <c r="N454" s="55"/>
      <c r="O454" s="57"/>
      <c r="P454" s="57"/>
      <c r="Q454" s="59" t="str">
        <f>IF(MIN(IF(ISBLANK(O454),N454,O454),IF(ISBLANK(N454),O454,N454))=0,"",MIN(IF(ISBLANK(O454),N454,O454),IF(ISBLANK(N454),O454,N454)))</f>
        <v/>
      </c>
      <c r="R454" s="57"/>
      <c r="S454" s="57"/>
      <c r="T454" s="59" t="str">
        <f>IF(MIN(IF(ISBLANK(R454),Q454,R454),IF(ISBLANK(Q454),R454,Q454))=0,"",MIN(IF(ISBLANK(R454),Q454,R454),IF(ISBLANK(Q454),R454,Q454)))</f>
        <v/>
      </c>
      <c r="U454" s="57"/>
      <c r="V454" s="57"/>
      <c r="W454" s="59" t="str">
        <f>IF(MIN(IF(ISBLANK(U454),T454,U454),IF(ISBLANK(T454),U454,T454))=0,"",MIN(IF(ISBLANK(U454),T454,U454),IF(ISBLANK(T454),U454,T454)))</f>
        <v/>
      </c>
      <c r="X454" s="57"/>
      <c r="Y454" s="57"/>
      <c r="Z454" s="59" t="str">
        <f>IF(MIN(IF(ISBLANK(X454),W454,X454),IF(ISBLANK(W454),X454,W454))=0,"",MIN(IF(ISBLANK(X454),W454,X454),IF(ISBLANK(W454),X454,W454)))</f>
        <v/>
      </c>
      <c r="AA454" s="57"/>
      <c r="AB454" s="57"/>
      <c r="AC454" s="59" t="str">
        <f t="shared" si="167"/>
        <v/>
      </c>
      <c r="AD454" s="57"/>
      <c r="AE454" s="57"/>
      <c r="AF454" s="59" t="str">
        <f t="shared" si="168"/>
        <v/>
      </c>
      <c r="AG454" s="57"/>
      <c r="AH454" s="57"/>
      <c r="AI454" s="59" t="str">
        <f t="shared" si="169"/>
        <v/>
      </c>
      <c r="AJ454" s="57"/>
      <c r="AK454" s="57"/>
      <c r="AL454" s="59" t="str">
        <f t="shared" si="170"/>
        <v/>
      </c>
      <c r="AM454" s="57"/>
      <c r="AN454" s="57"/>
      <c r="AO454" s="59" t="str">
        <f t="shared" si="166"/>
        <v/>
      </c>
      <c r="AP454" s="57"/>
      <c r="AQ454" s="59" t="str">
        <f t="shared" si="160"/>
        <v/>
      </c>
      <c r="AR454" s="57"/>
      <c r="AS454" s="57"/>
      <c r="AT454" s="59" t="str">
        <f t="shared" si="161"/>
        <v/>
      </c>
    </row>
    <row r="455" spans="1:46">
      <c r="A455" s="24" t="s">
        <v>792</v>
      </c>
      <c r="B455" s="26" t="s">
        <v>777</v>
      </c>
      <c r="C455" s="26"/>
      <c r="D455" s="50"/>
      <c r="E455" s="51"/>
      <c r="F455" s="50"/>
      <c r="G455" s="52"/>
      <c r="H455" s="50"/>
      <c r="I455" s="53"/>
      <c r="J455" s="50"/>
      <c r="K455" s="53"/>
      <c r="L455" s="50"/>
      <c r="M455" s="57"/>
      <c r="N455" s="55"/>
      <c r="O455" s="57"/>
      <c r="P455" s="57"/>
      <c r="Q455" s="59"/>
      <c r="R455" s="57"/>
      <c r="S455" s="57"/>
      <c r="T455" s="59"/>
      <c r="U455" s="57"/>
      <c r="V455" s="57"/>
      <c r="W455" s="59"/>
      <c r="X455" s="57"/>
      <c r="Y455" s="57"/>
      <c r="Z455" s="59"/>
      <c r="AA455" s="57"/>
      <c r="AB455" s="57"/>
      <c r="AC455" s="59"/>
      <c r="AD455" s="57"/>
      <c r="AE455" s="57"/>
      <c r="AF455" s="59"/>
      <c r="AG455" s="57"/>
      <c r="AH455" s="57"/>
      <c r="AI455" s="59"/>
      <c r="AJ455" s="57"/>
      <c r="AK455" s="57"/>
      <c r="AL455" s="59" t="str">
        <f t="shared" si="170"/>
        <v/>
      </c>
      <c r="AM455" s="57"/>
      <c r="AN455" s="57"/>
      <c r="AO455" s="59" t="str">
        <f t="shared" si="166"/>
        <v/>
      </c>
      <c r="AP455" s="57">
        <v>6.5046296296296302E-3</v>
      </c>
      <c r="AQ455" s="59">
        <f t="shared" si="160"/>
        <v>6.5046296296296302E-3</v>
      </c>
      <c r="AR455" s="57"/>
      <c r="AS455" s="57"/>
      <c r="AT455" s="59">
        <f t="shared" si="161"/>
        <v>6.5046296296296302E-3</v>
      </c>
    </row>
    <row r="456" spans="1:46" hidden="1">
      <c r="A456" s="24"/>
      <c r="B456" s="26" t="s">
        <v>185</v>
      </c>
      <c r="C456" s="26"/>
      <c r="D456" s="50">
        <v>9.36</v>
      </c>
      <c r="E456" s="51"/>
      <c r="F456" s="50">
        <v>9.36</v>
      </c>
      <c r="G456" s="52"/>
      <c r="H456" s="50">
        <v>9.36</v>
      </c>
      <c r="I456" s="53"/>
      <c r="J456" s="50">
        <v>9.36</v>
      </c>
      <c r="K456" s="53"/>
      <c r="L456" s="50">
        <v>9.36</v>
      </c>
      <c r="M456" s="57"/>
      <c r="N456" s="55">
        <v>6.6666666666666671E-3</v>
      </c>
      <c r="O456" s="57"/>
      <c r="P456" s="57"/>
      <c r="Q456" s="59">
        <f>IF(MIN(IF(ISBLANK(O456),N456,O456),IF(ISBLANK(N456),O456,N456))=0,"",MIN(IF(ISBLANK(O456),N456,O456),IF(ISBLANK(N456),O456,N456)))</f>
        <v>6.6666666666666671E-3</v>
      </c>
      <c r="R456" s="57"/>
      <c r="S456" s="57"/>
      <c r="T456" s="59">
        <f>IF(MIN(IF(ISBLANK(R456),Q456,R456),IF(ISBLANK(Q456),R456,Q456))=0,"",MIN(IF(ISBLANK(R456),Q456,R456),IF(ISBLANK(Q456),R456,Q456)))</f>
        <v>6.6666666666666671E-3</v>
      </c>
      <c r="U456" s="57"/>
      <c r="V456" s="57"/>
      <c r="W456" s="59">
        <f>IF(MIN(IF(ISBLANK(U456),T456,U456),IF(ISBLANK(T456),U456,T456))=0,"",MIN(IF(ISBLANK(U456),T456,U456),IF(ISBLANK(T456),U456,T456)))</f>
        <v>6.6666666666666671E-3</v>
      </c>
      <c r="X456" s="57"/>
      <c r="Y456" s="57"/>
      <c r="Z456" s="59">
        <f>IF(MIN(IF(ISBLANK(X456),W456,X456),IF(ISBLANK(W456),X456,W456))=0,"",MIN(IF(ISBLANK(X456),W456,X456),IF(ISBLANK(W456),X456,W456)))</f>
        <v>6.6666666666666671E-3</v>
      </c>
      <c r="AA456" s="57"/>
      <c r="AB456" s="57"/>
      <c r="AC456" s="59">
        <f>IF(MIN(IF(ISBLANK(Z456),AA456,Z456),IF(ISBLANK(AA456),Z456,AA456))=0,"",MIN(IF(ISBLANK(Z456),AA456,Z456),IF(ISBLANK(AA456),Z456,AA456)))</f>
        <v>6.6666666666666671E-3</v>
      </c>
      <c r="AD456" s="57"/>
      <c r="AE456" s="57"/>
      <c r="AF456" s="59">
        <f>IF(MIN(IF(ISBLANK(AC456),AD456,AC456),IF(ISBLANK(AD456),AC456,AD456))=0,"",MIN(IF(ISBLANK(AC456),AD456,AC456),IF(ISBLANK(AD456),AC456,AD456)))</f>
        <v>6.6666666666666671E-3</v>
      </c>
      <c r="AG456" s="57"/>
      <c r="AH456" s="57"/>
      <c r="AI456" s="59">
        <f>IF(MIN(IF(ISBLANK(AF456),AG456,AF456),IF(ISBLANK(AG456),AF456,AG456))=0,"",MIN(IF(ISBLANK(AF456),AG456,AF456),IF(ISBLANK(AG456),AF456,AG456)))</f>
        <v>6.6666666666666671E-3</v>
      </c>
      <c r="AJ456" s="57"/>
      <c r="AK456" s="57"/>
      <c r="AL456" s="59">
        <f t="shared" si="170"/>
        <v>6.6666666666666671E-3</v>
      </c>
      <c r="AM456" s="57"/>
      <c r="AN456" s="57"/>
      <c r="AO456" s="59">
        <f t="shared" si="166"/>
        <v>6.6666666666666671E-3</v>
      </c>
      <c r="AP456" s="57"/>
      <c r="AQ456" s="59">
        <f t="shared" si="160"/>
        <v>6.6666666666666671E-3</v>
      </c>
      <c r="AR456" s="57"/>
      <c r="AS456" s="57"/>
      <c r="AT456" s="59">
        <f t="shared" si="161"/>
        <v>6.6666666666666671E-3</v>
      </c>
    </row>
    <row r="457" spans="1:46" hidden="1">
      <c r="A457" s="24"/>
      <c r="B457" s="26" t="s">
        <v>552</v>
      </c>
      <c r="C457" s="26"/>
      <c r="D457" s="50"/>
      <c r="E457" s="51"/>
      <c r="F457" s="50"/>
      <c r="G457" s="52"/>
      <c r="H457" s="50"/>
      <c r="I457" s="53"/>
      <c r="J457" s="50"/>
      <c r="K457" s="53"/>
      <c r="L457" s="50"/>
      <c r="M457" s="57"/>
      <c r="N457" s="55"/>
      <c r="O457" s="57">
        <v>5.115740740740741E-3</v>
      </c>
      <c r="P457" s="57"/>
      <c r="Q457" s="59">
        <f>IF(MIN(IF(ISBLANK(O457),N457,O457),IF(ISBLANK(N457),O457,N457))=0,"",MIN(IF(ISBLANK(O457),N457,O457),IF(ISBLANK(N457),O457,N457)))</f>
        <v>5.115740740740741E-3</v>
      </c>
      <c r="R457" s="57"/>
      <c r="S457" s="57"/>
      <c r="T457" s="59">
        <f>IF(MIN(IF(ISBLANK(R457),Q457,R457),IF(ISBLANK(Q457),R457,Q457))=0,"",MIN(IF(ISBLANK(R457),Q457,R457),IF(ISBLANK(Q457),R457,Q457)))</f>
        <v>5.115740740740741E-3</v>
      </c>
      <c r="U457" s="57"/>
      <c r="V457" s="57"/>
      <c r="W457" s="59">
        <f>IF(MIN(IF(ISBLANK(U457),T457,U457),IF(ISBLANK(T457),U457,T457))=0,"",MIN(IF(ISBLANK(U457),T457,U457),IF(ISBLANK(T457),U457,T457)))</f>
        <v>5.115740740740741E-3</v>
      </c>
      <c r="X457" s="57"/>
      <c r="Y457" s="57"/>
      <c r="Z457" s="59">
        <f>IF(MIN(IF(ISBLANK(X457),W457,X457),IF(ISBLANK(W457),X457,W457))=0,"",MIN(IF(ISBLANK(X457),W457,X457),IF(ISBLANK(W457),X457,W457)))</f>
        <v>5.115740740740741E-3</v>
      </c>
      <c r="AA457" s="57"/>
      <c r="AB457" s="57"/>
      <c r="AC457" s="59">
        <f>IF(MIN(IF(ISBLANK(Z457),AA457,Z457),IF(ISBLANK(AA457),Z457,AA457))=0,"",MIN(IF(ISBLANK(Z457),AA457,Z457),IF(ISBLANK(AA457),Z457,AA457)))</f>
        <v>5.115740740740741E-3</v>
      </c>
      <c r="AD457" s="57"/>
      <c r="AE457" s="57"/>
      <c r="AF457" s="59">
        <f>IF(MIN(IF(ISBLANK(AC457),AD457,AC457),IF(ISBLANK(AD457),AC457,AD457))=0,"",MIN(IF(ISBLANK(AC457),AD457,AC457),IF(ISBLANK(AD457),AC457,AD457)))</f>
        <v>5.115740740740741E-3</v>
      </c>
      <c r="AG457" s="57"/>
      <c r="AH457" s="57"/>
      <c r="AI457" s="59">
        <f>IF(MIN(IF(ISBLANK(AF457),AG457,AF457),IF(ISBLANK(AG457),AF457,AG457))=0,"",MIN(IF(ISBLANK(AF457),AG457,AF457),IF(ISBLANK(AG457),AF457,AG457)))</f>
        <v>5.115740740740741E-3</v>
      </c>
      <c r="AJ457" s="57"/>
      <c r="AK457" s="57"/>
      <c r="AL457" s="59">
        <f t="shared" si="170"/>
        <v>5.115740740740741E-3</v>
      </c>
      <c r="AM457" s="57"/>
      <c r="AN457" s="57"/>
      <c r="AO457" s="59">
        <f t="shared" si="166"/>
        <v>5.115740740740741E-3</v>
      </c>
      <c r="AP457" s="57"/>
      <c r="AQ457" s="59">
        <f t="shared" si="160"/>
        <v>5.115740740740741E-3</v>
      </c>
      <c r="AR457" s="57"/>
      <c r="AS457" s="57"/>
      <c r="AT457" s="59">
        <f t="shared" si="161"/>
        <v>5.115740740740741E-3</v>
      </c>
    </row>
    <row r="458" spans="1:46" hidden="1">
      <c r="A458" s="24"/>
      <c r="B458" s="26" t="s">
        <v>694</v>
      </c>
      <c r="C458" s="26"/>
      <c r="D458" s="50"/>
      <c r="E458" s="51"/>
      <c r="F458" s="50"/>
      <c r="G458" s="52"/>
      <c r="H458" s="50"/>
      <c r="I458" s="53"/>
      <c r="J458" s="50"/>
      <c r="K458" s="54"/>
      <c r="L458" s="50"/>
      <c r="M458" s="56"/>
      <c r="N458" s="55"/>
      <c r="O458" s="56"/>
      <c r="P458" s="56"/>
      <c r="Q458" s="59"/>
      <c r="R458" s="56"/>
      <c r="S458" s="56"/>
      <c r="T458" s="59"/>
      <c r="U458" s="56"/>
      <c r="V458" s="56"/>
      <c r="W458" s="59"/>
      <c r="X458" s="56"/>
      <c r="Y458" s="56"/>
      <c r="Z458" s="59"/>
      <c r="AA458" s="56"/>
      <c r="AB458" s="56"/>
      <c r="AC458" s="59" t="str">
        <f>IF(MIN(IF(ISBLANK(Z458),AA458,Z458),IF(ISBLANK(AA458),Z458,AA458))=0,"",MIN(IF(ISBLANK(Z458),AA458,Z458),IF(ISBLANK(AA458),Z458,AA458)))</f>
        <v/>
      </c>
      <c r="AD458" s="56">
        <v>5.5092592592592589E-3</v>
      </c>
      <c r="AE458" s="56"/>
      <c r="AF458" s="59">
        <f>IF(MIN(IF(ISBLANK(AC458),AD458,AC458),IF(ISBLANK(AD458),AC458,AD458))=0,"",MIN(IF(ISBLANK(AC458),AD458,AC458),IF(ISBLANK(AD458),AC458,AD458)))</f>
        <v>5.5092592592592589E-3</v>
      </c>
      <c r="AG458" s="57"/>
      <c r="AH458" s="56"/>
      <c r="AI458" s="59">
        <f>IF(MIN(IF(ISBLANK(AF458),AG458,AF458),IF(ISBLANK(AG458),AF458,AG458))=0,"",MIN(IF(ISBLANK(AF458),AG458,AF458),IF(ISBLANK(AG458),AF458,AG458)))</f>
        <v>5.5092592592592589E-3</v>
      </c>
      <c r="AJ458" s="57"/>
      <c r="AK458" s="56"/>
      <c r="AL458" s="59">
        <f t="shared" si="170"/>
        <v>5.5092592592592589E-3</v>
      </c>
      <c r="AM458" s="57"/>
      <c r="AN458" s="56"/>
      <c r="AO458" s="59">
        <f t="shared" si="166"/>
        <v>5.5092592592592589E-3</v>
      </c>
      <c r="AP458" s="57"/>
      <c r="AQ458" s="59">
        <f t="shared" si="160"/>
        <v>5.5092592592592589E-3</v>
      </c>
      <c r="AR458" s="57"/>
      <c r="AS458" s="57"/>
      <c r="AT458" s="59">
        <f t="shared" si="161"/>
        <v>5.5092592592592589E-3</v>
      </c>
    </row>
    <row r="459" spans="1:46" hidden="1">
      <c r="A459" s="24"/>
      <c r="B459" s="26" t="s">
        <v>849</v>
      </c>
      <c r="C459" s="26"/>
      <c r="D459" s="50"/>
      <c r="E459" s="51"/>
      <c r="F459" s="50"/>
      <c r="G459" s="52"/>
      <c r="H459" s="50"/>
      <c r="I459" s="53"/>
      <c r="J459" s="50"/>
      <c r="K459" s="53"/>
      <c r="L459" s="50"/>
      <c r="M459" s="57"/>
      <c r="N459" s="55"/>
      <c r="O459" s="57"/>
      <c r="P459" s="57"/>
      <c r="Q459" s="59"/>
      <c r="R459" s="57"/>
      <c r="S459" s="57"/>
      <c r="T459" s="59"/>
      <c r="U459" s="57"/>
      <c r="V459" s="57"/>
      <c r="W459" s="59"/>
      <c r="X459" s="57"/>
      <c r="Y459" s="57"/>
      <c r="Z459" s="59"/>
      <c r="AA459" s="57"/>
      <c r="AB459" s="57"/>
      <c r="AC459" s="59"/>
      <c r="AD459" s="57"/>
      <c r="AE459" s="57"/>
      <c r="AF459" s="59"/>
      <c r="AG459" s="57"/>
      <c r="AH459" s="57"/>
      <c r="AI459" s="59"/>
      <c r="AJ459" s="57"/>
      <c r="AK459" s="57"/>
      <c r="AL459" s="59"/>
      <c r="AM459" s="57"/>
      <c r="AN459" s="57"/>
      <c r="AO459" s="59"/>
      <c r="AP459" s="57"/>
      <c r="AQ459" s="59" t="str">
        <f t="shared" ref="AQ459:AQ522" si="171">IF(MIN(IF(ISBLANK(AO459),AP459,AO459),IF(ISBLANK(AP459),AO459,AP459))=0,"",MIN(IF(ISBLANK(AO459),AP459,AO459),IF(ISBLANK(AP459),AO459,AP459)))</f>
        <v/>
      </c>
      <c r="AR459" s="57"/>
      <c r="AS459" s="57"/>
      <c r="AT459" s="59" t="str">
        <f t="shared" ref="AT459:AT522" si="172">IF(MIN(IF(ISBLANK(AQ459),AR459,AQ459),IF(ISBLANK(AR459),AQ459,AR459))=0,"",MIN(IF(ISBLANK(AQ459),AR459,AQ459),IF(ISBLANK(AR459),AQ459,AR459)))</f>
        <v/>
      </c>
    </row>
    <row r="460" spans="1:46" hidden="1">
      <c r="A460" s="24"/>
      <c r="B460" s="26" t="s">
        <v>191</v>
      </c>
      <c r="C460" s="26" t="s">
        <v>443</v>
      </c>
      <c r="D460" s="50">
        <v>7.02</v>
      </c>
      <c r="E460" s="51"/>
      <c r="F460" s="50">
        <v>7.02</v>
      </c>
      <c r="G460" s="52" t="s">
        <v>351</v>
      </c>
      <c r="H460" s="50">
        <v>7.02</v>
      </c>
      <c r="I460" s="53">
        <v>6.54</v>
      </c>
      <c r="J460" s="50">
        <v>6.54</v>
      </c>
      <c r="K460" s="53"/>
      <c r="L460" s="50">
        <v>6.54</v>
      </c>
      <c r="M460" s="57"/>
      <c r="N460" s="55">
        <v>4.7916666666666672E-3</v>
      </c>
      <c r="O460" s="57">
        <v>5.0462962962962961E-3</v>
      </c>
      <c r="P460" s="57"/>
      <c r="Q460" s="59">
        <f>IF(MIN(IF(ISBLANK(O460),N460,O460),IF(ISBLANK(N460),O460,N460))=0,"",MIN(IF(ISBLANK(O460),N460,O460),IF(ISBLANK(N460),O460,N460)))</f>
        <v>4.7916666666666672E-3</v>
      </c>
      <c r="R460" s="57">
        <v>4.8263888888888887E-3</v>
      </c>
      <c r="S460" s="57"/>
      <c r="T460" s="59">
        <f>IF(MIN(IF(ISBLANK(R460),Q460,R460),IF(ISBLANK(Q460),R460,Q460))=0,"",MIN(IF(ISBLANK(R460),Q460,R460),IF(ISBLANK(Q460),R460,Q460)))</f>
        <v>4.7916666666666672E-3</v>
      </c>
      <c r="U460" s="57">
        <v>4.9305555555555552E-3</v>
      </c>
      <c r="V460" s="57"/>
      <c r="W460" s="59">
        <f>IF(MIN(IF(ISBLANK(U460),T460,U460),IF(ISBLANK(T460),U460,T460))=0,"",MIN(IF(ISBLANK(U460),T460,U460),IF(ISBLANK(T460),U460,T460)))</f>
        <v>4.7916666666666672E-3</v>
      </c>
      <c r="X460" s="57">
        <v>4.8032407407407407E-3</v>
      </c>
      <c r="Y460" s="57"/>
      <c r="Z460" s="59">
        <f t="shared" ref="Z460:Z465" si="173">IF(MIN(IF(ISBLANK(X460),W460,X460),IF(ISBLANK(W460),X460,W460))=0,"",MIN(IF(ISBLANK(X460),W460,X460),IF(ISBLANK(W460),X460,W460)))</f>
        <v>4.7916666666666672E-3</v>
      </c>
      <c r="AA460" s="57"/>
      <c r="AB460" s="57"/>
      <c r="AC460" s="59">
        <f t="shared" ref="AC460:AC465" si="174">IF(MIN(IF(ISBLANK(Z460),AA460,Z460),IF(ISBLANK(AA460),Z460,AA460))=0,"",MIN(IF(ISBLANK(Z460),AA460,Z460),IF(ISBLANK(AA460),Z460,AA460)))</f>
        <v>4.7916666666666672E-3</v>
      </c>
      <c r="AD460" s="57"/>
      <c r="AE460" s="57"/>
      <c r="AF460" s="59">
        <f t="shared" ref="AF460:AF465" si="175">IF(MIN(IF(ISBLANK(AC460),AD460,AC460),IF(ISBLANK(AD460),AC460,AD460))=0,"",MIN(IF(ISBLANK(AC460),AD460,AC460),IF(ISBLANK(AD460),AC460,AD460)))</f>
        <v>4.7916666666666672E-3</v>
      </c>
      <c r="AG460" s="57"/>
      <c r="AH460" s="57"/>
      <c r="AI460" s="59">
        <f t="shared" ref="AI460:AI465" si="176">IF(MIN(IF(ISBLANK(AF460),AG460,AF460),IF(ISBLANK(AG460),AF460,AG460))=0,"",MIN(IF(ISBLANK(AF460),AG460,AF460),IF(ISBLANK(AG460),AF460,AG460)))</f>
        <v>4.7916666666666672E-3</v>
      </c>
      <c r="AJ460" s="57"/>
      <c r="AK460" s="57"/>
      <c r="AL460" s="59">
        <f t="shared" ref="AL460:AL465" si="177">IF(MIN(IF(ISBLANK(AI460),AJ460,AI460),IF(ISBLANK(AJ460),AI460,AJ460))=0,"",MIN(IF(ISBLANK(AI460),AJ460,AI460),IF(ISBLANK(AJ460),AI460,AJ460)))</f>
        <v>4.7916666666666672E-3</v>
      </c>
      <c r="AM460" s="57"/>
      <c r="AN460" s="57"/>
      <c r="AO460" s="59">
        <f t="shared" ref="AO460:AO465" si="178">IF(MIN(IF(ISBLANK(AL460),AM460,AL460),IF(ISBLANK(AM460),AL460,AM460))=0,"",MIN(IF(ISBLANK(AL460),AM460,AL460),IF(ISBLANK(AM460),AL460,AM460)))</f>
        <v>4.7916666666666672E-3</v>
      </c>
      <c r="AP460" s="57"/>
      <c r="AQ460" s="59">
        <f t="shared" si="171"/>
        <v>4.7916666666666672E-3</v>
      </c>
      <c r="AR460" s="57"/>
      <c r="AS460" s="57"/>
      <c r="AT460" s="59">
        <f t="shared" si="172"/>
        <v>4.7916666666666672E-3</v>
      </c>
    </row>
    <row r="461" spans="1:46">
      <c r="A461" s="24" t="s">
        <v>792</v>
      </c>
      <c r="B461" s="26" t="s">
        <v>468</v>
      </c>
      <c r="C461" s="26" t="s">
        <v>443</v>
      </c>
      <c r="D461" s="50"/>
      <c r="E461" s="51"/>
      <c r="F461" s="50"/>
      <c r="G461" s="52"/>
      <c r="H461" s="50"/>
      <c r="I461" s="53"/>
      <c r="J461" s="50"/>
      <c r="K461" s="53">
        <v>7.36</v>
      </c>
      <c r="L461" s="50">
        <v>7.36</v>
      </c>
      <c r="M461" s="57"/>
      <c r="N461" s="55">
        <v>5.2777777777777771E-3</v>
      </c>
      <c r="O461" s="57"/>
      <c r="P461" s="57"/>
      <c r="Q461" s="59">
        <f>IF(MIN(IF(ISBLANK(O461),N461,O461),IF(ISBLANK(N461),O461,N461))=0,"",MIN(IF(ISBLANK(O461),N461,O461),IF(ISBLANK(N461),O461,N461)))</f>
        <v>5.2777777777777771E-3</v>
      </c>
      <c r="R461" s="57"/>
      <c r="S461" s="57"/>
      <c r="T461" s="59">
        <f>IF(MIN(IF(ISBLANK(R461),Q461,R461),IF(ISBLANK(Q461),R461,Q461))=0,"",MIN(IF(ISBLANK(R461),Q461,R461),IF(ISBLANK(Q461),R461,Q461)))</f>
        <v>5.2777777777777771E-3</v>
      </c>
      <c r="U461" s="57"/>
      <c r="V461" s="57"/>
      <c r="W461" s="59">
        <f>IF(MIN(IF(ISBLANK(U461),T461,U461),IF(ISBLANK(T461),U461,T461))=0,"",MIN(IF(ISBLANK(U461),T461,U461),IF(ISBLANK(T461),U461,T461)))</f>
        <v>5.2777777777777771E-3</v>
      </c>
      <c r="X461" s="57"/>
      <c r="Y461" s="57"/>
      <c r="Z461" s="59">
        <f t="shared" si="173"/>
        <v>5.2777777777777771E-3</v>
      </c>
      <c r="AA461" s="57"/>
      <c r="AB461" s="57"/>
      <c r="AC461" s="59">
        <f t="shared" si="174"/>
        <v>5.2777777777777771E-3</v>
      </c>
      <c r="AD461" s="57"/>
      <c r="AE461" s="57"/>
      <c r="AF461" s="59">
        <f t="shared" si="175"/>
        <v>5.2777777777777771E-3</v>
      </c>
      <c r="AG461" s="57"/>
      <c r="AH461" s="57"/>
      <c r="AI461" s="59">
        <f t="shared" si="176"/>
        <v>5.2777777777777771E-3</v>
      </c>
      <c r="AJ461" s="57">
        <v>5.9490740740740745E-3</v>
      </c>
      <c r="AK461" s="57"/>
      <c r="AL461" s="59">
        <f t="shared" si="177"/>
        <v>5.2777777777777771E-3</v>
      </c>
      <c r="AM461" s="57">
        <v>5.3356481481481484E-3</v>
      </c>
      <c r="AN461" s="57"/>
      <c r="AO461" s="59">
        <f t="shared" si="178"/>
        <v>5.2777777777777771E-3</v>
      </c>
      <c r="AP461" s="57"/>
      <c r="AQ461" s="59">
        <f t="shared" si="171"/>
        <v>5.2777777777777771E-3</v>
      </c>
      <c r="AR461" s="57"/>
      <c r="AS461" s="57"/>
      <c r="AT461" s="59">
        <f t="shared" si="172"/>
        <v>5.2777777777777771E-3</v>
      </c>
    </row>
    <row r="462" spans="1:46" hidden="1">
      <c r="A462" s="24"/>
      <c r="B462" s="26" t="s">
        <v>657</v>
      </c>
      <c r="C462" s="26"/>
      <c r="D462" s="50"/>
      <c r="E462" s="51"/>
      <c r="F462" s="50"/>
      <c r="G462" s="52"/>
      <c r="H462" s="50"/>
      <c r="I462" s="53"/>
      <c r="J462" s="50"/>
      <c r="K462" s="53"/>
      <c r="L462" s="50"/>
      <c r="M462" s="57"/>
      <c r="N462" s="55"/>
      <c r="O462" s="57"/>
      <c r="P462" s="57"/>
      <c r="Q462" s="59"/>
      <c r="R462" s="57"/>
      <c r="S462" s="57"/>
      <c r="T462" s="59"/>
      <c r="U462" s="57"/>
      <c r="V462" s="57"/>
      <c r="W462" s="59"/>
      <c r="X462" s="57"/>
      <c r="Y462" s="57"/>
      <c r="Z462" s="59" t="str">
        <f t="shared" si="173"/>
        <v/>
      </c>
      <c r="AA462" s="57"/>
      <c r="AB462" s="57"/>
      <c r="AC462" s="59" t="str">
        <f t="shared" si="174"/>
        <v/>
      </c>
      <c r="AD462" s="57"/>
      <c r="AE462" s="57"/>
      <c r="AF462" s="59" t="str">
        <f t="shared" si="175"/>
        <v/>
      </c>
      <c r="AG462" s="57"/>
      <c r="AH462" s="57"/>
      <c r="AI462" s="59" t="str">
        <f t="shared" si="176"/>
        <v/>
      </c>
      <c r="AJ462" s="57"/>
      <c r="AK462" s="57"/>
      <c r="AL462" s="59" t="str">
        <f t="shared" si="177"/>
        <v/>
      </c>
      <c r="AM462" s="57"/>
      <c r="AN462" s="57"/>
      <c r="AO462" s="59" t="str">
        <f t="shared" si="178"/>
        <v/>
      </c>
      <c r="AP462" s="57"/>
      <c r="AQ462" s="59" t="str">
        <f t="shared" si="171"/>
        <v/>
      </c>
      <c r="AR462" s="57"/>
      <c r="AS462" s="57"/>
      <c r="AT462" s="59" t="str">
        <f t="shared" si="172"/>
        <v/>
      </c>
    </row>
    <row r="463" spans="1:46" hidden="1">
      <c r="A463" s="24"/>
      <c r="B463" s="26" t="s">
        <v>198</v>
      </c>
      <c r="C463" s="26" t="s">
        <v>443</v>
      </c>
      <c r="D463" s="50" t="s">
        <v>224</v>
      </c>
      <c r="E463" s="51" t="s">
        <v>288</v>
      </c>
      <c r="F463" s="50" t="s">
        <v>224</v>
      </c>
      <c r="G463" s="52"/>
      <c r="H463" s="50" t="s">
        <v>224</v>
      </c>
      <c r="I463" s="53"/>
      <c r="J463" s="50" t="s">
        <v>224</v>
      </c>
      <c r="K463" s="53"/>
      <c r="L463" s="50" t="s">
        <v>224</v>
      </c>
      <c r="M463" s="57"/>
      <c r="N463" s="55">
        <v>4.7453703703703703E-3</v>
      </c>
      <c r="O463" s="57"/>
      <c r="P463" s="57"/>
      <c r="Q463" s="59">
        <f>IF(MIN(IF(ISBLANK(O463),N463,O463),IF(ISBLANK(N463),O463,N463))=0,"",MIN(IF(ISBLANK(O463),N463,O463),IF(ISBLANK(N463),O463,N463)))</f>
        <v>4.7453703703703703E-3</v>
      </c>
      <c r="R463" s="57"/>
      <c r="S463" s="57"/>
      <c r="T463" s="59">
        <f>IF(MIN(IF(ISBLANK(R463),Q463,R463),IF(ISBLANK(Q463),R463,Q463))=0,"",MIN(IF(ISBLANK(R463),Q463,R463),IF(ISBLANK(Q463),R463,Q463)))</f>
        <v>4.7453703703703703E-3</v>
      </c>
      <c r="U463" s="57"/>
      <c r="V463" s="57"/>
      <c r="W463" s="59">
        <f>IF(MIN(IF(ISBLANK(U463),T463,U463),IF(ISBLANK(T463),U463,T463))=0,"",MIN(IF(ISBLANK(U463),T463,U463),IF(ISBLANK(T463),U463,T463)))</f>
        <v>4.7453703703703703E-3</v>
      </c>
      <c r="X463" s="57"/>
      <c r="Y463" s="57"/>
      <c r="Z463" s="59">
        <f t="shared" si="173"/>
        <v>4.7453703703703703E-3</v>
      </c>
      <c r="AA463" s="57"/>
      <c r="AB463" s="57"/>
      <c r="AC463" s="59">
        <f t="shared" si="174"/>
        <v>4.7453703703703703E-3</v>
      </c>
      <c r="AD463" s="57"/>
      <c r="AE463" s="57"/>
      <c r="AF463" s="59">
        <f t="shared" si="175"/>
        <v>4.7453703703703703E-3</v>
      </c>
      <c r="AG463" s="57"/>
      <c r="AH463" s="57"/>
      <c r="AI463" s="59">
        <f t="shared" si="176"/>
        <v>4.7453703703703703E-3</v>
      </c>
      <c r="AJ463" s="57"/>
      <c r="AK463" s="57"/>
      <c r="AL463" s="59">
        <f t="shared" si="177"/>
        <v>4.7453703703703703E-3</v>
      </c>
      <c r="AM463" s="57"/>
      <c r="AN463" s="57"/>
      <c r="AO463" s="59">
        <f t="shared" si="178"/>
        <v>4.7453703703703703E-3</v>
      </c>
      <c r="AP463" s="57"/>
      <c r="AQ463" s="59">
        <f t="shared" si="171"/>
        <v>4.7453703703703703E-3</v>
      </c>
      <c r="AR463" s="57"/>
      <c r="AS463" s="57"/>
      <c r="AT463" s="59">
        <f t="shared" si="172"/>
        <v>4.7453703703703703E-3</v>
      </c>
    </row>
    <row r="464" spans="1:46" hidden="1">
      <c r="A464" s="24"/>
      <c r="B464" s="26" t="s">
        <v>364</v>
      </c>
      <c r="C464" s="26" t="s">
        <v>443</v>
      </c>
      <c r="D464" s="50"/>
      <c r="E464" s="51"/>
      <c r="F464" s="50"/>
      <c r="G464" s="52" t="s">
        <v>344</v>
      </c>
      <c r="H464" s="50">
        <v>6.58</v>
      </c>
      <c r="I464" s="53">
        <v>6.38</v>
      </c>
      <c r="J464" s="50">
        <v>6.38</v>
      </c>
      <c r="K464" s="53"/>
      <c r="L464" s="50">
        <v>6.38</v>
      </c>
      <c r="M464" s="57"/>
      <c r="N464" s="55">
        <v>4.6064814814814814E-3</v>
      </c>
      <c r="O464" s="57"/>
      <c r="P464" s="57"/>
      <c r="Q464" s="59">
        <f>IF(MIN(IF(ISBLANK(O464),N464,O464),IF(ISBLANK(N464),O464,N464))=0,"",MIN(IF(ISBLANK(O464),N464,O464),IF(ISBLANK(N464),O464,N464)))</f>
        <v>4.6064814814814814E-3</v>
      </c>
      <c r="R464" s="57"/>
      <c r="S464" s="57"/>
      <c r="T464" s="59">
        <f>IF(MIN(IF(ISBLANK(R464),Q464,R464),IF(ISBLANK(Q464),R464,Q464))=0,"",MIN(IF(ISBLANK(R464),Q464,R464),IF(ISBLANK(Q464),R464,Q464)))</f>
        <v>4.6064814814814814E-3</v>
      </c>
      <c r="U464" s="57"/>
      <c r="V464" s="57"/>
      <c r="W464" s="59">
        <f>IF(MIN(IF(ISBLANK(U464),T464,U464),IF(ISBLANK(T464),U464,T464))=0,"",MIN(IF(ISBLANK(U464),T464,U464),IF(ISBLANK(T464),U464,T464)))</f>
        <v>4.6064814814814814E-3</v>
      </c>
      <c r="X464" s="57"/>
      <c r="Y464" s="57"/>
      <c r="Z464" s="59">
        <f t="shared" si="173"/>
        <v>4.6064814814814814E-3</v>
      </c>
      <c r="AA464" s="57"/>
      <c r="AB464" s="57"/>
      <c r="AC464" s="59">
        <f t="shared" si="174"/>
        <v>4.6064814814814814E-3</v>
      </c>
      <c r="AD464" s="57"/>
      <c r="AE464" s="57"/>
      <c r="AF464" s="59">
        <f t="shared" si="175"/>
        <v>4.6064814814814814E-3</v>
      </c>
      <c r="AG464" s="57"/>
      <c r="AH464" s="57"/>
      <c r="AI464" s="59">
        <f t="shared" si="176"/>
        <v>4.6064814814814814E-3</v>
      </c>
      <c r="AJ464" s="57"/>
      <c r="AK464" s="57"/>
      <c r="AL464" s="59">
        <f t="shared" si="177"/>
        <v>4.6064814814814814E-3</v>
      </c>
      <c r="AM464" s="57"/>
      <c r="AN464" s="57"/>
      <c r="AO464" s="59">
        <f t="shared" si="178"/>
        <v>4.6064814814814814E-3</v>
      </c>
      <c r="AP464" s="57"/>
      <c r="AQ464" s="59">
        <f t="shared" si="171"/>
        <v>4.6064814814814814E-3</v>
      </c>
      <c r="AR464" s="57"/>
      <c r="AS464" s="57"/>
      <c r="AT464" s="59">
        <f t="shared" si="172"/>
        <v>4.6064814814814814E-3</v>
      </c>
    </row>
    <row r="465" spans="1:46" hidden="1">
      <c r="A465" s="24"/>
      <c r="B465" s="26" t="s">
        <v>203</v>
      </c>
      <c r="C465" s="26" t="s">
        <v>443</v>
      </c>
      <c r="D465" s="50">
        <v>12.26</v>
      </c>
      <c r="E465" s="51" t="s">
        <v>302</v>
      </c>
      <c r="F465" s="50">
        <v>12.18</v>
      </c>
      <c r="G465" s="52">
        <v>10.23</v>
      </c>
      <c r="H465" s="50">
        <v>10.23</v>
      </c>
      <c r="I465" s="53">
        <v>10.43</v>
      </c>
      <c r="J465" s="50">
        <v>10.23</v>
      </c>
      <c r="K465" s="53">
        <v>10.43</v>
      </c>
      <c r="L465" s="50">
        <v>10.23</v>
      </c>
      <c r="M465" s="57"/>
      <c r="N465" s="55">
        <v>7.2106481481481475E-3</v>
      </c>
      <c r="O465" s="57">
        <v>6.7245370370370367E-3</v>
      </c>
      <c r="P465" s="57"/>
      <c r="Q465" s="59">
        <f>IF(MIN(IF(ISBLANK(O465),N465,O465),IF(ISBLANK(N465),O465,N465))=0,"",MIN(IF(ISBLANK(O465),N465,O465),IF(ISBLANK(N465),O465,N465)))</f>
        <v>6.7245370370370367E-3</v>
      </c>
      <c r="R465" s="57"/>
      <c r="S465" s="57"/>
      <c r="T465" s="59">
        <f>IF(MIN(IF(ISBLANK(R465),Q465,R465),IF(ISBLANK(Q465),R465,Q465))=0,"",MIN(IF(ISBLANK(R465),Q465,R465),IF(ISBLANK(Q465),R465,Q465)))</f>
        <v>6.7245370370370367E-3</v>
      </c>
      <c r="U465" s="57"/>
      <c r="V465" s="57"/>
      <c r="W465" s="59">
        <f>IF(MIN(IF(ISBLANK(U465),T465,U465),IF(ISBLANK(T465),U465,T465))=0,"",MIN(IF(ISBLANK(U465),T465,U465),IF(ISBLANK(T465),U465,T465)))</f>
        <v>6.7245370370370367E-3</v>
      </c>
      <c r="X465" s="57"/>
      <c r="Y465" s="57"/>
      <c r="Z465" s="59">
        <f t="shared" si="173"/>
        <v>6.7245370370370367E-3</v>
      </c>
      <c r="AA465" s="57"/>
      <c r="AB465" s="57"/>
      <c r="AC465" s="59">
        <f t="shared" si="174"/>
        <v>6.7245370370370367E-3</v>
      </c>
      <c r="AD465" s="57"/>
      <c r="AE465" s="57"/>
      <c r="AF465" s="59">
        <f t="shared" si="175"/>
        <v>6.7245370370370367E-3</v>
      </c>
      <c r="AG465" s="57"/>
      <c r="AH465" s="57"/>
      <c r="AI465" s="59">
        <f t="shared" si="176"/>
        <v>6.7245370370370367E-3</v>
      </c>
      <c r="AJ465" s="57"/>
      <c r="AK465" s="57"/>
      <c r="AL465" s="59">
        <f t="shared" si="177"/>
        <v>6.7245370370370367E-3</v>
      </c>
      <c r="AM465" s="57"/>
      <c r="AN465" s="57"/>
      <c r="AO465" s="59">
        <f t="shared" si="178"/>
        <v>6.7245370370370367E-3</v>
      </c>
      <c r="AP465" s="57"/>
      <c r="AQ465" s="59">
        <f t="shared" si="171"/>
        <v>6.7245370370370367E-3</v>
      </c>
      <c r="AR465" s="57"/>
      <c r="AS465" s="57"/>
      <c r="AT465" s="59">
        <f t="shared" si="172"/>
        <v>6.7245370370370367E-3</v>
      </c>
    </row>
    <row r="466" spans="1:46">
      <c r="A466" s="24" t="s">
        <v>792</v>
      </c>
      <c r="B466" s="26" t="s">
        <v>853</v>
      </c>
      <c r="C466" s="26"/>
      <c r="D466" s="50"/>
      <c r="E466" s="51"/>
      <c r="F466" s="50"/>
      <c r="G466" s="52"/>
      <c r="H466" s="50"/>
      <c r="I466" s="53"/>
      <c r="J466" s="50"/>
      <c r="K466" s="53"/>
      <c r="L466" s="50"/>
      <c r="M466" s="57"/>
      <c r="N466" s="55"/>
      <c r="O466" s="57"/>
      <c r="P466" s="57"/>
      <c r="Q466" s="59"/>
      <c r="R466" s="57"/>
      <c r="S466" s="57"/>
      <c r="T466" s="59"/>
      <c r="U466" s="57"/>
      <c r="V466" s="57"/>
      <c r="W466" s="59"/>
      <c r="X466" s="57"/>
      <c r="Y466" s="57"/>
      <c r="Z466" s="59"/>
      <c r="AA466" s="57"/>
      <c r="AB466" s="57"/>
      <c r="AC466" s="59"/>
      <c r="AD466" s="57"/>
      <c r="AE466" s="57"/>
      <c r="AF466" s="59"/>
      <c r="AG466" s="57"/>
      <c r="AH466" s="57"/>
      <c r="AI466" s="59"/>
      <c r="AJ466" s="57"/>
      <c r="AK466" s="57"/>
      <c r="AL466" s="59"/>
      <c r="AM466" s="57"/>
      <c r="AN466" s="57"/>
      <c r="AO466" s="59"/>
      <c r="AP466" s="57"/>
      <c r="AQ466" s="59" t="str">
        <f t="shared" si="171"/>
        <v/>
      </c>
      <c r="AR466" s="57"/>
      <c r="AS466" s="57"/>
      <c r="AT466" s="59" t="str">
        <f t="shared" si="172"/>
        <v/>
      </c>
    </row>
    <row r="467" spans="1:46" hidden="1">
      <c r="A467" s="24"/>
      <c r="B467" s="26" t="s">
        <v>217</v>
      </c>
      <c r="C467" s="26" t="s">
        <v>443</v>
      </c>
      <c r="D467" s="50"/>
      <c r="E467" s="51"/>
      <c r="F467" s="50" t="s">
        <v>448</v>
      </c>
      <c r="G467" s="52"/>
      <c r="H467" s="50"/>
      <c r="I467" s="53"/>
      <c r="J467" s="50" t="s">
        <v>448</v>
      </c>
      <c r="K467" s="53"/>
      <c r="L467" s="50"/>
      <c r="M467" s="57"/>
      <c r="N467" s="55"/>
      <c r="O467" s="57"/>
      <c r="P467" s="57"/>
      <c r="Q467" s="59" t="str">
        <f>IF(MIN(IF(ISBLANK(O467),N467,O467),IF(ISBLANK(N467),O467,N467))=0,"",MIN(IF(ISBLANK(O467),N467,O467),IF(ISBLANK(N467),O467,N467)))</f>
        <v/>
      </c>
      <c r="R467" s="57"/>
      <c r="S467" s="57"/>
      <c r="T467" s="59" t="str">
        <f>IF(MIN(IF(ISBLANK(R467),Q467,R467),IF(ISBLANK(Q467),R467,Q467))=0,"",MIN(IF(ISBLANK(R467),Q467,R467),IF(ISBLANK(Q467),R467,Q467)))</f>
        <v/>
      </c>
      <c r="U467" s="57"/>
      <c r="V467" s="57"/>
      <c r="W467" s="59" t="str">
        <f>IF(MIN(IF(ISBLANK(U467),T467,U467),IF(ISBLANK(T467),U467,T467))=0,"",MIN(IF(ISBLANK(U467),T467,U467),IF(ISBLANK(T467),U467,T467)))</f>
        <v/>
      </c>
      <c r="X467" s="57"/>
      <c r="Y467" s="57"/>
      <c r="Z467" s="59" t="str">
        <f>IF(MIN(IF(ISBLANK(X467),W467,X467),IF(ISBLANK(W467),X467,W467))=0,"",MIN(IF(ISBLANK(X467),W467,X467),IF(ISBLANK(W467),X467,W467)))</f>
        <v/>
      </c>
      <c r="AA467" s="57"/>
      <c r="AB467" s="57"/>
      <c r="AC467" s="59" t="str">
        <f>IF(MIN(IF(ISBLANK(Z467),AA467,Z467),IF(ISBLANK(AA467),Z467,AA467))=0,"",MIN(IF(ISBLANK(Z467),AA467,Z467),IF(ISBLANK(AA467),Z467,AA467)))</f>
        <v/>
      </c>
      <c r="AD467" s="57"/>
      <c r="AE467" s="57"/>
      <c r="AF467" s="59" t="str">
        <f t="shared" ref="AF467:AF472" si="179">IF(MIN(IF(ISBLANK(AC467),AD467,AC467),IF(ISBLANK(AD467),AC467,AD467))=0,"",MIN(IF(ISBLANK(AC467),AD467,AC467),IF(ISBLANK(AD467),AC467,AD467)))</f>
        <v/>
      </c>
      <c r="AG467" s="57"/>
      <c r="AH467" s="57"/>
      <c r="AI467" s="59" t="str">
        <f t="shared" ref="AI467:AI472" si="180">IF(MIN(IF(ISBLANK(AF467),AG467,AF467),IF(ISBLANK(AG467),AF467,AG467))=0,"",MIN(IF(ISBLANK(AF467),AG467,AF467),IF(ISBLANK(AG467),AF467,AG467)))</f>
        <v/>
      </c>
      <c r="AJ467" s="57"/>
      <c r="AK467" s="57"/>
      <c r="AL467" s="59" t="str">
        <f t="shared" ref="AL467:AL481" si="181">IF(MIN(IF(ISBLANK(AI467),AJ467,AI467),IF(ISBLANK(AJ467),AI467,AJ467))=0,"",MIN(IF(ISBLANK(AI467),AJ467,AI467),IF(ISBLANK(AJ467),AI467,AJ467)))</f>
        <v/>
      </c>
      <c r="AM467" s="57"/>
      <c r="AN467" s="57"/>
      <c r="AO467" s="59" t="str">
        <f t="shared" ref="AO467:AO481" si="182">IF(MIN(IF(ISBLANK(AL467),AM467,AL467),IF(ISBLANK(AM467),AL467,AM467))=0,"",MIN(IF(ISBLANK(AL467),AM467,AL467),IF(ISBLANK(AM467),AL467,AM467)))</f>
        <v/>
      </c>
      <c r="AP467" s="57"/>
      <c r="AQ467" s="59" t="str">
        <f t="shared" si="171"/>
        <v/>
      </c>
      <c r="AR467" s="57"/>
      <c r="AS467" s="57"/>
      <c r="AT467" s="59" t="str">
        <f t="shared" si="172"/>
        <v/>
      </c>
    </row>
    <row r="468" spans="1:46">
      <c r="A468" s="24" t="s">
        <v>792</v>
      </c>
      <c r="B468" s="26" t="s">
        <v>658</v>
      </c>
      <c r="C468" s="26"/>
      <c r="D468" s="50"/>
      <c r="E468" s="51"/>
      <c r="F468" s="50"/>
      <c r="G468" s="52"/>
      <c r="H468" s="50"/>
      <c r="I468" s="53"/>
      <c r="J468" s="50"/>
      <c r="K468" s="53"/>
      <c r="L468" s="50"/>
      <c r="M468" s="57"/>
      <c r="N468" s="55"/>
      <c r="O468" s="57"/>
      <c r="P468" s="57"/>
      <c r="Q468" s="59"/>
      <c r="R468" s="57"/>
      <c r="S468" s="57"/>
      <c r="T468" s="59"/>
      <c r="U468" s="57"/>
      <c r="V468" s="57"/>
      <c r="W468" s="59"/>
      <c r="X468" s="57">
        <v>4.5717592592592589E-3</v>
      </c>
      <c r="Y468" s="57"/>
      <c r="Z468" s="59">
        <f>IF(MIN(IF(ISBLANK(X468),W468,X468),IF(ISBLANK(W468),X468,W468))=0,"",MIN(IF(ISBLANK(X468),W468,X468),IF(ISBLANK(W468),X468,W468)))</f>
        <v>4.5717592592592589E-3</v>
      </c>
      <c r="AA468" s="57">
        <v>4.3749999999999995E-3</v>
      </c>
      <c r="AB468" s="57"/>
      <c r="AC468" s="59">
        <f>IF(MIN(IF(ISBLANK(Z468),AA468,Z468),IF(ISBLANK(AA468),Z468,AA468))=0,"",MIN(IF(ISBLANK(Z468),AA468,Z468),IF(ISBLANK(AA468),Z468,AA468)))</f>
        <v>4.3749999999999995E-3</v>
      </c>
      <c r="AD468" s="57"/>
      <c r="AE468" s="57"/>
      <c r="AF468" s="59">
        <f t="shared" si="179"/>
        <v>4.3749999999999995E-3</v>
      </c>
      <c r="AG468" s="57">
        <v>4.8958333333333328E-3</v>
      </c>
      <c r="AH468" s="57"/>
      <c r="AI468" s="59">
        <f t="shared" si="180"/>
        <v>4.3749999999999995E-3</v>
      </c>
      <c r="AJ468" s="57"/>
      <c r="AK468" s="57"/>
      <c r="AL468" s="59">
        <f t="shared" si="181"/>
        <v>4.3749999999999995E-3</v>
      </c>
      <c r="AM468" s="57">
        <v>4.5717592592592589E-3</v>
      </c>
      <c r="AN468" s="57"/>
      <c r="AO468" s="59">
        <f t="shared" si="182"/>
        <v>4.3749999999999995E-3</v>
      </c>
      <c r="AP468" s="57">
        <v>4.6874999999999998E-3</v>
      </c>
      <c r="AQ468" s="59">
        <f t="shared" si="171"/>
        <v>4.3749999999999995E-3</v>
      </c>
      <c r="AR468" s="57"/>
      <c r="AS468" s="57"/>
      <c r="AT468" s="59">
        <f t="shared" si="172"/>
        <v>4.3749999999999995E-3</v>
      </c>
    </row>
    <row r="469" spans="1:46">
      <c r="A469" s="24" t="s">
        <v>792</v>
      </c>
      <c r="B469" s="26" t="s">
        <v>740</v>
      </c>
      <c r="C469" s="26"/>
      <c r="D469" s="50"/>
      <c r="E469" s="51"/>
      <c r="F469" s="50"/>
      <c r="G469" s="52"/>
      <c r="H469" s="50"/>
      <c r="I469" s="53"/>
      <c r="J469" s="50"/>
      <c r="K469" s="53"/>
      <c r="L469" s="50"/>
      <c r="M469" s="57"/>
      <c r="N469" s="55"/>
      <c r="O469" s="57"/>
      <c r="P469" s="57"/>
      <c r="Q469" s="59"/>
      <c r="R469" s="57"/>
      <c r="S469" s="57"/>
      <c r="T469" s="59"/>
      <c r="U469" s="57"/>
      <c r="V469" s="57"/>
      <c r="W469" s="59"/>
      <c r="X469" s="57"/>
      <c r="Y469" s="57"/>
      <c r="Z469" s="59"/>
      <c r="AA469" s="57"/>
      <c r="AB469" s="57"/>
      <c r="AC469" s="59"/>
      <c r="AD469" s="57"/>
      <c r="AE469" s="57"/>
      <c r="AF469" s="59" t="str">
        <f t="shared" si="179"/>
        <v/>
      </c>
      <c r="AG469" s="57">
        <v>6.3541666666666668E-3</v>
      </c>
      <c r="AH469" s="57"/>
      <c r="AI469" s="59">
        <f t="shared" si="180"/>
        <v>6.3541666666666668E-3</v>
      </c>
      <c r="AJ469" s="57">
        <v>6.782407407407408E-3</v>
      </c>
      <c r="AK469" s="57"/>
      <c r="AL469" s="59">
        <f t="shared" si="181"/>
        <v>6.3541666666666668E-3</v>
      </c>
      <c r="AM469" s="57"/>
      <c r="AN469" s="57"/>
      <c r="AO469" s="59">
        <f t="shared" si="182"/>
        <v>6.3541666666666668E-3</v>
      </c>
      <c r="AP469" s="57">
        <v>6.1111111111111114E-3</v>
      </c>
      <c r="AQ469" s="59">
        <f t="shared" si="171"/>
        <v>6.1111111111111114E-3</v>
      </c>
      <c r="AR469" s="57"/>
      <c r="AS469" s="57"/>
      <c r="AT469" s="59">
        <f t="shared" si="172"/>
        <v>6.1111111111111114E-3</v>
      </c>
    </row>
    <row r="470" spans="1:46" hidden="1">
      <c r="A470" s="24"/>
      <c r="B470" s="26" t="s">
        <v>506</v>
      </c>
      <c r="C470" s="26" t="s">
        <v>444</v>
      </c>
      <c r="D470" s="50"/>
      <c r="E470" s="51"/>
      <c r="F470" s="50"/>
      <c r="G470" s="52"/>
      <c r="H470" s="50"/>
      <c r="I470" s="53"/>
      <c r="J470" s="50"/>
      <c r="K470" s="53"/>
      <c r="L470" s="50"/>
      <c r="M470" s="57"/>
      <c r="N470" s="55"/>
      <c r="O470" s="57"/>
      <c r="P470" s="57"/>
      <c r="Q470" s="59" t="str">
        <f>IF(MIN(IF(ISBLANK(O470),N470,O470),IF(ISBLANK(N470),O470,N470))=0,"",MIN(IF(ISBLANK(O470),N470,O470),IF(ISBLANK(N470),O470,N470)))</f>
        <v/>
      </c>
      <c r="R470" s="57"/>
      <c r="S470" s="57"/>
      <c r="T470" s="59" t="str">
        <f>IF(MIN(IF(ISBLANK(R470),Q470,R470),IF(ISBLANK(Q470),R470,Q470))=0,"",MIN(IF(ISBLANK(R470),Q470,R470),IF(ISBLANK(Q470),R470,Q470)))</f>
        <v/>
      </c>
      <c r="U470" s="57"/>
      <c r="V470" s="57"/>
      <c r="W470" s="59" t="str">
        <f>IF(MIN(IF(ISBLANK(U470),T470,U470),IF(ISBLANK(T470),U470,T470))=0,"",MIN(IF(ISBLANK(U470),T470,U470),IF(ISBLANK(T470),U470,T470)))</f>
        <v/>
      </c>
      <c r="X470" s="57"/>
      <c r="Y470" s="57"/>
      <c r="Z470" s="59" t="str">
        <f>IF(MIN(IF(ISBLANK(X470),W470,X470),IF(ISBLANK(W470),X470,W470))=0,"",MIN(IF(ISBLANK(X470),W470,X470),IF(ISBLANK(W470),X470,W470)))</f>
        <v/>
      </c>
      <c r="AA470" s="57"/>
      <c r="AB470" s="57"/>
      <c r="AC470" s="59" t="str">
        <f>IF(MIN(IF(ISBLANK(Z470),AA470,Z470),IF(ISBLANK(AA470),Z470,AA470))=0,"",MIN(IF(ISBLANK(Z470),AA470,Z470),IF(ISBLANK(AA470),Z470,AA470)))</f>
        <v/>
      </c>
      <c r="AD470" s="57"/>
      <c r="AE470" s="57"/>
      <c r="AF470" s="59" t="str">
        <f t="shared" si="179"/>
        <v/>
      </c>
      <c r="AG470" s="57"/>
      <c r="AH470" s="57"/>
      <c r="AI470" s="59" t="str">
        <f t="shared" si="180"/>
        <v/>
      </c>
      <c r="AJ470" s="57"/>
      <c r="AK470" s="57"/>
      <c r="AL470" s="59" t="str">
        <f t="shared" si="181"/>
        <v/>
      </c>
      <c r="AM470" s="57"/>
      <c r="AN470" s="57"/>
      <c r="AO470" s="59" t="str">
        <f t="shared" si="182"/>
        <v/>
      </c>
      <c r="AP470" s="57"/>
      <c r="AQ470" s="59" t="str">
        <f t="shared" si="171"/>
        <v/>
      </c>
      <c r="AR470" s="57"/>
      <c r="AS470" s="57"/>
      <c r="AT470" s="59" t="str">
        <f t="shared" si="172"/>
        <v/>
      </c>
    </row>
    <row r="471" spans="1:46" hidden="1">
      <c r="A471" s="24"/>
      <c r="B471" s="26" t="s">
        <v>724</v>
      </c>
      <c r="C471" s="26"/>
      <c r="D471" s="50"/>
      <c r="E471" s="51"/>
      <c r="F471" s="50"/>
      <c r="G471" s="52"/>
      <c r="H471" s="50"/>
      <c r="I471" s="53"/>
      <c r="J471" s="50"/>
      <c r="K471" s="53"/>
      <c r="L471" s="50"/>
      <c r="M471" s="57"/>
      <c r="N471" s="55"/>
      <c r="O471" s="57"/>
      <c r="P471" s="57"/>
      <c r="Q471" s="59"/>
      <c r="R471" s="57"/>
      <c r="S471" s="57"/>
      <c r="T471" s="59"/>
      <c r="U471" s="57"/>
      <c r="V471" s="57"/>
      <c r="W471" s="59"/>
      <c r="X471" s="57"/>
      <c r="Y471" s="57"/>
      <c r="Z471" s="59"/>
      <c r="AA471" s="57"/>
      <c r="AB471" s="57"/>
      <c r="AC471" s="59"/>
      <c r="AD471" s="57">
        <v>5.2893518518518515E-3</v>
      </c>
      <c r="AE471" s="57"/>
      <c r="AF471" s="59">
        <f t="shared" si="179"/>
        <v>5.2893518518518515E-3</v>
      </c>
      <c r="AG471" s="57"/>
      <c r="AH471" s="57"/>
      <c r="AI471" s="59">
        <f t="shared" si="180"/>
        <v>5.2893518518518515E-3</v>
      </c>
      <c r="AJ471" s="57"/>
      <c r="AK471" s="57"/>
      <c r="AL471" s="59">
        <f t="shared" si="181"/>
        <v>5.2893518518518515E-3</v>
      </c>
      <c r="AM471" s="57"/>
      <c r="AN471" s="57"/>
      <c r="AO471" s="59">
        <f t="shared" si="182"/>
        <v>5.2893518518518515E-3</v>
      </c>
      <c r="AP471" s="57"/>
      <c r="AQ471" s="59">
        <f t="shared" si="171"/>
        <v>5.2893518518518515E-3</v>
      </c>
      <c r="AR471" s="57"/>
      <c r="AS471" s="57"/>
      <c r="AT471" s="59">
        <f t="shared" si="172"/>
        <v>5.2893518518518515E-3</v>
      </c>
    </row>
    <row r="472" spans="1:46" hidden="1">
      <c r="A472" s="24"/>
      <c r="B472" s="26" t="s">
        <v>573</v>
      </c>
      <c r="C472" s="26"/>
      <c r="D472" s="50"/>
      <c r="E472" s="51"/>
      <c r="F472" s="50"/>
      <c r="G472" s="52"/>
      <c r="H472" s="50"/>
      <c r="I472" s="53"/>
      <c r="J472" s="50"/>
      <c r="K472" s="53"/>
      <c r="L472" s="50"/>
      <c r="M472" s="57"/>
      <c r="N472" s="55"/>
      <c r="O472" s="57"/>
      <c r="P472" s="57"/>
      <c r="Q472" s="59"/>
      <c r="R472" s="57">
        <v>5.9722222222222225E-3</v>
      </c>
      <c r="S472" s="57"/>
      <c r="T472" s="59">
        <f>IF(MIN(IF(ISBLANK(R472),Q472,R472),IF(ISBLANK(Q472),R472,Q472))=0,"",MIN(IF(ISBLANK(R472),Q472,R472),IF(ISBLANK(Q472),R472,Q472)))</f>
        <v>5.9722222222222225E-3</v>
      </c>
      <c r="U472" s="57">
        <v>6.053240740740741E-3</v>
      </c>
      <c r="V472" s="57"/>
      <c r="W472" s="59">
        <f>IF(MIN(IF(ISBLANK(U472),T472,U472),IF(ISBLANK(T472),U472,T472))=0,"",MIN(IF(ISBLANK(U472),T472,U472),IF(ISBLANK(T472),U472,T472)))</f>
        <v>5.9722222222222225E-3</v>
      </c>
      <c r="X472" s="57"/>
      <c r="Y472" s="57"/>
      <c r="Z472" s="59">
        <f>IF(MIN(IF(ISBLANK(X472),W472,X472),IF(ISBLANK(W472),X472,W472))=0,"",MIN(IF(ISBLANK(X472),W472,X472),IF(ISBLANK(W472),X472,W472)))</f>
        <v>5.9722222222222225E-3</v>
      </c>
      <c r="AA472" s="57"/>
      <c r="AB472" s="57"/>
      <c r="AC472" s="59">
        <f>IF(MIN(IF(ISBLANK(Z472),AA472,Z472),IF(ISBLANK(AA472),Z472,AA472))=0,"",MIN(IF(ISBLANK(Z472),AA472,Z472),IF(ISBLANK(AA472),Z472,AA472)))</f>
        <v>5.9722222222222225E-3</v>
      </c>
      <c r="AD472" s="57"/>
      <c r="AE472" s="57"/>
      <c r="AF472" s="59">
        <f t="shared" si="179"/>
        <v>5.9722222222222225E-3</v>
      </c>
      <c r="AG472" s="57"/>
      <c r="AH472" s="57"/>
      <c r="AI472" s="59">
        <f t="shared" si="180"/>
        <v>5.9722222222222225E-3</v>
      </c>
      <c r="AJ472" s="57"/>
      <c r="AK472" s="57"/>
      <c r="AL472" s="59">
        <f t="shared" si="181"/>
        <v>5.9722222222222225E-3</v>
      </c>
      <c r="AM472" s="57"/>
      <c r="AN472" s="57"/>
      <c r="AO472" s="59">
        <f t="shared" si="182"/>
        <v>5.9722222222222225E-3</v>
      </c>
      <c r="AP472" s="57"/>
      <c r="AQ472" s="59">
        <f t="shared" si="171"/>
        <v>5.9722222222222225E-3</v>
      </c>
      <c r="AR472" s="57"/>
      <c r="AS472" s="57"/>
      <c r="AT472" s="59">
        <f t="shared" si="172"/>
        <v>5.9722222222222225E-3</v>
      </c>
    </row>
    <row r="473" spans="1:46" hidden="1">
      <c r="A473" s="24"/>
      <c r="B473" s="26" t="s">
        <v>781</v>
      </c>
      <c r="C473" s="26"/>
      <c r="D473" s="50"/>
      <c r="E473" s="51"/>
      <c r="F473" s="50"/>
      <c r="G473" s="52"/>
      <c r="H473" s="50"/>
      <c r="I473" s="53"/>
      <c r="J473" s="50"/>
      <c r="K473" s="53"/>
      <c r="L473" s="50"/>
      <c r="M473" s="57"/>
      <c r="N473" s="55"/>
      <c r="O473" s="57"/>
      <c r="P473" s="57"/>
      <c r="Q473" s="59"/>
      <c r="R473" s="57"/>
      <c r="S473" s="57"/>
      <c r="T473" s="59"/>
      <c r="U473" s="57"/>
      <c r="V473" s="57"/>
      <c r="W473" s="59"/>
      <c r="X473" s="57"/>
      <c r="Y473" s="57"/>
      <c r="Z473" s="59"/>
      <c r="AA473" s="57"/>
      <c r="AB473" s="57"/>
      <c r="AC473" s="59"/>
      <c r="AD473" s="57"/>
      <c r="AE473" s="57"/>
      <c r="AF473" s="59"/>
      <c r="AG473" s="57"/>
      <c r="AH473" s="57"/>
      <c r="AI473" s="59"/>
      <c r="AJ473" s="57"/>
      <c r="AK473" s="57"/>
      <c r="AL473" s="59" t="str">
        <f t="shared" si="181"/>
        <v/>
      </c>
      <c r="AM473" s="57"/>
      <c r="AN473" s="57"/>
      <c r="AO473" s="59" t="str">
        <f t="shared" si="182"/>
        <v/>
      </c>
      <c r="AP473" s="57"/>
      <c r="AQ473" s="59" t="str">
        <f t="shared" si="171"/>
        <v/>
      </c>
      <c r="AR473" s="57"/>
      <c r="AS473" s="57"/>
      <c r="AT473" s="59" t="str">
        <f t="shared" si="172"/>
        <v/>
      </c>
    </row>
    <row r="474" spans="1:46" hidden="1">
      <c r="A474" s="24"/>
      <c r="B474" s="26" t="s">
        <v>561</v>
      </c>
      <c r="C474" s="26" t="s">
        <v>444</v>
      </c>
      <c r="D474" s="50"/>
      <c r="E474" s="51"/>
      <c r="F474" s="50"/>
      <c r="G474" s="52"/>
      <c r="H474" s="50"/>
      <c r="I474" s="53"/>
      <c r="J474" s="50"/>
      <c r="K474" s="53"/>
      <c r="L474" s="50"/>
      <c r="M474" s="57"/>
      <c r="N474" s="55"/>
      <c r="O474" s="57">
        <v>6.4814814814814813E-3</v>
      </c>
      <c r="P474" s="57"/>
      <c r="Q474" s="59">
        <f t="shared" ref="Q474:Q481" si="183">IF(MIN(IF(ISBLANK(O474),N474,O474),IF(ISBLANK(N474),O474,N474))=0,"",MIN(IF(ISBLANK(O474),N474,O474),IF(ISBLANK(N474),O474,N474)))</f>
        <v>6.4814814814814813E-3</v>
      </c>
      <c r="R474" s="57"/>
      <c r="S474" s="57"/>
      <c r="T474" s="59">
        <f t="shared" ref="T474:T481" si="184">IF(MIN(IF(ISBLANK(R474),Q474,R474),IF(ISBLANK(Q474),R474,Q474))=0,"",MIN(IF(ISBLANK(R474),Q474,R474),IF(ISBLANK(Q474),R474,Q474)))</f>
        <v>6.4814814814814813E-3</v>
      </c>
      <c r="U474" s="57"/>
      <c r="V474" s="57"/>
      <c r="W474" s="59">
        <f t="shared" ref="W474:W481" si="185">IF(MIN(IF(ISBLANK(U474),T474,U474),IF(ISBLANK(T474),U474,T474))=0,"",MIN(IF(ISBLANK(U474),T474,U474),IF(ISBLANK(T474),U474,T474)))</f>
        <v>6.4814814814814813E-3</v>
      </c>
      <c r="X474" s="57"/>
      <c r="Y474" s="57"/>
      <c r="Z474" s="59">
        <f t="shared" ref="Z474:Z481" si="186">IF(MIN(IF(ISBLANK(X474),W474,X474),IF(ISBLANK(W474),X474,W474))=0,"",MIN(IF(ISBLANK(X474),W474,X474),IF(ISBLANK(W474),X474,W474)))</f>
        <v>6.4814814814814813E-3</v>
      </c>
      <c r="AA474" s="57"/>
      <c r="AB474" s="57"/>
      <c r="AC474" s="59">
        <f t="shared" ref="AC474:AC481" si="187">IF(MIN(IF(ISBLANK(Z474),AA474,Z474),IF(ISBLANK(AA474),Z474,AA474))=0,"",MIN(IF(ISBLANK(Z474),AA474,Z474),IF(ISBLANK(AA474),Z474,AA474)))</f>
        <v>6.4814814814814813E-3</v>
      </c>
      <c r="AD474" s="57"/>
      <c r="AE474" s="57"/>
      <c r="AF474" s="59">
        <f t="shared" ref="AF474:AF481" si="188">IF(MIN(IF(ISBLANK(AC474),AD474,AC474),IF(ISBLANK(AD474),AC474,AD474))=0,"",MIN(IF(ISBLANK(AC474),AD474,AC474),IF(ISBLANK(AD474),AC474,AD474)))</f>
        <v>6.4814814814814813E-3</v>
      </c>
      <c r="AG474" s="57"/>
      <c r="AH474" s="57"/>
      <c r="AI474" s="59">
        <f t="shared" ref="AI474:AI481" si="189">IF(MIN(IF(ISBLANK(AF474),AG474,AF474),IF(ISBLANK(AG474),AF474,AG474))=0,"",MIN(IF(ISBLANK(AF474),AG474,AF474),IF(ISBLANK(AG474),AF474,AG474)))</f>
        <v>6.4814814814814813E-3</v>
      </c>
      <c r="AJ474" s="57"/>
      <c r="AK474" s="57"/>
      <c r="AL474" s="59">
        <f t="shared" si="181"/>
        <v>6.4814814814814813E-3</v>
      </c>
      <c r="AM474" s="57"/>
      <c r="AN474" s="57"/>
      <c r="AO474" s="59">
        <f t="shared" si="182"/>
        <v>6.4814814814814813E-3</v>
      </c>
      <c r="AP474" s="57"/>
      <c r="AQ474" s="59">
        <f t="shared" si="171"/>
        <v>6.4814814814814813E-3</v>
      </c>
      <c r="AR474" s="57"/>
      <c r="AS474" s="57"/>
      <c r="AT474" s="59">
        <f t="shared" si="172"/>
        <v>6.4814814814814813E-3</v>
      </c>
    </row>
    <row r="475" spans="1:46" hidden="1">
      <c r="A475" s="24"/>
      <c r="B475" s="26" t="s">
        <v>16</v>
      </c>
      <c r="C475" s="26" t="s">
        <v>444</v>
      </c>
      <c r="D475" s="50" t="s">
        <v>225</v>
      </c>
      <c r="E475" s="51"/>
      <c r="F475" s="50" t="s">
        <v>225</v>
      </c>
      <c r="G475" s="52"/>
      <c r="H475" s="50" t="s">
        <v>225</v>
      </c>
      <c r="I475" s="53"/>
      <c r="J475" s="50" t="s">
        <v>225</v>
      </c>
      <c r="K475" s="53"/>
      <c r="L475" s="50" t="s">
        <v>225</v>
      </c>
      <c r="M475" s="57"/>
      <c r="N475" s="55">
        <v>6.5972222222222222E-3</v>
      </c>
      <c r="O475" s="57"/>
      <c r="P475" s="57"/>
      <c r="Q475" s="59">
        <f t="shared" si="183"/>
        <v>6.5972222222222222E-3</v>
      </c>
      <c r="R475" s="57"/>
      <c r="S475" s="57"/>
      <c r="T475" s="59">
        <f t="shared" si="184"/>
        <v>6.5972222222222222E-3</v>
      </c>
      <c r="U475" s="57">
        <v>6.8865740740740736E-3</v>
      </c>
      <c r="V475" s="57"/>
      <c r="W475" s="59">
        <f t="shared" si="185"/>
        <v>6.5972222222222222E-3</v>
      </c>
      <c r="X475" s="57"/>
      <c r="Y475" s="57"/>
      <c r="Z475" s="59">
        <f t="shared" si="186"/>
        <v>6.5972222222222222E-3</v>
      </c>
      <c r="AA475" s="57"/>
      <c r="AB475" s="57"/>
      <c r="AC475" s="59">
        <f t="shared" si="187"/>
        <v>6.5972222222222222E-3</v>
      </c>
      <c r="AD475" s="57"/>
      <c r="AE475" s="57"/>
      <c r="AF475" s="59">
        <f t="shared" si="188"/>
        <v>6.5972222222222222E-3</v>
      </c>
      <c r="AG475" s="57"/>
      <c r="AH475" s="57"/>
      <c r="AI475" s="59">
        <f t="shared" si="189"/>
        <v>6.5972222222222222E-3</v>
      </c>
      <c r="AJ475" s="57"/>
      <c r="AK475" s="57"/>
      <c r="AL475" s="59">
        <f t="shared" si="181"/>
        <v>6.5972222222222222E-3</v>
      </c>
      <c r="AM475" s="57"/>
      <c r="AN475" s="57"/>
      <c r="AO475" s="59">
        <f t="shared" si="182"/>
        <v>6.5972222222222222E-3</v>
      </c>
      <c r="AP475" s="57"/>
      <c r="AQ475" s="59">
        <f t="shared" si="171"/>
        <v>6.5972222222222222E-3</v>
      </c>
      <c r="AR475" s="57"/>
      <c r="AS475" s="57"/>
      <c r="AT475" s="59">
        <f t="shared" si="172"/>
        <v>6.5972222222222222E-3</v>
      </c>
    </row>
    <row r="476" spans="1:46" hidden="1">
      <c r="A476" s="24"/>
      <c r="B476" s="26" t="s">
        <v>21</v>
      </c>
      <c r="C476" s="26" t="s">
        <v>444</v>
      </c>
      <c r="D476" s="50">
        <v>9.07</v>
      </c>
      <c r="E476" s="51"/>
      <c r="F476" s="50">
        <v>9.07</v>
      </c>
      <c r="G476" s="52"/>
      <c r="H476" s="50">
        <v>9.07</v>
      </c>
      <c r="I476" s="53"/>
      <c r="J476" s="50">
        <v>9.07</v>
      </c>
      <c r="K476" s="53"/>
      <c r="L476" s="50">
        <v>9.07</v>
      </c>
      <c r="M476" s="57"/>
      <c r="N476" s="55">
        <v>6.3310185185185197E-3</v>
      </c>
      <c r="O476" s="57"/>
      <c r="P476" s="57"/>
      <c r="Q476" s="59">
        <f t="shared" si="183"/>
        <v>6.3310185185185197E-3</v>
      </c>
      <c r="R476" s="57"/>
      <c r="S476" s="57"/>
      <c r="T476" s="59">
        <f t="shared" si="184"/>
        <v>6.3310185185185197E-3</v>
      </c>
      <c r="U476" s="57"/>
      <c r="V476" s="57"/>
      <c r="W476" s="59">
        <f t="shared" si="185"/>
        <v>6.3310185185185197E-3</v>
      </c>
      <c r="X476" s="57"/>
      <c r="Y476" s="57"/>
      <c r="Z476" s="59">
        <f t="shared" si="186"/>
        <v>6.3310185185185197E-3</v>
      </c>
      <c r="AA476" s="57"/>
      <c r="AB476" s="57"/>
      <c r="AC476" s="59">
        <f t="shared" si="187"/>
        <v>6.3310185185185197E-3</v>
      </c>
      <c r="AD476" s="57"/>
      <c r="AE476" s="57"/>
      <c r="AF476" s="59">
        <f t="shared" si="188"/>
        <v>6.3310185185185197E-3</v>
      </c>
      <c r="AG476" s="57"/>
      <c r="AH476" s="57"/>
      <c r="AI476" s="59">
        <f t="shared" si="189"/>
        <v>6.3310185185185197E-3</v>
      </c>
      <c r="AJ476" s="57"/>
      <c r="AK476" s="57"/>
      <c r="AL476" s="59">
        <f t="shared" si="181"/>
        <v>6.3310185185185197E-3</v>
      </c>
      <c r="AM476" s="57"/>
      <c r="AN476" s="57"/>
      <c r="AO476" s="59">
        <f t="shared" si="182"/>
        <v>6.3310185185185197E-3</v>
      </c>
      <c r="AP476" s="57"/>
      <c r="AQ476" s="59">
        <f t="shared" si="171"/>
        <v>6.3310185185185197E-3</v>
      </c>
      <c r="AR476" s="57"/>
      <c r="AS476" s="57"/>
      <c r="AT476" s="59">
        <f t="shared" si="172"/>
        <v>6.3310185185185197E-3</v>
      </c>
    </row>
    <row r="477" spans="1:46" hidden="1">
      <c r="A477" s="24"/>
      <c r="B477" s="26" t="s">
        <v>231</v>
      </c>
      <c r="C477" s="26" t="s">
        <v>444</v>
      </c>
      <c r="D477" s="50"/>
      <c r="E477" s="51"/>
      <c r="F477" s="50" t="s">
        <v>448</v>
      </c>
      <c r="G477" s="52"/>
      <c r="H477" s="50"/>
      <c r="I477" s="53"/>
      <c r="J477" s="50" t="s">
        <v>448</v>
      </c>
      <c r="K477" s="53"/>
      <c r="L477" s="50"/>
      <c r="M477" s="57"/>
      <c r="N477" s="55"/>
      <c r="O477" s="57"/>
      <c r="P477" s="57"/>
      <c r="Q477" s="59" t="str">
        <f t="shared" si="183"/>
        <v/>
      </c>
      <c r="R477" s="57"/>
      <c r="S477" s="57"/>
      <c r="T477" s="59" t="str">
        <f t="shared" si="184"/>
        <v/>
      </c>
      <c r="U477" s="57"/>
      <c r="V477" s="57"/>
      <c r="W477" s="59" t="str">
        <f t="shared" si="185"/>
        <v/>
      </c>
      <c r="X477" s="57"/>
      <c r="Y477" s="57"/>
      <c r="Z477" s="59" t="str">
        <f t="shared" si="186"/>
        <v/>
      </c>
      <c r="AA477" s="57"/>
      <c r="AB477" s="57"/>
      <c r="AC477" s="59" t="str">
        <f t="shared" si="187"/>
        <v/>
      </c>
      <c r="AD477" s="57"/>
      <c r="AE477" s="57"/>
      <c r="AF477" s="59" t="str">
        <f t="shared" si="188"/>
        <v/>
      </c>
      <c r="AG477" s="57"/>
      <c r="AH477" s="57"/>
      <c r="AI477" s="59" t="str">
        <f t="shared" si="189"/>
        <v/>
      </c>
      <c r="AJ477" s="57"/>
      <c r="AK477" s="57"/>
      <c r="AL477" s="59" t="str">
        <f t="shared" si="181"/>
        <v/>
      </c>
      <c r="AM477" s="57"/>
      <c r="AN477" s="57"/>
      <c r="AO477" s="59" t="str">
        <f t="shared" si="182"/>
        <v/>
      </c>
      <c r="AP477" s="57"/>
      <c r="AQ477" s="59" t="str">
        <f t="shared" si="171"/>
        <v/>
      </c>
      <c r="AR477" s="57"/>
      <c r="AS477" s="57"/>
      <c r="AT477" s="59" t="str">
        <f t="shared" si="172"/>
        <v/>
      </c>
    </row>
    <row r="478" spans="1:46" hidden="1">
      <c r="A478" s="24"/>
      <c r="B478" s="26" t="s">
        <v>26</v>
      </c>
      <c r="C478" s="26" t="s">
        <v>444</v>
      </c>
      <c r="D478" s="50"/>
      <c r="E478" s="51"/>
      <c r="F478" s="50" t="s">
        <v>448</v>
      </c>
      <c r="G478" s="52"/>
      <c r="H478" s="50"/>
      <c r="I478" s="53"/>
      <c r="J478" s="50" t="s">
        <v>448</v>
      </c>
      <c r="K478" s="53"/>
      <c r="L478" s="50"/>
      <c r="M478" s="57"/>
      <c r="N478" s="55"/>
      <c r="O478" s="57"/>
      <c r="P478" s="57"/>
      <c r="Q478" s="59" t="str">
        <f t="shared" si="183"/>
        <v/>
      </c>
      <c r="R478" s="57"/>
      <c r="S478" s="57"/>
      <c r="T478" s="59" t="str">
        <f t="shared" si="184"/>
        <v/>
      </c>
      <c r="U478" s="57"/>
      <c r="V478" s="57"/>
      <c r="W478" s="59" t="str">
        <f t="shared" si="185"/>
        <v/>
      </c>
      <c r="X478" s="57"/>
      <c r="Y478" s="57"/>
      <c r="Z478" s="59" t="str">
        <f t="shared" si="186"/>
        <v/>
      </c>
      <c r="AA478" s="57"/>
      <c r="AB478" s="57"/>
      <c r="AC478" s="59" t="str">
        <f t="shared" si="187"/>
        <v/>
      </c>
      <c r="AD478" s="57"/>
      <c r="AE478" s="57"/>
      <c r="AF478" s="59" t="str">
        <f t="shared" si="188"/>
        <v/>
      </c>
      <c r="AG478" s="57"/>
      <c r="AH478" s="57"/>
      <c r="AI478" s="59" t="str">
        <f t="shared" si="189"/>
        <v/>
      </c>
      <c r="AJ478" s="57"/>
      <c r="AK478" s="57"/>
      <c r="AL478" s="59" t="str">
        <f t="shared" si="181"/>
        <v/>
      </c>
      <c r="AM478" s="57"/>
      <c r="AN478" s="57"/>
      <c r="AO478" s="59" t="str">
        <f t="shared" si="182"/>
        <v/>
      </c>
      <c r="AP478" s="57"/>
      <c r="AQ478" s="59" t="str">
        <f t="shared" si="171"/>
        <v/>
      </c>
      <c r="AR478" s="57"/>
      <c r="AS478" s="57"/>
      <c r="AT478" s="59" t="str">
        <f t="shared" si="172"/>
        <v/>
      </c>
    </row>
    <row r="479" spans="1:46" hidden="1">
      <c r="A479" s="24"/>
      <c r="B479" s="26" t="s">
        <v>31</v>
      </c>
      <c r="C479" s="26" t="s">
        <v>444</v>
      </c>
      <c r="D479" s="50"/>
      <c r="E479" s="51"/>
      <c r="F479" s="50" t="s">
        <v>448</v>
      </c>
      <c r="G479" s="52"/>
      <c r="H479" s="50"/>
      <c r="I479" s="53"/>
      <c r="J479" s="50" t="s">
        <v>448</v>
      </c>
      <c r="K479" s="53"/>
      <c r="L479" s="50"/>
      <c r="M479" s="57"/>
      <c r="N479" s="55"/>
      <c r="O479" s="57"/>
      <c r="P479" s="57"/>
      <c r="Q479" s="59" t="str">
        <f t="shared" si="183"/>
        <v/>
      </c>
      <c r="R479" s="57"/>
      <c r="S479" s="57"/>
      <c r="T479" s="59" t="str">
        <f t="shared" si="184"/>
        <v/>
      </c>
      <c r="U479" s="57"/>
      <c r="V479" s="57"/>
      <c r="W479" s="59" t="str">
        <f t="shared" si="185"/>
        <v/>
      </c>
      <c r="X479" s="57"/>
      <c r="Y479" s="57"/>
      <c r="Z479" s="59" t="str">
        <f t="shared" si="186"/>
        <v/>
      </c>
      <c r="AA479" s="57"/>
      <c r="AB479" s="57"/>
      <c r="AC479" s="59" t="str">
        <f t="shared" si="187"/>
        <v/>
      </c>
      <c r="AD479" s="57"/>
      <c r="AE479" s="57"/>
      <c r="AF479" s="59" t="str">
        <f t="shared" si="188"/>
        <v/>
      </c>
      <c r="AG479" s="57"/>
      <c r="AH479" s="57"/>
      <c r="AI479" s="59" t="str">
        <f t="shared" si="189"/>
        <v/>
      </c>
      <c r="AJ479" s="57"/>
      <c r="AK479" s="57"/>
      <c r="AL479" s="59" t="str">
        <f t="shared" si="181"/>
        <v/>
      </c>
      <c r="AM479" s="57"/>
      <c r="AN479" s="57"/>
      <c r="AO479" s="59" t="str">
        <f t="shared" si="182"/>
        <v/>
      </c>
      <c r="AP479" s="57"/>
      <c r="AQ479" s="59" t="str">
        <f t="shared" si="171"/>
        <v/>
      </c>
      <c r="AR479" s="57"/>
      <c r="AS479" s="57"/>
      <c r="AT479" s="59" t="str">
        <f t="shared" si="172"/>
        <v/>
      </c>
    </row>
    <row r="480" spans="1:46" hidden="1">
      <c r="A480" s="24"/>
      <c r="B480" s="26" t="s">
        <v>37</v>
      </c>
      <c r="C480" s="26" t="s">
        <v>444</v>
      </c>
      <c r="D480" s="50"/>
      <c r="E480" s="51"/>
      <c r="F480" s="50" t="s">
        <v>448</v>
      </c>
      <c r="G480" s="52"/>
      <c r="H480" s="50"/>
      <c r="I480" s="53"/>
      <c r="J480" s="50" t="s">
        <v>448</v>
      </c>
      <c r="K480" s="53"/>
      <c r="L480" s="50"/>
      <c r="M480" s="57"/>
      <c r="N480" s="55"/>
      <c r="O480" s="57"/>
      <c r="P480" s="57"/>
      <c r="Q480" s="59" t="str">
        <f t="shared" si="183"/>
        <v/>
      </c>
      <c r="R480" s="57"/>
      <c r="S480" s="57"/>
      <c r="T480" s="59" t="str">
        <f t="shared" si="184"/>
        <v/>
      </c>
      <c r="U480" s="57"/>
      <c r="V480" s="57"/>
      <c r="W480" s="59" t="str">
        <f t="shared" si="185"/>
        <v/>
      </c>
      <c r="X480" s="57"/>
      <c r="Y480" s="57"/>
      <c r="Z480" s="59" t="str">
        <f t="shared" si="186"/>
        <v/>
      </c>
      <c r="AA480" s="57"/>
      <c r="AB480" s="57"/>
      <c r="AC480" s="59" t="str">
        <f t="shared" si="187"/>
        <v/>
      </c>
      <c r="AD480" s="57"/>
      <c r="AE480" s="57"/>
      <c r="AF480" s="59" t="str">
        <f t="shared" si="188"/>
        <v/>
      </c>
      <c r="AG480" s="57"/>
      <c r="AH480" s="57"/>
      <c r="AI480" s="59" t="str">
        <f t="shared" si="189"/>
        <v/>
      </c>
      <c r="AJ480" s="57"/>
      <c r="AK480" s="57"/>
      <c r="AL480" s="59" t="str">
        <f t="shared" si="181"/>
        <v/>
      </c>
      <c r="AM480" s="57"/>
      <c r="AN480" s="57"/>
      <c r="AO480" s="59" t="str">
        <f t="shared" si="182"/>
        <v/>
      </c>
      <c r="AP480" s="57"/>
      <c r="AQ480" s="59" t="str">
        <f t="shared" si="171"/>
        <v/>
      </c>
      <c r="AR480" s="57"/>
      <c r="AS480" s="57"/>
      <c r="AT480" s="59" t="str">
        <f t="shared" si="172"/>
        <v/>
      </c>
    </row>
    <row r="481" spans="1:46" hidden="1">
      <c r="A481" s="24"/>
      <c r="B481" s="26" t="s">
        <v>44</v>
      </c>
      <c r="C481" s="26" t="s">
        <v>443</v>
      </c>
      <c r="D481" s="50">
        <v>9.14</v>
      </c>
      <c r="E481" s="51"/>
      <c r="F481" s="50">
        <v>9.14</v>
      </c>
      <c r="G481" s="52"/>
      <c r="H481" s="50">
        <v>9.14</v>
      </c>
      <c r="I481" s="53"/>
      <c r="J481" s="50">
        <v>9.14</v>
      </c>
      <c r="K481" s="53"/>
      <c r="L481" s="50">
        <v>9.14</v>
      </c>
      <c r="M481" s="57"/>
      <c r="N481" s="55">
        <v>6.4120370370370364E-3</v>
      </c>
      <c r="O481" s="57">
        <v>6.4699074074074069E-3</v>
      </c>
      <c r="P481" s="57"/>
      <c r="Q481" s="59">
        <f t="shared" si="183"/>
        <v>6.4120370370370364E-3</v>
      </c>
      <c r="R481" s="57">
        <v>6.2731481481481484E-3</v>
      </c>
      <c r="S481" s="57"/>
      <c r="T481" s="59">
        <f t="shared" si="184"/>
        <v>6.2731481481481484E-3</v>
      </c>
      <c r="U481" s="57"/>
      <c r="V481" s="57"/>
      <c r="W481" s="59">
        <f t="shared" si="185"/>
        <v>6.2731481481481484E-3</v>
      </c>
      <c r="X481" s="57"/>
      <c r="Y481" s="57"/>
      <c r="Z481" s="59">
        <f t="shared" si="186"/>
        <v>6.2731481481481484E-3</v>
      </c>
      <c r="AA481" s="57"/>
      <c r="AB481" s="57"/>
      <c r="AC481" s="59">
        <f t="shared" si="187"/>
        <v>6.2731481481481484E-3</v>
      </c>
      <c r="AD481" s="57"/>
      <c r="AE481" s="57"/>
      <c r="AF481" s="59">
        <f t="shared" si="188"/>
        <v>6.2731481481481484E-3</v>
      </c>
      <c r="AG481" s="57"/>
      <c r="AH481" s="57"/>
      <c r="AI481" s="59">
        <f t="shared" si="189"/>
        <v>6.2731481481481484E-3</v>
      </c>
      <c r="AJ481" s="57"/>
      <c r="AK481" s="57"/>
      <c r="AL481" s="59">
        <f t="shared" si="181"/>
        <v>6.2731481481481484E-3</v>
      </c>
      <c r="AM481" s="57"/>
      <c r="AN481" s="57"/>
      <c r="AO481" s="59">
        <f t="shared" si="182"/>
        <v>6.2731481481481484E-3</v>
      </c>
      <c r="AP481" s="57"/>
      <c r="AQ481" s="59">
        <f t="shared" si="171"/>
        <v>6.2731481481481484E-3</v>
      </c>
      <c r="AR481" s="57"/>
      <c r="AS481" s="57"/>
      <c r="AT481" s="59">
        <f t="shared" si="172"/>
        <v>6.2731481481481484E-3</v>
      </c>
    </row>
    <row r="482" spans="1:46">
      <c r="A482" s="24" t="s">
        <v>792</v>
      </c>
      <c r="B482" s="26" t="s">
        <v>859</v>
      </c>
      <c r="C482" s="26"/>
      <c r="D482" s="50"/>
      <c r="E482" s="51"/>
      <c r="F482" s="50"/>
      <c r="G482" s="52"/>
      <c r="H482" s="50"/>
      <c r="I482" s="53"/>
      <c r="J482" s="50"/>
      <c r="K482" s="53"/>
      <c r="L482" s="50"/>
      <c r="M482" s="57"/>
      <c r="N482" s="55"/>
      <c r="O482" s="57"/>
      <c r="P482" s="57"/>
      <c r="Q482" s="59"/>
      <c r="R482" s="57"/>
      <c r="S482" s="57"/>
      <c r="T482" s="59"/>
      <c r="U482" s="57"/>
      <c r="V482" s="57"/>
      <c r="W482" s="59"/>
      <c r="X482" s="57"/>
      <c r="Y482" s="57"/>
      <c r="Z482" s="59"/>
      <c r="AA482" s="57"/>
      <c r="AB482" s="57"/>
      <c r="AC482" s="59"/>
      <c r="AD482" s="57"/>
      <c r="AE482" s="57"/>
      <c r="AF482" s="59"/>
      <c r="AG482" s="57"/>
      <c r="AH482" s="57"/>
      <c r="AI482" s="59"/>
      <c r="AJ482" s="57"/>
      <c r="AK482" s="57"/>
      <c r="AL482" s="59"/>
      <c r="AM482" s="57"/>
      <c r="AN482" s="57"/>
      <c r="AO482" s="59"/>
      <c r="AP482" s="57"/>
      <c r="AQ482" s="59" t="str">
        <f t="shared" si="171"/>
        <v/>
      </c>
      <c r="AR482" s="57"/>
      <c r="AS482" s="57"/>
      <c r="AT482" s="59" t="str">
        <f t="shared" si="172"/>
        <v/>
      </c>
    </row>
    <row r="483" spans="1:46" hidden="1">
      <c r="A483" s="24"/>
      <c r="B483" s="26" t="s">
        <v>497</v>
      </c>
      <c r="C483" s="26"/>
      <c r="D483" s="50"/>
      <c r="E483" s="51"/>
      <c r="F483" s="50"/>
      <c r="G483" s="52"/>
      <c r="H483" s="50"/>
      <c r="I483" s="53"/>
      <c r="J483" s="50"/>
      <c r="K483" s="53"/>
      <c r="L483" s="50"/>
      <c r="M483" s="57">
        <v>6.8634259259259256E-3</v>
      </c>
      <c r="N483" s="55">
        <v>6.8634259259259256E-3</v>
      </c>
      <c r="O483" s="57">
        <v>6.2499999999999995E-3</v>
      </c>
      <c r="P483" s="57"/>
      <c r="Q483" s="59">
        <f>IF(MIN(IF(ISBLANK(O483),N483,O483),IF(ISBLANK(N483),O483,N483))=0,"",MIN(IF(ISBLANK(O483),N483,O483),IF(ISBLANK(N483),O483,N483)))</f>
        <v>6.2499999999999995E-3</v>
      </c>
      <c r="R483" s="57">
        <v>6.2962962962962964E-3</v>
      </c>
      <c r="S483" s="57"/>
      <c r="T483" s="59">
        <f>IF(MIN(IF(ISBLANK(R483),Q483,R483),IF(ISBLANK(Q483),R483,Q483))=0,"",MIN(IF(ISBLANK(R483),Q483,R483),IF(ISBLANK(Q483),R483,Q483)))</f>
        <v>6.2499999999999995E-3</v>
      </c>
      <c r="U483" s="57"/>
      <c r="V483" s="57"/>
      <c r="W483" s="59">
        <f>IF(MIN(IF(ISBLANK(U483),T483,U483),IF(ISBLANK(T483),U483,T483))=0,"",MIN(IF(ISBLANK(U483),T483,U483),IF(ISBLANK(T483),U483,T483)))</f>
        <v>6.2499999999999995E-3</v>
      </c>
      <c r="X483" s="57"/>
      <c r="Y483" s="57"/>
      <c r="Z483" s="59">
        <f>IF(MIN(IF(ISBLANK(X483),W483,X483),IF(ISBLANK(W483),X483,W483))=0,"",MIN(IF(ISBLANK(X483),W483,X483),IF(ISBLANK(W483),X483,W483)))</f>
        <v>6.2499999999999995E-3</v>
      </c>
      <c r="AA483" s="57"/>
      <c r="AB483" s="57"/>
      <c r="AC483" s="59">
        <f>IF(MIN(IF(ISBLANK(Z483),AA483,Z483),IF(ISBLANK(AA483),Z483,AA483))=0,"",MIN(IF(ISBLANK(Z483),AA483,Z483),IF(ISBLANK(AA483),Z483,AA483)))</f>
        <v>6.2499999999999995E-3</v>
      </c>
      <c r="AD483" s="57"/>
      <c r="AE483" s="57"/>
      <c r="AF483" s="59">
        <f>IF(MIN(IF(ISBLANK(AC483),AD483,AC483),IF(ISBLANK(AD483),AC483,AD483))=0,"",MIN(IF(ISBLANK(AC483),AD483,AC483),IF(ISBLANK(AD483),AC483,AD483)))</f>
        <v>6.2499999999999995E-3</v>
      </c>
      <c r="AG483" s="57"/>
      <c r="AH483" s="57"/>
      <c r="AI483" s="59">
        <f>IF(MIN(IF(ISBLANK(AF483),AG483,AF483),IF(ISBLANK(AG483),AF483,AG483))=0,"",MIN(IF(ISBLANK(AF483),AG483,AF483),IF(ISBLANK(AG483),AF483,AG483)))</f>
        <v>6.2499999999999995E-3</v>
      </c>
      <c r="AJ483" s="57"/>
      <c r="AK483" s="57"/>
      <c r="AL483" s="59">
        <f>IF(MIN(IF(ISBLANK(AI483),AJ483,AI483),IF(ISBLANK(AJ483),AI483,AJ483))=0,"",MIN(IF(ISBLANK(AI483),AJ483,AI483),IF(ISBLANK(AJ483),AI483,AJ483)))</f>
        <v>6.2499999999999995E-3</v>
      </c>
      <c r="AM483" s="57"/>
      <c r="AN483" s="57"/>
      <c r="AO483" s="59">
        <f>IF(MIN(IF(ISBLANK(AL483),AM483,AL483),IF(ISBLANK(AM483),AL483,AM483))=0,"",MIN(IF(ISBLANK(AL483),AM483,AL483),IF(ISBLANK(AM483),AL483,AM483)))</f>
        <v>6.2499999999999995E-3</v>
      </c>
      <c r="AP483" s="57"/>
      <c r="AQ483" s="59">
        <f t="shared" si="171"/>
        <v>6.2499999999999995E-3</v>
      </c>
      <c r="AR483" s="57"/>
      <c r="AS483" s="57"/>
      <c r="AT483" s="59">
        <f t="shared" si="172"/>
        <v>6.2499999999999995E-3</v>
      </c>
    </row>
    <row r="484" spans="1:46">
      <c r="A484" s="24" t="s">
        <v>792</v>
      </c>
      <c r="B484" s="26" t="s">
        <v>51</v>
      </c>
      <c r="C484" s="26"/>
      <c r="D484" s="50">
        <v>8.02</v>
      </c>
      <c r="E484" s="51"/>
      <c r="F484" s="50">
        <v>8.02</v>
      </c>
      <c r="G484" s="52"/>
      <c r="H484" s="50">
        <v>8.02</v>
      </c>
      <c r="I484" s="53">
        <v>8.31</v>
      </c>
      <c r="J484" s="50">
        <v>8.02</v>
      </c>
      <c r="K484" s="53"/>
      <c r="L484" s="50">
        <v>8.02</v>
      </c>
      <c r="M484" s="57"/>
      <c r="N484" s="55">
        <v>5.5787037037037038E-3</v>
      </c>
      <c r="O484" s="57"/>
      <c r="P484" s="57"/>
      <c r="Q484" s="59">
        <f>IF(MIN(IF(ISBLANK(O484),N484,O484),IF(ISBLANK(N484),O484,N484))=0,"",MIN(IF(ISBLANK(O484),N484,O484),IF(ISBLANK(N484),O484,N484)))</f>
        <v>5.5787037037037038E-3</v>
      </c>
      <c r="R484" s="57"/>
      <c r="S484" s="57"/>
      <c r="T484" s="59">
        <f>IF(MIN(IF(ISBLANK(R484),Q484,R484),IF(ISBLANK(Q484),R484,Q484))=0,"",MIN(IF(ISBLANK(R484),Q484,R484),IF(ISBLANK(Q484),R484,Q484)))</f>
        <v>5.5787037037037038E-3</v>
      </c>
      <c r="U484" s="57"/>
      <c r="V484" s="57"/>
      <c r="W484" s="59">
        <f>IF(MIN(IF(ISBLANK(U484),T484,U484),IF(ISBLANK(T484),U484,T484))=0,"",MIN(IF(ISBLANK(U484),T484,U484),IF(ISBLANK(T484),U484,T484)))</f>
        <v>5.5787037037037038E-3</v>
      </c>
      <c r="X484" s="57"/>
      <c r="Y484" s="57"/>
      <c r="Z484" s="59">
        <f>IF(MIN(IF(ISBLANK(X484),W484,X484),IF(ISBLANK(W484),X484,W484))=0,"",MIN(IF(ISBLANK(X484),W484,X484),IF(ISBLANK(W484),X484,W484)))</f>
        <v>5.5787037037037038E-3</v>
      </c>
      <c r="AA484" s="57"/>
      <c r="AB484" s="57"/>
      <c r="AC484" s="59">
        <f>IF(MIN(IF(ISBLANK(Z484),AA484,Z484),IF(ISBLANK(AA484),Z484,AA484))=0,"",MIN(IF(ISBLANK(Z484),AA484,Z484),IF(ISBLANK(AA484),Z484,AA484)))</f>
        <v>5.5787037037037038E-3</v>
      </c>
      <c r="AD484" s="57"/>
      <c r="AE484" s="57"/>
      <c r="AF484" s="59">
        <f>IF(MIN(IF(ISBLANK(AC484),AD484,AC484),IF(ISBLANK(AD484),AC484,AD484))=0,"",MIN(IF(ISBLANK(AC484),AD484,AC484),IF(ISBLANK(AD484),AC484,AD484)))</f>
        <v>5.5787037037037038E-3</v>
      </c>
      <c r="AG484" s="57"/>
      <c r="AH484" s="57"/>
      <c r="AI484" s="59">
        <f>IF(MIN(IF(ISBLANK(AF484),AG484,AF484),IF(ISBLANK(AG484),AF484,AG484))=0,"",MIN(IF(ISBLANK(AF484),AG484,AF484),IF(ISBLANK(AG484),AF484,AG484)))</f>
        <v>5.5787037037037038E-3</v>
      </c>
      <c r="AJ484" s="57"/>
      <c r="AK484" s="57"/>
      <c r="AL484" s="59">
        <f>IF(MIN(IF(ISBLANK(AI484),AJ484,AI484),IF(ISBLANK(AJ484),AI484,AJ484))=0,"",MIN(IF(ISBLANK(AI484),AJ484,AI484),IF(ISBLANK(AJ484),AI484,AJ484)))</f>
        <v>5.5787037037037038E-3</v>
      </c>
      <c r="AM484" s="57"/>
      <c r="AN484" s="57"/>
      <c r="AO484" s="59">
        <f>IF(MIN(IF(ISBLANK(AL484),AM484,AL484),IF(ISBLANK(AM484),AL484,AM484))=0,"",MIN(IF(ISBLANK(AL484),AM484,AL484),IF(ISBLANK(AM484),AL484,AM484)))</f>
        <v>5.5787037037037038E-3</v>
      </c>
      <c r="AP484" s="57"/>
      <c r="AQ484" s="59">
        <f t="shared" si="171"/>
        <v>5.5787037037037038E-3</v>
      </c>
      <c r="AR484" s="57"/>
      <c r="AS484" s="57"/>
      <c r="AT484" s="59">
        <f t="shared" si="172"/>
        <v>5.5787037037037038E-3</v>
      </c>
    </row>
    <row r="485" spans="1:46" hidden="1">
      <c r="A485" s="24"/>
      <c r="B485" s="26" t="s">
        <v>56</v>
      </c>
      <c r="C485" s="26" t="s">
        <v>443</v>
      </c>
      <c r="D485" s="50">
        <v>8.16</v>
      </c>
      <c r="E485" s="51"/>
      <c r="F485" s="50">
        <v>8.16</v>
      </c>
      <c r="G485" s="52"/>
      <c r="H485" s="50">
        <v>8.16</v>
      </c>
      <c r="I485" s="53">
        <v>8.01</v>
      </c>
      <c r="J485" s="50">
        <v>8.01</v>
      </c>
      <c r="K485" s="53">
        <v>8.0500000000000007</v>
      </c>
      <c r="L485" s="50">
        <v>8.01</v>
      </c>
      <c r="M485" s="57">
        <v>6.053240740740741E-3</v>
      </c>
      <c r="N485" s="55">
        <v>5.5671296296296302E-3</v>
      </c>
      <c r="O485" s="57"/>
      <c r="P485" s="57"/>
      <c r="Q485" s="59">
        <f>IF(MIN(IF(ISBLANK(O485),N485,O485),IF(ISBLANK(N485),O485,N485))=0,"",MIN(IF(ISBLANK(O485),N485,O485),IF(ISBLANK(N485),O485,N485)))</f>
        <v>5.5671296296296302E-3</v>
      </c>
      <c r="R485" s="57">
        <v>5.8449074074074072E-3</v>
      </c>
      <c r="S485" s="57"/>
      <c r="T485" s="59">
        <f>IF(MIN(IF(ISBLANK(R485),Q485,R485),IF(ISBLANK(Q485),R485,Q485))=0,"",MIN(IF(ISBLANK(R485),Q485,R485),IF(ISBLANK(Q485),R485,Q485)))</f>
        <v>5.5671296296296302E-3</v>
      </c>
      <c r="U485" s="57"/>
      <c r="V485" s="57"/>
      <c r="W485" s="59">
        <f>IF(MIN(IF(ISBLANK(U485),T485,U485),IF(ISBLANK(T485),U485,T485))=0,"",MIN(IF(ISBLANK(U485),T485,U485),IF(ISBLANK(T485),U485,T485)))</f>
        <v>5.5671296296296302E-3</v>
      </c>
      <c r="X485" s="57">
        <v>5.5671296296296302E-3</v>
      </c>
      <c r="Y485" s="57"/>
      <c r="Z485" s="59">
        <f>IF(MIN(IF(ISBLANK(X485),W485,X485),IF(ISBLANK(W485),X485,W485))=0,"",MIN(IF(ISBLANK(X485),W485,X485),IF(ISBLANK(W485),X485,W485)))</f>
        <v>5.5671296296296302E-3</v>
      </c>
      <c r="AA485" s="57">
        <v>5.4745370370370373E-3</v>
      </c>
      <c r="AB485" s="57"/>
      <c r="AC485" s="59">
        <f>IF(MIN(IF(ISBLANK(Z485),AA485,Z485),IF(ISBLANK(AA485),Z485,AA485))=0,"",MIN(IF(ISBLANK(Z485),AA485,Z485),IF(ISBLANK(AA485),Z485,AA485)))</f>
        <v>5.4745370370370373E-3</v>
      </c>
      <c r="AD485" s="57">
        <v>5.7407407407407416E-3</v>
      </c>
      <c r="AE485" s="57"/>
      <c r="AF485" s="59">
        <f>IF(MIN(IF(ISBLANK(AC485),AD485,AC485),IF(ISBLANK(AD485),AC485,AD485))=0,"",MIN(IF(ISBLANK(AC485),AD485,AC485),IF(ISBLANK(AD485),AC485,AD485)))</f>
        <v>5.4745370370370373E-3</v>
      </c>
      <c r="AG485" s="57">
        <v>5.4861111111111117E-3</v>
      </c>
      <c r="AH485" s="57"/>
      <c r="AI485" s="59">
        <f>IF(MIN(IF(ISBLANK(AF485),AG485,AF485),IF(ISBLANK(AG485),AF485,AG485))=0,"",MIN(IF(ISBLANK(AF485),AG485,AF485),IF(ISBLANK(AG485),AF485,AG485)))</f>
        <v>5.4745370370370373E-3</v>
      </c>
      <c r="AJ485" s="57"/>
      <c r="AK485" s="57"/>
      <c r="AL485" s="59">
        <f>IF(MIN(IF(ISBLANK(AI485),AJ485,AI485),IF(ISBLANK(AJ485),AI485,AJ485))=0,"",MIN(IF(ISBLANK(AI485),AJ485,AI485),IF(ISBLANK(AJ485),AI485,AJ485)))</f>
        <v>5.4745370370370373E-3</v>
      </c>
      <c r="AM485" s="57"/>
      <c r="AN485" s="57"/>
      <c r="AO485" s="59">
        <f>IF(MIN(IF(ISBLANK(AL485),AM485,AL485),IF(ISBLANK(AM485),AL485,AM485))=0,"",MIN(IF(ISBLANK(AL485),AM485,AL485),IF(ISBLANK(AM485),AL485,AM485)))</f>
        <v>5.4745370370370373E-3</v>
      </c>
      <c r="AP485" s="57"/>
      <c r="AQ485" s="59">
        <f t="shared" si="171"/>
        <v>5.4745370370370373E-3</v>
      </c>
      <c r="AR485" s="57"/>
      <c r="AS485" s="57"/>
      <c r="AT485" s="59">
        <f t="shared" si="172"/>
        <v>5.4745370370370373E-3</v>
      </c>
    </row>
    <row r="486" spans="1:46">
      <c r="A486" s="24" t="s">
        <v>792</v>
      </c>
      <c r="B486" s="26" t="s">
        <v>61</v>
      </c>
      <c r="C486" s="26" t="s">
        <v>443</v>
      </c>
      <c r="D486" s="50">
        <v>6.52</v>
      </c>
      <c r="E486" s="51" t="s">
        <v>303</v>
      </c>
      <c r="F486" s="50">
        <v>6.52</v>
      </c>
      <c r="G486" s="52"/>
      <c r="H486" s="50">
        <v>6.52</v>
      </c>
      <c r="I486" s="53"/>
      <c r="J486" s="50">
        <v>6.52</v>
      </c>
      <c r="K486" s="53"/>
      <c r="L486" s="50">
        <v>6.52</v>
      </c>
      <c r="M486" s="57">
        <v>5.0231481481481481E-3</v>
      </c>
      <c r="N486" s="55">
        <v>4.7685185185185183E-3</v>
      </c>
      <c r="O486" s="57">
        <v>4.7337962962962958E-3</v>
      </c>
      <c r="P486" s="57"/>
      <c r="Q486" s="59">
        <f>IF(MIN(IF(ISBLANK(O486),N486,O486),IF(ISBLANK(N486),O486,N486))=0,"",MIN(IF(ISBLANK(O486),N486,O486),IF(ISBLANK(N486),O486,N486)))</f>
        <v>4.7337962962962958E-3</v>
      </c>
      <c r="R486" s="57">
        <v>4.7916666666666672E-3</v>
      </c>
      <c r="S486" s="57"/>
      <c r="T486" s="59">
        <f>IF(MIN(IF(ISBLANK(R486),Q486,R486),IF(ISBLANK(Q486),R486,Q486))=0,"",MIN(IF(ISBLANK(R486),Q486,R486),IF(ISBLANK(Q486),R486,Q486)))</f>
        <v>4.7337962962962958E-3</v>
      </c>
      <c r="U486" s="57">
        <v>4.6527777777777774E-3</v>
      </c>
      <c r="V486" s="57"/>
      <c r="W486" s="59">
        <f>IF(MIN(IF(ISBLANK(U486),T486,U486),IF(ISBLANK(T486),U486,T486))=0,"",MIN(IF(ISBLANK(U486),T486,U486),IF(ISBLANK(T486),U486,T486)))</f>
        <v>4.6527777777777774E-3</v>
      </c>
      <c r="X486" s="57"/>
      <c r="Y486" s="57"/>
      <c r="Z486" s="59">
        <f>IF(MIN(IF(ISBLANK(X486),W486,X486),IF(ISBLANK(W486),X486,W486))=0,"",MIN(IF(ISBLANK(X486),W486,X486),IF(ISBLANK(W486),X486,W486)))</f>
        <v>4.6527777777777774E-3</v>
      </c>
      <c r="AA486" s="57">
        <v>4.7569444444444447E-3</v>
      </c>
      <c r="AB486" s="57"/>
      <c r="AC486" s="59">
        <f>IF(MIN(IF(ISBLANK(Z486),AA486,Z486),IF(ISBLANK(AA486),Z486,AA486))=0,"",MIN(IF(ISBLANK(Z486),AA486,Z486),IF(ISBLANK(AA486),Z486,AA486)))</f>
        <v>4.6527777777777774E-3</v>
      </c>
      <c r="AD486" s="57">
        <v>4.6874999999999998E-3</v>
      </c>
      <c r="AE486" s="57"/>
      <c r="AF486" s="59">
        <f>IF(MIN(IF(ISBLANK(AC486),AD486,AC486),IF(ISBLANK(AD486),AC486,AD486))=0,"",MIN(IF(ISBLANK(AC486),AD486,AC486),IF(ISBLANK(AD486),AC486,AD486)))</f>
        <v>4.6527777777777774E-3</v>
      </c>
      <c r="AG486" s="57"/>
      <c r="AH486" s="57"/>
      <c r="AI486" s="59">
        <f>IF(MIN(IF(ISBLANK(AF486),AG486,AF486),IF(ISBLANK(AG486),AF486,AG486))=0,"",MIN(IF(ISBLANK(AF486),AG486,AF486),IF(ISBLANK(AG486),AF486,AG486)))</f>
        <v>4.6527777777777774E-3</v>
      </c>
      <c r="AJ486" s="57"/>
      <c r="AK486" s="57"/>
      <c r="AL486" s="59">
        <f>IF(MIN(IF(ISBLANK(AI486),AJ486,AI486),IF(ISBLANK(AJ486),AI486,AJ486))=0,"",MIN(IF(ISBLANK(AI486),AJ486,AI486),IF(ISBLANK(AJ486),AI486,AJ486)))</f>
        <v>4.6527777777777774E-3</v>
      </c>
      <c r="AM486" s="57"/>
      <c r="AN486" s="57"/>
      <c r="AO486" s="59">
        <f>IF(MIN(IF(ISBLANK(AL486),AM486,AL486),IF(ISBLANK(AM486),AL486,AM486))=0,"",MIN(IF(ISBLANK(AL486),AM486,AL486),IF(ISBLANK(AM486),AL486,AM486)))</f>
        <v>4.6527777777777774E-3</v>
      </c>
      <c r="AP486" s="57"/>
      <c r="AQ486" s="59">
        <f t="shared" si="171"/>
        <v>4.6527777777777774E-3</v>
      </c>
      <c r="AR486" s="57"/>
      <c r="AS486" s="57"/>
      <c r="AT486" s="59">
        <f t="shared" si="172"/>
        <v>4.6527777777777774E-3</v>
      </c>
    </row>
    <row r="487" spans="1:46">
      <c r="A487" s="24" t="s">
        <v>792</v>
      </c>
      <c r="B487" s="26" t="s">
        <v>860</v>
      </c>
      <c r="C487" s="26"/>
      <c r="D487" s="50"/>
      <c r="E487" s="51"/>
      <c r="F487" s="50"/>
      <c r="G487" s="52"/>
      <c r="H487" s="50"/>
      <c r="I487" s="53"/>
      <c r="J487" s="50"/>
      <c r="K487" s="53"/>
      <c r="L487" s="50"/>
      <c r="M487" s="57"/>
      <c r="N487" s="55"/>
      <c r="O487" s="57"/>
      <c r="P487" s="57"/>
      <c r="Q487" s="59"/>
      <c r="R487" s="57"/>
      <c r="S487" s="57"/>
      <c r="T487" s="59"/>
      <c r="U487" s="57"/>
      <c r="V487" s="57"/>
      <c r="W487" s="59"/>
      <c r="X487" s="57"/>
      <c r="Y487" s="57"/>
      <c r="Z487" s="59"/>
      <c r="AA487" s="57"/>
      <c r="AB487" s="57"/>
      <c r="AC487" s="59"/>
      <c r="AD487" s="57"/>
      <c r="AE487" s="57"/>
      <c r="AF487" s="59"/>
      <c r="AG487" s="57"/>
      <c r="AH487" s="57"/>
      <c r="AI487" s="59"/>
      <c r="AJ487" s="57"/>
      <c r="AK487" s="57"/>
      <c r="AL487" s="59"/>
      <c r="AM487" s="57"/>
      <c r="AN487" s="57"/>
      <c r="AO487" s="59"/>
      <c r="AP487" s="57"/>
      <c r="AQ487" s="59" t="str">
        <f t="shared" si="171"/>
        <v/>
      </c>
      <c r="AR487" s="57"/>
      <c r="AS487" s="57"/>
      <c r="AT487" s="59" t="str">
        <f t="shared" si="172"/>
        <v/>
      </c>
    </row>
    <row r="488" spans="1:46" hidden="1">
      <c r="A488" s="24"/>
      <c r="B488" s="26" t="s">
        <v>522</v>
      </c>
      <c r="C488" s="26" t="s">
        <v>443</v>
      </c>
      <c r="D488" s="50"/>
      <c r="E488" s="51"/>
      <c r="F488" s="50"/>
      <c r="G488" s="52"/>
      <c r="H488" s="50"/>
      <c r="I488" s="53"/>
      <c r="J488" s="50"/>
      <c r="K488" s="53"/>
      <c r="L488" s="50"/>
      <c r="M488" s="57">
        <v>6.5046296296296302E-3</v>
      </c>
      <c r="N488" s="55">
        <v>6.5046296296296302E-3</v>
      </c>
      <c r="O488" s="57"/>
      <c r="P488" s="57"/>
      <c r="Q488" s="59">
        <f>IF(MIN(IF(ISBLANK(O488),N488,O488),IF(ISBLANK(N488),O488,N488))=0,"",MIN(IF(ISBLANK(O488),N488,O488),IF(ISBLANK(N488),O488,N488)))</f>
        <v>6.5046296296296302E-3</v>
      </c>
      <c r="R488" s="57"/>
      <c r="S488" s="57"/>
      <c r="T488" s="59">
        <f>IF(MIN(IF(ISBLANK(R488),Q488,R488),IF(ISBLANK(Q488),R488,Q488))=0,"",MIN(IF(ISBLANK(R488),Q488,R488),IF(ISBLANK(Q488),R488,Q488)))</f>
        <v>6.5046296296296302E-3</v>
      </c>
      <c r="U488" s="57"/>
      <c r="V488" s="57"/>
      <c r="W488" s="59">
        <f>IF(MIN(IF(ISBLANK(U488),T488,U488),IF(ISBLANK(T488),U488,T488))=0,"",MIN(IF(ISBLANK(U488),T488,U488),IF(ISBLANK(T488),U488,T488)))</f>
        <v>6.5046296296296302E-3</v>
      </c>
      <c r="X488" s="57"/>
      <c r="Y488" s="57"/>
      <c r="Z488" s="59">
        <f>IF(MIN(IF(ISBLANK(X488),W488,X488),IF(ISBLANK(W488),X488,W488))=0,"",MIN(IF(ISBLANK(X488),W488,X488),IF(ISBLANK(W488),X488,W488)))</f>
        <v>6.5046296296296302E-3</v>
      </c>
      <c r="AA488" s="57"/>
      <c r="AB488" s="57"/>
      <c r="AC488" s="59">
        <f>IF(MIN(IF(ISBLANK(Z488),AA488,Z488),IF(ISBLANK(AA488),Z488,AA488))=0,"",MIN(IF(ISBLANK(Z488),AA488,Z488),IF(ISBLANK(AA488),Z488,AA488)))</f>
        <v>6.5046296296296302E-3</v>
      </c>
      <c r="AD488" s="57"/>
      <c r="AE488" s="57"/>
      <c r="AF488" s="59">
        <f>IF(MIN(IF(ISBLANK(AC488),AD488,AC488),IF(ISBLANK(AD488),AC488,AD488))=0,"",MIN(IF(ISBLANK(AC488),AD488,AC488),IF(ISBLANK(AD488),AC488,AD488)))</f>
        <v>6.5046296296296302E-3</v>
      </c>
      <c r="AG488" s="57"/>
      <c r="AH488" s="57"/>
      <c r="AI488" s="59">
        <f>IF(MIN(IF(ISBLANK(AF488),AG488,AF488),IF(ISBLANK(AG488),AF488,AG488))=0,"",MIN(IF(ISBLANK(AF488),AG488,AF488),IF(ISBLANK(AG488),AF488,AG488)))</f>
        <v>6.5046296296296302E-3</v>
      </c>
      <c r="AJ488" s="57"/>
      <c r="AK488" s="57"/>
      <c r="AL488" s="59">
        <f>IF(MIN(IF(ISBLANK(AI488),AJ488,AI488),IF(ISBLANK(AJ488),AI488,AJ488))=0,"",MIN(IF(ISBLANK(AI488),AJ488,AI488),IF(ISBLANK(AJ488),AI488,AJ488)))</f>
        <v>6.5046296296296302E-3</v>
      </c>
      <c r="AM488" s="57"/>
      <c r="AN488" s="57"/>
      <c r="AO488" s="59">
        <f>IF(MIN(IF(ISBLANK(AL488),AM488,AL488),IF(ISBLANK(AM488),AL488,AM488))=0,"",MIN(IF(ISBLANK(AL488),AM488,AL488),IF(ISBLANK(AM488),AL488,AM488)))</f>
        <v>6.5046296296296302E-3</v>
      </c>
      <c r="AP488" s="57"/>
      <c r="AQ488" s="59">
        <f t="shared" si="171"/>
        <v>6.5046296296296302E-3</v>
      </c>
      <c r="AR488" s="57"/>
      <c r="AS488" s="57"/>
      <c r="AT488" s="59">
        <f t="shared" si="172"/>
        <v>6.5046296296296302E-3</v>
      </c>
    </row>
    <row r="489" spans="1:46">
      <c r="A489" s="24" t="s">
        <v>792</v>
      </c>
      <c r="B489" s="26" t="s">
        <v>821</v>
      </c>
      <c r="C489" s="26"/>
      <c r="D489" s="55"/>
      <c r="E489" s="51"/>
      <c r="F489" s="55"/>
      <c r="G489" s="52"/>
      <c r="H489" s="55"/>
      <c r="I489" s="53"/>
      <c r="J489" s="55"/>
      <c r="K489" s="53"/>
      <c r="L489" s="55"/>
      <c r="M489" s="57"/>
      <c r="N489" s="55"/>
      <c r="O489" s="57"/>
      <c r="P489" s="57"/>
      <c r="Q489" s="59"/>
      <c r="R489" s="57"/>
      <c r="S489" s="57"/>
      <c r="T489" s="59"/>
      <c r="U489" s="57"/>
      <c r="V489" s="57"/>
      <c r="W489" s="59"/>
      <c r="X489" s="57"/>
      <c r="Y489" s="57"/>
      <c r="Z489" s="59"/>
      <c r="AA489" s="57"/>
      <c r="AB489" s="57"/>
      <c r="AC489" s="59"/>
      <c r="AD489" s="57"/>
      <c r="AE489" s="57"/>
      <c r="AF489" s="59"/>
      <c r="AG489" s="57"/>
      <c r="AH489" s="57"/>
      <c r="AI489" s="59"/>
      <c r="AJ489" s="57"/>
      <c r="AK489" s="57"/>
      <c r="AL489" s="59"/>
      <c r="AM489" s="57">
        <v>5.2430555555555555E-3</v>
      </c>
      <c r="AN489" s="57"/>
      <c r="AO489" s="59">
        <f>IF(MIN(IF(ISBLANK(AL489),AM489,AL489),IF(ISBLANK(AM489),AL489,AM489))=0,"",MIN(IF(ISBLANK(AL489),AM489,AL489),IF(ISBLANK(AM489),AL489,AM489)))</f>
        <v>5.2430555555555555E-3</v>
      </c>
      <c r="AP489" s="57">
        <v>4.8263888888888887E-3</v>
      </c>
      <c r="AQ489" s="59">
        <f t="shared" si="171"/>
        <v>4.8263888888888887E-3</v>
      </c>
      <c r="AR489" s="57">
        <v>4.9884259259259265E-3</v>
      </c>
      <c r="AS489" s="57"/>
      <c r="AT489" s="59">
        <f t="shared" si="172"/>
        <v>4.8263888888888887E-3</v>
      </c>
    </row>
    <row r="490" spans="1:46" hidden="1">
      <c r="A490" s="24"/>
      <c r="B490" s="26" t="s">
        <v>405</v>
      </c>
      <c r="C490" s="26" t="s">
        <v>443</v>
      </c>
      <c r="D490" s="50"/>
      <c r="E490" s="51"/>
      <c r="F490" s="50"/>
      <c r="G490" s="52"/>
      <c r="H490" s="50"/>
      <c r="I490" s="53"/>
      <c r="J490" s="50" t="s">
        <v>448</v>
      </c>
      <c r="K490" s="53"/>
      <c r="L490" s="50"/>
      <c r="M490" s="57"/>
      <c r="N490" s="55"/>
      <c r="O490" s="57"/>
      <c r="P490" s="57"/>
      <c r="Q490" s="59" t="str">
        <f>IF(MIN(IF(ISBLANK(O490),N490,O490),IF(ISBLANK(N490),O490,N490))=0,"",MIN(IF(ISBLANK(O490),N490,O490),IF(ISBLANK(N490),O490,N490)))</f>
        <v/>
      </c>
      <c r="R490" s="57"/>
      <c r="S490" s="57"/>
      <c r="T490" s="59" t="str">
        <f>IF(MIN(IF(ISBLANK(R490),Q490,R490),IF(ISBLANK(Q490),R490,Q490))=0,"",MIN(IF(ISBLANK(R490),Q490,R490),IF(ISBLANK(Q490),R490,Q490)))</f>
        <v/>
      </c>
      <c r="U490" s="57"/>
      <c r="V490" s="57"/>
      <c r="W490" s="59" t="str">
        <f>IF(MIN(IF(ISBLANK(U490),T490,U490),IF(ISBLANK(T490),U490,T490))=0,"",MIN(IF(ISBLANK(U490),T490,U490),IF(ISBLANK(T490),U490,T490)))</f>
        <v/>
      </c>
      <c r="X490" s="57"/>
      <c r="Y490" s="57"/>
      <c r="Z490" s="59" t="str">
        <f>IF(MIN(IF(ISBLANK(X490),W490,X490),IF(ISBLANK(W490),X490,W490))=0,"",MIN(IF(ISBLANK(X490),W490,X490),IF(ISBLANK(W490),X490,W490)))</f>
        <v/>
      </c>
      <c r="AA490" s="57"/>
      <c r="AB490" s="57"/>
      <c r="AC490" s="59" t="str">
        <f>IF(MIN(IF(ISBLANK(Z490),AA490,Z490),IF(ISBLANK(AA490),Z490,AA490))=0,"",MIN(IF(ISBLANK(Z490),AA490,Z490),IF(ISBLANK(AA490),Z490,AA490)))</f>
        <v/>
      </c>
      <c r="AD490" s="57"/>
      <c r="AE490" s="57"/>
      <c r="AF490" s="59" t="str">
        <f>IF(MIN(IF(ISBLANK(AC490),AD490,AC490),IF(ISBLANK(AD490),AC490,AD490))=0,"",MIN(IF(ISBLANK(AC490),AD490,AC490),IF(ISBLANK(AD490),AC490,AD490)))</f>
        <v/>
      </c>
      <c r="AG490" s="57"/>
      <c r="AH490" s="57"/>
      <c r="AI490" s="59" t="str">
        <f>IF(MIN(IF(ISBLANK(AF490),AG490,AF490),IF(ISBLANK(AG490),AF490,AG490))=0,"",MIN(IF(ISBLANK(AF490),AG490,AF490),IF(ISBLANK(AG490),AF490,AG490)))</f>
        <v/>
      </c>
      <c r="AJ490" s="57"/>
      <c r="AK490" s="57"/>
      <c r="AL490" s="59" t="str">
        <f>IF(MIN(IF(ISBLANK(AI490),AJ490,AI490),IF(ISBLANK(AJ490),AI490,AJ490))=0,"",MIN(IF(ISBLANK(AI490),AJ490,AI490),IF(ISBLANK(AJ490),AI490,AJ490)))</f>
        <v/>
      </c>
      <c r="AM490" s="57"/>
      <c r="AN490" s="57"/>
      <c r="AO490" s="59" t="str">
        <f>IF(MIN(IF(ISBLANK(AL490),AM490,AL490),IF(ISBLANK(AM490),AL490,AM490))=0,"",MIN(IF(ISBLANK(AL490),AM490,AL490),IF(ISBLANK(AM490),AL490,AM490)))</f>
        <v/>
      </c>
      <c r="AP490" s="57"/>
      <c r="AQ490" s="59" t="str">
        <f t="shared" si="171"/>
        <v/>
      </c>
      <c r="AR490" s="57"/>
      <c r="AS490" s="57"/>
      <c r="AT490" s="59" t="str">
        <f t="shared" si="172"/>
        <v/>
      </c>
    </row>
    <row r="491" spans="1:46" hidden="1">
      <c r="A491" s="24"/>
      <c r="B491" s="26" t="s">
        <v>562</v>
      </c>
      <c r="C491" s="26"/>
      <c r="D491" s="50"/>
      <c r="E491" s="51"/>
      <c r="F491" s="50"/>
      <c r="G491" s="52"/>
      <c r="H491" s="50"/>
      <c r="I491" s="53"/>
      <c r="J491" s="50"/>
      <c r="K491" s="53"/>
      <c r="L491" s="50"/>
      <c r="M491" s="57"/>
      <c r="N491" s="55"/>
      <c r="O491" s="57">
        <v>5.2662037037037035E-3</v>
      </c>
      <c r="P491" s="57"/>
      <c r="Q491" s="59">
        <f>IF(MIN(IF(ISBLANK(O491),N491,O491),IF(ISBLANK(N491),O491,N491))=0,"",MIN(IF(ISBLANK(O491),N491,O491),IF(ISBLANK(N491),O491,N491)))</f>
        <v>5.2662037037037035E-3</v>
      </c>
      <c r="R491" s="57"/>
      <c r="S491" s="57"/>
      <c r="T491" s="59">
        <f>IF(MIN(IF(ISBLANK(R491),Q491,R491),IF(ISBLANK(Q491),R491,Q491))=0,"",MIN(IF(ISBLANK(R491),Q491,R491),IF(ISBLANK(Q491),R491,Q491)))</f>
        <v>5.2662037037037035E-3</v>
      </c>
      <c r="U491" s="57"/>
      <c r="V491" s="57"/>
      <c r="W491" s="59">
        <f>IF(MIN(IF(ISBLANK(U491),T491,U491),IF(ISBLANK(T491),U491,T491))=0,"",MIN(IF(ISBLANK(U491),T491,U491),IF(ISBLANK(T491),U491,T491)))</f>
        <v>5.2662037037037035E-3</v>
      </c>
      <c r="X491" s="57"/>
      <c r="Y491" s="57"/>
      <c r="Z491" s="59">
        <f>IF(MIN(IF(ISBLANK(X491),W491,X491),IF(ISBLANK(W491),X491,W491))=0,"",MIN(IF(ISBLANK(X491),W491,X491),IF(ISBLANK(W491),X491,W491)))</f>
        <v>5.2662037037037035E-3</v>
      </c>
      <c r="AA491" s="57"/>
      <c r="AB491" s="57"/>
      <c r="AC491" s="59">
        <f>IF(MIN(IF(ISBLANK(Z491),AA491,Z491),IF(ISBLANK(AA491),Z491,AA491))=0,"",MIN(IF(ISBLANK(Z491),AA491,Z491),IF(ISBLANK(AA491),Z491,AA491)))</f>
        <v>5.2662037037037035E-3</v>
      </c>
      <c r="AD491" s="57"/>
      <c r="AE491" s="57"/>
      <c r="AF491" s="59">
        <f>IF(MIN(IF(ISBLANK(AC491),AD491,AC491),IF(ISBLANK(AD491),AC491,AD491))=0,"",MIN(IF(ISBLANK(AC491),AD491,AC491),IF(ISBLANK(AD491),AC491,AD491)))</f>
        <v>5.2662037037037035E-3</v>
      </c>
      <c r="AG491" s="57"/>
      <c r="AH491" s="57"/>
      <c r="AI491" s="59">
        <f>IF(MIN(IF(ISBLANK(AF491),AG491,AF491),IF(ISBLANK(AG491),AF491,AG491))=0,"",MIN(IF(ISBLANK(AF491),AG491,AF491),IF(ISBLANK(AG491),AF491,AG491)))</f>
        <v>5.2662037037037035E-3</v>
      </c>
      <c r="AJ491" s="57"/>
      <c r="AK491" s="57"/>
      <c r="AL491" s="59">
        <f>IF(MIN(IF(ISBLANK(AI491),AJ491,AI491),IF(ISBLANK(AJ491),AI491,AJ491))=0,"",MIN(IF(ISBLANK(AI491),AJ491,AI491),IF(ISBLANK(AJ491),AI491,AJ491)))</f>
        <v>5.2662037037037035E-3</v>
      </c>
      <c r="AM491" s="57"/>
      <c r="AN491" s="57"/>
      <c r="AO491" s="59">
        <f>IF(MIN(IF(ISBLANK(AL491),AM491,AL491),IF(ISBLANK(AM491),AL491,AM491))=0,"",MIN(IF(ISBLANK(AL491),AM491,AL491),IF(ISBLANK(AM491),AL491,AM491)))</f>
        <v>5.2662037037037035E-3</v>
      </c>
      <c r="AP491" s="57"/>
      <c r="AQ491" s="59">
        <f t="shared" si="171"/>
        <v>5.2662037037037035E-3</v>
      </c>
      <c r="AR491" s="57"/>
      <c r="AS491" s="57"/>
      <c r="AT491" s="59">
        <f t="shared" si="172"/>
        <v>5.2662037037037035E-3</v>
      </c>
    </row>
    <row r="492" spans="1:46" hidden="1">
      <c r="A492" s="24"/>
      <c r="B492" s="26" t="s">
        <v>507</v>
      </c>
      <c r="C492" s="26"/>
      <c r="D492" s="50"/>
      <c r="E492" s="51"/>
      <c r="F492" s="50"/>
      <c r="G492" s="52"/>
      <c r="H492" s="50"/>
      <c r="I492" s="53"/>
      <c r="J492" s="50"/>
      <c r="K492" s="53"/>
      <c r="L492" s="50"/>
      <c r="M492" s="57"/>
      <c r="N492" s="55"/>
      <c r="O492" s="57"/>
      <c r="P492" s="57"/>
      <c r="Q492" s="59" t="str">
        <f>IF(MIN(IF(ISBLANK(O492),N492,O492),IF(ISBLANK(N492),O492,N492))=0,"",MIN(IF(ISBLANK(O492),N492,O492),IF(ISBLANK(N492),O492,N492)))</f>
        <v/>
      </c>
      <c r="R492" s="57"/>
      <c r="S492" s="57"/>
      <c r="T492" s="59" t="str">
        <f>IF(MIN(IF(ISBLANK(R492),Q492,R492),IF(ISBLANK(Q492),R492,Q492))=0,"",MIN(IF(ISBLANK(R492),Q492,R492),IF(ISBLANK(Q492),R492,Q492)))</f>
        <v/>
      </c>
      <c r="U492" s="57"/>
      <c r="V492" s="57"/>
      <c r="W492" s="59" t="str">
        <f>IF(MIN(IF(ISBLANK(U492),T492,U492),IF(ISBLANK(T492),U492,T492))=0,"",MIN(IF(ISBLANK(U492),T492,U492),IF(ISBLANK(T492),U492,T492)))</f>
        <v/>
      </c>
      <c r="X492" s="57"/>
      <c r="Y492" s="57"/>
      <c r="Z492" s="59" t="str">
        <f>IF(MIN(IF(ISBLANK(X492),W492,X492),IF(ISBLANK(W492),X492,W492))=0,"",MIN(IF(ISBLANK(X492),W492,X492),IF(ISBLANK(W492),X492,W492)))</f>
        <v/>
      </c>
      <c r="AA492" s="57"/>
      <c r="AB492" s="57"/>
      <c r="AC492" s="59" t="str">
        <f>IF(MIN(IF(ISBLANK(Z492),AA492,Z492),IF(ISBLANK(AA492),Z492,AA492))=0,"",MIN(IF(ISBLANK(Z492),AA492,Z492),IF(ISBLANK(AA492),Z492,AA492)))</f>
        <v/>
      </c>
      <c r="AD492" s="57"/>
      <c r="AE492" s="57"/>
      <c r="AF492" s="59" t="str">
        <f>IF(MIN(IF(ISBLANK(AC492),AD492,AC492),IF(ISBLANK(AD492),AC492,AD492))=0,"",MIN(IF(ISBLANK(AC492),AD492,AC492),IF(ISBLANK(AD492),AC492,AD492)))</f>
        <v/>
      </c>
      <c r="AG492" s="57"/>
      <c r="AH492" s="57"/>
      <c r="AI492" s="59" t="str">
        <f>IF(MIN(IF(ISBLANK(AF492),AG492,AF492),IF(ISBLANK(AG492),AF492,AG492))=0,"",MIN(IF(ISBLANK(AF492),AG492,AF492),IF(ISBLANK(AG492),AF492,AG492)))</f>
        <v/>
      </c>
      <c r="AJ492" s="57"/>
      <c r="AK492" s="57"/>
      <c r="AL492" s="59" t="str">
        <f>IF(MIN(IF(ISBLANK(AI492),AJ492,AI492),IF(ISBLANK(AJ492),AI492,AJ492))=0,"",MIN(IF(ISBLANK(AI492),AJ492,AI492),IF(ISBLANK(AJ492),AI492,AJ492)))</f>
        <v/>
      </c>
      <c r="AM492" s="57"/>
      <c r="AN492" s="57"/>
      <c r="AO492" s="59" t="str">
        <f>IF(MIN(IF(ISBLANK(AL492),AM492,AL492),IF(ISBLANK(AM492),AL492,AM492))=0,"",MIN(IF(ISBLANK(AL492),AM492,AL492),IF(ISBLANK(AM492),AL492,AM492)))</f>
        <v/>
      </c>
      <c r="AP492" s="57"/>
      <c r="AQ492" s="59" t="str">
        <f t="shared" si="171"/>
        <v/>
      </c>
      <c r="AR492" s="57"/>
      <c r="AS492" s="57"/>
      <c r="AT492" s="59" t="str">
        <f t="shared" si="172"/>
        <v/>
      </c>
    </row>
    <row r="493" spans="1:46">
      <c r="A493" s="24" t="s">
        <v>792</v>
      </c>
      <c r="B493" s="26" t="s">
        <v>827</v>
      </c>
      <c r="C493" s="26"/>
      <c r="D493" s="50"/>
      <c r="E493" s="51"/>
      <c r="F493" s="50"/>
      <c r="G493" s="52"/>
      <c r="H493" s="50"/>
      <c r="I493" s="53"/>
      <c r="J493" s="50"/>
      <c r="K493" s="53"/>
      <c r="L493" s="50"/>
      <c r="M493" s="57"/>
      <c r="N493" s="55"/>
      <c r="O493" s="57"/>
      <c r="P493" s="57"/>
      <c r="Q493" s="59"/>
      <c r="R493" s="57"/>
      <c r="S493" s="57"/>
      <c r="T493" s="59"/>
      <c r="U493" s="57"/>
      <c r="V493" s="57"/>
      <c r="W493" s="59"/>
      <c r="X493" s="57"/>
      <c r="Y493" s="57"/>
      <c r="Z493" s="59"/>
      <c r="AA493" s="57"/>
      <c r="AB493" s="57"/>
      <c r="AC493" s="59"/>
      <c r="AD493" s="57"/>
      <c r="AE493" s="57"/>
      <c r="AF493" s="59"/>
      <c r="AG493" s="57"/>
      <c r="AH493" s="57"/>
      <c r="AI493" s="59"/>
      <c r="AJ493" s="57"/>
      <c r="AK493" s="57"/>
      <c r="AL493" s="59"/>
      <c r="AM493" s="57"/>
      <c r="AN493" s="57"/>
      <c r="AO493" s="59"/>
      <c r="AP493" s="57"/>
      <c r="AQ493" s="59" t="str">
        <f t="shared" si="171"/>
        <v/>
      </c>
      <c r="AR493" s="57"/>
      <c r="AS493" s="57"/>
      <c r="AT493" s="59" t="str">
        <f t="shared" si="172"/>
        <v/>
      </c>
    </row>
    <row r="494" spans="1:46" hidden="1">
      <c r="A494" s="24"/>
      <c r="B494" s="26" t="s">
        <v>607</v>
      </c>
      <c r="C494" s="26"/>
      <c r="D494" s="50"/>
      <c r="E494" s="51"/>
      <c r="F494" s="50"/>
      <c r="G494" s="52"/>
      <c r="H494" s="50"/>
      <c r="I494" s="53"/>
      <c r="J494" s="50"/>
      <c r="K494" s="53"/>
      <c r="L494" s="50"/>
      <c r="M494" s="57"/>
      <c r="N494" s="55"/>
      <c r="O494" s="57"/>
      <c r="P494" s="57"/>
      <c r="Q494" s="59"/>
      <c r="R494" s="57"/>
      <c r="S494" s="57"/>
      <c r="T494" s="59" t="str">
        <f>IF(MIN(IF(ISBLANK(R494),Q494,R494),IF(ISBLANK(Q494),R494,Q494))=0,"",MIN(IF(ISBLANK(R494),Q494,R494),IF(ISBLANK(Q494),R494,Q494)))</f>
        <v/>
      </c>
      <c r="U494" s="57"/>
      <c r="V494" s="57"/>
      <c r="W494" s="59" t="str">
        <f>IF(MIN(IF(ISBLANK(U494),T494,U494),IF(ISBLANK(T494),U494,T494))=0,"",MIN(IF(ISBLANK(U494),T494,U494),IF(ISBLANK(T494),U494,T494)))</f>
        <v/>
      </c>
      <c r="X494" s="57"/>
      <c r="Y494" s="57"/>
      <c r="Z494" s="59" t="str">
        <f>IF(MIN(IF(ISBLANK(X494),W494,X494),IF(ISBLANK(W494),X494,W494))=0,"",MIN(IF(ISBLANK(X494),W494,X494),IF(ISBLANK(W494),X494,W494)))</f>
        <v/>
      </c>
      <c r="AA494" s="57">
        <v>8.1712962962962963E-3</v>
      </c>
      <c r="AB494" s="57"/>
      <c r="AC494" s="59">
        <f>IF(MIN(IF(ISBLANK(Z494),AA494,Z494),IF(ISBLANK(AA494),Z494,AA494))=0,"",MIN(IF(ISBLANK(Z494),AA494,Z494),IF(ISBLANK(AA494),Z494,AA494)))</f>
        <v>8.1712962962962963E-3</v>
      </c>
      <c r="AD494" s="57"/>
      <c r="AE494" s="57"/>
      <c r="AF494" s="59">
        <f>IF(MIN(IF(ISBLANK(AC494),AD494,AC494),IF(ISBLANK(AD494),AC494,AD494))=0,"",MIN(IF(ISBLANK(AC494),AD494,AC494),IF(ISBLANK(AD494),AC494,AD494)))</f>
        <v>8.1712962962962963E-3</v>
      </c>
      <c r="AG494" s="57"/>
      <c r="AH494" s="57"/>
      <c r="AI494" s="59">
        <f>IF(MIN(IF(ISBLANK(AF494),AG494,AF494),IF(ISBLANK(AG494),AF494,AG494))=0,"",MIN(IF(ISBLANK(AF494),AG494,AF494),IF(ISBLANK(AG494),AF494,AG494)))</f>
        <v>8.1712962962962963E-3</v>
      </c>
      <c r="AJ494" s="57"/>
      <c r="AK494" s="57"/>
      <c r="AL494" s="59">
        <f>IF(MIN(IF(ISBLANK(AI494),AJ494,AI494),IF(ISBLANK(AJ494),AI494,AJ494))=0,"",MIN(IF(ISBLANK(AI494),AJ494,AI494),IF(ISBLANK(AJ494),AI494,AJ494)))</f>
        <v>8.1712962962962963E-3</v>
      </c>
      <c r="AM494" s="57"/>
      <c r="AN494" s="57"/>
      <c r="AO494" s="59">
        <f>IF(MIN(IF(ISBLANK(AL494),AM494,AL494),IF(ISBLANK(AM494),AL494,AM494))=0,"",MIN(IF(ISBLANK(AL494),AM494,AL494),IF(ISBLANK(AM494),AL494,AM494)))</f>
        <v>8.1712962962962963E-3</v>
      </c>
      <c r="AP494" s="57"/>
      <c r="AQ494" s="59">
        <f t="shared" si="171"/>
        <v>8.1712962962962963E-3</v>
      </c>
      <c r="AR494" s="57"/>
      <c r="AS494" s="57"/>
      <c r="AT494" s="59">
        <f t="shared" si="172"/>
        <v>8.1712962962962963E-3</v>
      </c>
    </row>
    <row r="495" spans="1:46" hidden="1">
      <c r="A495" s="24"/>
      <c r="B495" s="26" t="s">
        <v>808</v>
      </c>
      <c r="C495" s="26"/>
      <c r="D495" s="50"/>
      <c r="E495" s="51"/>
      <c r="F495" s="50"/>
      <c r="G495" s="52"/>
      <c r="H495" s="50"/>
      <c r="I495" s="53"/>
      <c r="J495" s="50"/>
      <c r="K495" s="53"/>
      <c r="L495" s="50"/>
      <c r="M495" s="57"/>
      <c r="N495" s="55"/>
      <c r="O495" s="57"/>
      <c r="P495" s="57"/>
      <c r="Q495" s="59"/>
      <c r="R495" s="57"/>
      <c r="S495" s="57"/>
      <c r="T495" s="59"/>
      <c r="U495" s="57"/>
      <c r="V495" s="57"/>
      <c r="W495" s="59"/>
      <c r="X495" s="57"/>
      <c r="Y495" s="57"/>
      <c r="Z495" s="59"/>
      <c r="AA495" s="57"/>
      <c r="AB495" s="57"/>
      <c r="AC495" s="59"/>
      <c r="AD495" s="57"/>
      <c r="AE495" s="57"/>
      <c r="AF495" s="59"/>
      <c r="AG495" s="57"/>
      <c r="AH495" s="57"/>
      <c r="AI495" s="59"/>
      <c r="AJ495" s="57"/>
      <c r="AK495" s="57"/>
      <c r="AL495" s="59"/>
      <c r="AM495" s="57"/>
      <c r="AN495" s="57"/>
      <c r="AO495" s="59" t="str">
        <f>IF(MIN(IF(ISBLANK(AL495),AM495,AL495),IF(ISBLANK(AM495),AL495,AM495))=0,"",MIN(IF(ISBLANK(AL495),AM495,AL495),IF(ISBLANK(AM495),AL495,AM495)))</f>
        <v/>
      </c>
      <c r="AP495" s="57"/>
      <c r="AQ495" s="59" t="str">
        <f t="shared" si="171"/>
        <v/>
      </c>
      <c r="AR495" s="57"/>
      <c r="AS495" s="57"/>
      <c r="AT495" s="59" t="str">
        <f t="shared" si="172"/>
        <v/>
      </c>
    </row>
    <row r="496" spans="1:46">
      <c r="A496" s="24" t="s">
        <v>792</v>
      </c>
      <c r="B496" s="26" t="s">
        <v>756</v>
      </c>
      <c r="C496" s="26"/>
      <c r="D496" s="50"/>
      <c r="E496" s="51"/>
      <c r="F496" s="50"/>
      <c r="G496" s="52"/>
      <c r="H496" s="50"/>
      <c r="I496" s="53"/>
      <c r="J496" s="50"/>
      <c r="K496" s="53"/>
      <c r="L496" s="50"/>
      <c r="M496" s="57"/>
      <c r="N496" s="55"/>
      <c r="O496" s="57"/>
      <c r="P496" s="57"/>
      <c r="Q496" s="59"/>
      <c r="R496" s="57"/>
      <c r="S496" s="57"/>
      <c r="T496" s="59"/>
      <c r="U496" s="57"/>
      <c r="V496" s="57"/>
      <c r="W496" s="59"/>
      <c r="X496" s="57"/>
      <c r="Y496" s="57"/>
      <c r="Z496" s="59"/>
      <c r="AA496" s="57"/>
      <c r="AB496" s="57"/>
      <c r="AC496" s="59"/>
      <c r="AD496" s="57"/>
      <c r="AE496" s="57"/>
      <c r="AF496" s="59"/>
      <c r="AG496" s="57"/>
      <c r="AH496" s="57"/>
      <c r="AI496" s="59"/>
      <c r="AJ496" s="57">
        <v>8.1018518518518514E-3</v>
      </c>
      <c r="AK496" s="57"/>
      <c r="AL496" s="59">
        <f>IF(MIN(IF(ISBLANK(AI496),AJ496,AI496),IF(ISBLANK(AJ496),AI496,AJ496))=0,"",MIN(IF(ISBLANK(AI496),AJ496,AI496),IF(ISBLANK(AJ496),AI496,AJ496)))</f>
        <v>8.1018518518518514E-3</v>
      </c>
      <c r="AM496" s="57">
        <v>6.7708333333333336E-3</v>
      </c>
      <c r="AN496" s="57"/>
      <c r="AO496" s="59">
        <f>IF(MIN(IF(ISBLANK(AL496),AM496,AL496),IF(ISBLANK(AM496),AL496,AM496))=0,"",MIN(IF(ISBLANK(AL496),AM496,AL496),IF(ISBLANK(AM496),AL496,AM496)))</f>
        <v>6.7708333333333336E-3</v>
      </c>
      <c r="AP496" s="57">
        <v>6.5856481481481469E-3</v>
      </c>
      <c r="AQ496" s="59">
        <f t="shared" si="171"/>
        <v>6.5856481481481469E-3</v>
      </c>
      <c r="AR496" s="57"/>
      <c r="AS496" s="57"/>
      <c r="AT496" s="59">
        <f t="shared" si="172"/>
        <v>6.5856481481481469E-3</v>
      </c>
    </row>
    <row r="497" spans="1:46">
      <c r="A497" s="24" t="s">
        <v>792</v>
      </c>
      <c r="B497" s="26" t="s">
        <v>795</v>
      </c>
      <c r="C497" s="26"/>
      <c r="D497" s="50"/>
      <c r="E497" s="51"/>
      <c r="F497" s="50"/>
      <c r="G497" s="52"/>
      <c r="H497" s="50"/>
      <c r="I497" s="53"/>
      <c r="J497" s="50"/>
      <c r="K497" s="53"/>
      <c r="L497" s="50"/>
      <c r="M497" s="57"/>
      <c r="N497" s="55"/>
      <c r="O497" s="57"/>
      <c r="P497" s="57"/>
      <c r="Q497" s="59"/>
      <c r="R497" s="57"/>
      <c r="S497" s="57"/>
      <c r="T497" s="59"/>
      <c r="U497" s="57"/>
      <c r="V497" s="57"/>
      <c r="W497" s="59"/>
      <c r="X497" s="57"/>
      <c r="Y497" s="57"/>
      <c r="Z497" s="59"/>
      <c r="AA497" s="57"/>
      <c r="AB497" s="57"/>
      <c r="AC497" s="59"/>
      <c r="AD497" s="57"/>
      <c r="AE497" s="57"/>
      <c r="AF497" s="59"/>
      <c r="AG497" s="57"/>
      <c r="AH497" s="57"/>
      <c r="AI497" s="59"/>
      <c r="AJ497" s="57">
        <v>5.9953703703703697E-3</v>
      </c>
      <c r="AK497" s="57"/>
      <c r="AL497" s="59">
        <f>IF(MIN(IF(ISBLANK(AI497),AJ497,AI497),IF(ISBLANK(AJ497),AI497,AJ497))=0,"",MIN(IF(ISBLANK(AI497),AJ497,AI497),IF(ISBLANK(AJ497),AI497,AJ497)))</f>
        <v>5.9953703703703697E-3</v>
      </c>
      <c r="AM497" s="57">
        <v>5.9259259259259256E-3</v>
      </c>
      <c r="AN497" s="57"/>
      <c r="AO497" s="59">
        <f>IF(MIN(IF(ISBLANK(AL497),AM497,AL497),IF(ISBLANK(AM497),AL497,AM497))=0,"",MIN(IF(ISBLANK(AL497),AM497,AL497),IF(ISBLANK(AM497),AL497,AM497)))</f>
        <v>5.9259259259259256E-3</v>
      </c>
      <c r="AP497" s="57">
        <v>5.6828703703703702E-3</v>
      </c>
      <c r="AQ497" s="59">
        <f t="shared" si="171"/>
        <v>5.6828703703703702E-3</v>
      </c>
      <c r="AR497" s="57"/>
      <c r="AS497" s="57"/>
      <c r="AT497" s="59">
        <f t="shared" si="172"/>
        <v>5.6828703703703702E-3</v>
      </c>
    </row>
    <row r="498" spans="1:46">
      <c r="A498" s="24" t="s">
        <v>792</v>
      </c>
      <c r="B498" s="26" t="s">
        <v>889</v>
      </c>
      <c r="C498" s="26"/>
      <c r="D498" s="50"/>
      <c r="E498" s="51"/>
      <c r="F498" s="50"/>
      <c r="G498" s="52"/>
      <c r="H498" s="50"/>
      <c r="I498" s="53"/>
      <c r="J498" s="50"/>
      <c r="K498" s="53"/>
      <c r="L498" s="50"/>
      <c r="M498" s="57"/>
      <c r="N498" s="55"/>
      <c r="O498" s="57"/>
      <c r="P498" s="57"/>
      <c r="Q498" s="59"/>
      <c r="R498" s="57"/>
      <c r="S498" s="57"/>
      <c r="T498" s="59"/>
      <c r="U498" s="57"/>
      <c r="V498" s="57"/>
      <c r="W498" s="59"/>
      <c r="X498" s="57"/>
      <c r="Y498" s="57"/>
      <c r="Z498" s="59"/>
      <c r="AA498" s="57"/>
      <c r="AB498" s="57"/>
      <c r="AC498" s="59"/>
      <c r="AD498" s="57"/>
      <c r="AE498" s="57"/>
      <c r="AF498" s="59"/>
      <c r="AG498" s="57"/>
      <c r="AH498" s="57"/>
      <c r="AI498" s="59"/>
      <c r="AJ498" s="57"/>
      <c r="AK498" s="57"/>
      <c r="AL498" s="59"/>
      <c r="AM498" s="57"/>
      <c r="AN498" s="57"/>
      <c r="AO498" s="59"/>
      <c r="AP498" s="57">
        <v>6.145833333333333E-3</v>
      </c>
      <c r="AQ498" s="59">
        <f t="shared" si="171"/>
        <v>6.145833333333333E-3</v>
      </c>
      <c r="AR498" s="57"/>
      <c r="AS498" s="57"/>
      <c r="AT498" s="59">
        <f t="shared" si="172"/>
        <v>6.145833333333333E-3</v>
      </c>
    </row>
    <row r="499" spans="1:46" hidden="1">
      <c r="A499" s="24"/>
      <c r="B499" s="26" t="s">
        <v>574</v>
      </c>
      <c r="C499" s="26"/>
      <c r="D499" s="50"/>
      <c r="E499" s="51"/>
      <c r="F499" s="50"/>
      <c r="G499" s="52"/>
      <c r="H499" s="50"/>
      <c r="I499" s="53"/>
      <c r="J499" s="50"/>
      <c r="K499" s="53"/>
      <c r="L499" s="50"/>
      <c r="M499" s="57"/>
      <c r="N499" s="55"/>
      <c r="O499" s="57"/>
      <c r="P499" s="57"/>
      <c r="Q499" s="59"/>
      <c r="R499" s="57"/>
      <c r="S499" s="57"/>
      <c r="T499" s="59" t="str">
        <f>IF(MIN(IF(ISBLANK(R499),Q499,R499),IF(ISBLANK(Q499),R499,Q499))=0,"",MIN(IF(ISBLANK(R499),Q499,R499),IF(ISBLANK(Q499),R499,Q499)))</f>
        <v/>
      </c>
      <c r="U499" s="57"/>
      <c r="V499" s="57"/>
      <c r="W499" s="59" t="str">
        <f>IF(MIN(IF(ISBLANK(U499),T499,U499),IF(ISBLANK(T499),U499,T499))=0,"",MIN(IF(ISBLANK(U499),T499,U499),IF(ISBLANK(T499),U499,T499)))</f>
        <v/>
      </c>
      <c r="X499" s="57"/>
      <c r="Y499" s="57"/>
      <c r="Z499" s="59" t="str">
        <f>IF(MIN(IF(ISBLANK(X499),W499,X499),IF(ISBLANK(W499),X499,W499))=0,"",MIN(IF(ISBLANK(X499),W499,X499),IF(ISBLANK(W499),X499,W499)))</f>
        <v/>
      </c>
      <c r="AA499" s="57"/>
      <c r="AB499" s="57"/>
      <c r="AC499" s="59" t="str">
        <f>IF(MIN(IF(ISBLANK(Z499),AA499,Z499),IF(ISBLANK(AA499),Z499,AA499))=0,"",MIN(IF(ISBLANK(Z499),AA499,Z499),IF(ISBLANK(AA499),Z499,AA499)))</f>
        <v/>
      </c>
      <c r="AD499" s="57"/>
      <c r="AE499" s="57"/>
      <c r="AF499" s="59" t="str">
        <f>IF(MIN(IF(ISBLANK(AC499),AD499,AC499),IF(ISBLANK(AD499),AC499,AD499))=0,"",MIN(IF(ISBLANK(AC499),AD499,AC499),IF(ISBLANK(AD499),AC499,AD499)))</f>
        <v/>
      </c>
      <c r="AG499" s="57"/>
      <c r="AH499" s="57"/>
      <c r="AI499" s="59" t="str">
        <f>IF(MIN(IF(ISBLANK(AF499),AG499,AF499),IF(ISBLANK(AG499),AF499,AG499))=0,"",MIN(IF(ISBLANK(AF499),AG499,AF499),IF(ISBLANK(AG499),AF499,AG499)))</f>
        <v/>
      </c>
      <c r="AJ499" s="57"/>
      <c r="AK499" s="57"/>
      <c r="AL499" s="59" t="str">
        <f>IF(MIN(IF(ISBLANK(AI499),AJ499,AI499),IF(ISBLANK(AJ499),AI499,AJ499))=0,"",MIN(IF(ISBLANK(AI499),AJ499,AI499),IF(ISBLANK(AJ499),AI499,AJ499)))</f>
        <v/>
      </c>
      <c r="AM499" s="57"/>
      <c r="AN499" s="57"/>
      <c r="AO499" s="59" t="str">
        <f t="shared" ref="AO499:AO510" si="190">IF(MIN(IF(ISBLANK(AL499),AM499,AL499),IF(ISBLANK(AM499),AL499,AM499))=0,"",MIN(IF(ISBLANK(AL499),AM499,AL499),IF(ISBLANK(AM499),AL499,AM499)))</f>
        <v/>
      </c>
      <c r="AP499" s="57"/>
      <c r="AQ499" s="59" t="str">
        <f t="shared" si="171"/>
        <v/>
      </c>
      <c r="AR499" s="57"/>
      <c r="AS499" s="57"/>
      <c r="AT499" s="59" t="str">
        <f t="shared" si="172"/>
        <v/>
      </c>
    </row>
    <row r="500" spans="1:46">
      <c r="A500" s="24" t="s">
        <v>792</v>
      </c>
      <c r="B500" s="26" t="s">
        <v>810</v>
      </c>
      <c r="C500" s="26"/>
      <c r="D500" s="50"/>
      <c r="E500" s="51"/>
      <c r="F500" s="50"/>
      <c r="G500" s="52"/>
      <c r="H500" s="50"/>
      <c r="I500" s="53"/>
      <c r="J500" s="50"/>
      <c r="K500" s="53"/>
      <c r="L500" s="50"/>
      <c r="M500" s="57"/>
      <c r="N500" s="55"/>
      <c r="O500" s="57"/>
      <c r="P500" s="57"/>
      <c r="Q500" s="59"/>
      <c r="R500" s="57"/>
      <c r="S500" s="57"/>
      <c r="T500" s="59"/>
      <c r="U500" s="57"/>
      <c r="V500" s="57"/>
      <c r="W500" s="59"/>
      <c r="X500" s="57"/>
      <c r="Y500" s="57"/>
      <c r="Z500" s="59"/>
      <c r="AA500" s="57"/>
      <c r="AB500" s="57"/>
      <c r="AC500" s="59"/>
      <c r="AD500" s="57"/>
      <c r="AE500" s="57"/>
      <c r="AF500" s="59"/>
      <c r="AG500" s="57"/>
      <c r="AH500" s="57"/>
      <c r="AI500" s="59"/>
      <c r="AJ500" s="57"/>
      <c r="AK500" s="57"/>
      <c r="AL500" s="59"/>
      <c r="AM500" s="57">
        <v>6.1574074074074074E-3</v>
      </c>
      <c r="AN500" s="57"/>
      <c r="AO500" s="59">
        <f t="shared" si="190"/>
        <v>6.1574074074074074E-3</v>
      </c>
      <c r="AP500" s="57"/>
      <c r="AQ500" s="59">
        <f t="shared" si="171"/>
        <v>6.1574074074074074E-3</v>
      </c>
      <c r="AR500" s="57">
        <v>5.8796296296296296E-3</v>
      </c>
      <c r="AS500" s="57"/>
      <c r="AT500" s="59">
        <f t="shared" si="172"/>
        <v>5.8796296296296296E-3</v>
      </c>
    </row>
    <row r="501" spans="1:46" hidden="1">
      <c r="A501" s="24"/>
      <c r="B501" s="26" t="s">
        <v>659</v>
      </c>
      <c r="C501" s="26"/>
      <c r="D501" s="50"/>
      <c r="E501" s="51"/>
      <c r="F501" s="50"/>
      <c r="G501" s="52"/>
      <c r="H501" s="50"/>
      <c r="I501" s="53"/>
      <c r="J501" s="50"/>
      <c r="K501" s="53"/>
      <c r="L501" s="50"/>
      <c r="M501" s="57"/>
      <c r="N501" s="55"/>
      <c r="O501" s="57"/>
      <c r="P501" s="57"/>
      <c r="Q501" s="59"/>
      <c r="R501" s="57"/>
      <c r="S501" s="57"/>
      <c r="T501" s="59"/>
      <c r="U501" s="57"/>
      <c r="V501" s="57"/>
      <c r="W501" s="59"/>
      <c r="X501" s="57"/>
      <c r="Y501" s="57"/>
      <c r="Z501" s="59" t="str">
        <f>IF(MIN(IF(ISBLANK(X501),W501,X501),IF(ISBLANK(W501),X501,W501))=0,"",MIN(IF(ISBLANK(X501),W501,X501),IF(ISBLANK(W501),X501,W501)))</f>
        <v/>
      </c>
      <c r="AA501" s="57"/>
      <c r="AB501" s="57"/>
      <c r="AC501" s="59" t="str">
        <f t="shared" ref="AC501:AC510" si="191">IF(MIN(IF(ISBLANK(Z501),AA501,Z501),IF(ISBLANK(AA501),Z501,AA501))=0,"",MIN(IF(ISBLANK(Z501),AA501,Z501),IF(ISBLANK(AA501),Z501,AA501)))</f>
        <v/>
      </c>
      <c r="AD501" s="57"/>
      <c r="AE501" s="57"/>
      <c r="AF501" s="59" t="str">
        <f t="shared" ref="AF501:AF510" si="192">IF(MIN(IF(ISBLANK(AC501),AD501,AC501),IF(ISBLANK(AD501),AC501,AD501))=0,"",MIN(IF(ISBLANK(AC501),AD501,AC501),IF(ISBLANK(AD501),AC501,AD501)))</f>
        <v/>
      </c>
      <c r="AG501" s="57"/>
      <c r="AH501" s="57"/>
      <c r="AI501" s="59" t="str">
        <f t="shared" ref="AI501:AI510" si="193">IF(MIN(IF(ISBLANK(AF501),AG501,AF501),IF(ISBLANK(AG501),AF501,AG501))=0,"",MIN(IF(ISBLANK(AF501),AG501,AF501),IF(ISBLANK(AG501),AF501,AG501)))</f>
        <v/>
      </c>
      <c r="AJ501" s="57"/>
      <c r="AK501" s="57"/>
      <c r="AL501" s="59" t="str">
        <f t="shared" ref="AL501:AL510" si="194">IF(MIN(IF(ISBLANK(AI501),AJ501,AI501),IF(ISBLANK(AJ501),AI501,AJ501))=0,"",MIN(IF(ISBLANK(AI501),AJ501,AI501),IF(ISBLANK(AJ501),AI501,AJ501)))</f>
        <v/>
      </c>
      <c r="AM501" s="57"/>
      <c r="AN501" s="57"/>
      <c r="AO501" s="59" t="str">
        <f t="shared" si="190"/>
        <v/>
      </c>
      <c r="AP501" s="57"/>
      <c r="AQ501" s="59" t="str">
        <f t="shared" si="171"/>
        <v/>
      </c>
      <c r="AR501" s="57"/>
      <c r="AS501" s="57"/>
      <c r="AT501" s="59" t="str">
        <f t="shared" si="172"/>
        <v/>
      </c>
    </row>
    <row r="502" spans="1:46" hidden="1">
      <c r="A502" s="24"/>
      <c r="B502" s="26" t="s">
        <v>406</v>
      </c>
      <c r="C502" s="26" t="s">
        <v>444</v>
      </c>
      <c r="D502" s="50"/>
      <c r="E502" s="51"/>
      <c r="F502" s="50"/>
      <c r="G502" s="52"/>
      <c r="H502" s="50"/>
      <c r="I502" s="53">
        <v>10.029999999999999</v>
      </c>
      <c r="J502" s="50">
        <v>10.029999999999999</v>
      </c>
      <c r="K502" s="53"/>
      <c r="L502" s="50">
        <v>10.029999999999999</v>
      </c>
      <c r="M502" s="57">
        <v>7.8356481481481489E-3</v>
      </c>
      <c r="N502" s="55">
        <v>6.9791666666666674E-3</v>
      </c>
      <c r="O502" s="57"/>
      <c r="P502" s="57"/>
      <c r="Q502" s="59">
        <f>IF(MIN(IF(ISBLANK(O502),N502,O502),IF(ISBLANK(N502),O502,N502))=0,"",MIN(IF(ISBLANK(O502),N502,O502),IF(ISBLANK(N502),O502,N502)))</f>
        <v>6.9791666666666674E-3</v>
      </c>
      <c r="R502" s="57"/>
      <c r="S502" s="57"/>
      <c r="T502" s="59">
        <f>IF(MIN(IF(ISBLANK(R502),Q502,R502),IF(ISBLANK(Q502),R502,Q502))=0,"",MIN(IF(ISBLANK(R502),Q502,R502),IF(ISBLANK(Q502),R502,Q502)))</f>
        <v>6.9791666666666674E-3</v>
      </c>
      <c r="U502" s="57"/>
      <c r="V502" s="57"/>
      <c r="W502" s="59">
        <f>IF(MIN(IF(ISBLANK(U502),T502,U502),IF(ISBLANK(T502),U502,T502))=0,"",MIN(IF(ISBLANK(U502),T502,U502),IF(ISBLANK(T502),U502,T502)))</f>
        <v>6.9791666666666674E-3</v>
      </c>
      <c r="X502" s="57"/>
      <c r="Y502" s="57"/>
      <c r="Z502" s="59">
        <f>IF(MIN(IF(ISBLANK(X502),W502,X502),IF(ISBLANK(W502),X502,W502))=0,"",MIN(IF(ISBLANK(X502),W502,X502),IF(ISBLANK(W502),X502,W502)))</f>
        <v>6.9791666666666674E-3</v>
      </c>
      <c r="AA502" s="57"/>
      <c r="AB502" s="57"/>
      <c r="AC502" s="59">
        <f t="shared" si="191"/>
        <v>6.9791666666666674E-3</v>
      </c>
      <c r="AD502" s="57"/>
      <c r="AE502" s="57"/>
      <c r="AF502" s="59">
        <f t="shared" si="192"/>
        <v>6.9791666666666674E-3</v>
      </c>
      <c r="AG502" s="57"/>
      <c r="AH502" s="57"/>
      <c r="AI502" s="59">
        <f t="shared" si="193"/>
        <v>6.9791666666666674E-3</v>
      </c>
      <c r="AJ502" s="57"/>
      <c r="AK502" s="57"/>
      <c r="AL502" s="59">
        <f t="shared" si="194"/>
        <v>6.9791666666666674E-3</v>
      </c>
      <c r="AM502" s="57"/>
      <c r="AN502" s="57"/>
      <c r="AO502" s="59">
        <f t="shared" si="190"/>
        <v>6.9791666666666674E-3</v>
      </c>
      <c r="AP502" s="57"/>
      <c r="AQ502" s="59">
        <f t="shared" si="171"/>
        <v>6.9791666666666674E-3</v>
      </c>
      <c r="AR502" s="57"/>
      <c r="AS502" s="57"/>
      <c r="AT502" s="59">
        <f t="shared" si="172"/>
        <v>6.9791666666666674E-3</v>
      </c>
    </row>
    <row r="503" spans="1:46" hidden="1">
      <c r="A503" s="24"/>
      <c r="B503" s="26" t="s">
        <v>407</v>
      </c>
      <c r="C503" s="26" t="s">
        <v>443</v>
      </c>
      <c r="D503" s="50"/>
      <c r="E503" s="51"/>
      <c r="F503" s="50"/>
      <c r="G503" s="52"/>
      <c r="H503" s="50"/>
      <c r="I503" s="53"/>
      <c r="J503" s="50" t="s">
        <v>448</v>
      </c>
      <c r="K503" s="53"/>
      <c r="L503" s="50"/>
      <c r="M503" s="57"/>
      <c r="N503" s="55"/>
      <c r="O503" s="57"/>
      <c r="P503" s="57"/>
      <c r="Q503" s="59" t="str">
        <f>IF(MIN(IF(ISBLANK(O503),N503,O503),IF(ISBLANK(N503),O503,N503))=0,"",MIN(IF(ISBLANK(O503),N503,O503),IF(ISBLANK(N503),O503,N503)))</f>
        <v/>
      </c>
      <c r="R503" s="57"/>
      <c r="S503" s="57"/>
      <c r="T503" s="59" t="str">
        <f>IF(MIN(IF(ISBLANK(R503),Q503,R503),IF(ISBLANK(Q503),R503,Q503))=0,"",MIN(IF(ISBLANK(R503),Q503,R503),IF(ISBLANK(Q503),R503,Q503)))</f>
        <v/>
      </c>
      <c r="U503" s="57"/>
      <c r="V503" s="57"/>
      <c r="W503" s="59" t="str">
        <f>IF(MIN(IF(ISBLANK(U503),T503,U503),IF(ISBLANK(T503),U503,T503))=0,"",MIN(IF(ISBLANK(U503),T503,U503),IF(ISBLANK(T503),U503,T503)))</f>
        <v/>
      </c>
      <c r="X503" s="57"/>
      <c r="Y503" s="57"/>
      <c r="Z503" s="59" t="str">
        <f>IF(MIN(IF(ISBLANK(X503),W503,X503),IF(ISBLANK(W503),X503,W503))=0,"",MIN(IF(ISBLANK(X503),W503,X503),IF(ISBLANK(W503),X503,W503)))</f>
        <v/>
      </c>
      <c r="AA503" s="57"/>
      <c r="AB503" s="57"/>
      <c r="AC503" s="59" t="str">
        <f t="shared" si="191"/>
        <v/>
      </c>
      <c r="AD503" s="57"/>
      <c r="AE503" s="57"/>
      <c r="AF503" s="59" t="str">
        <f t="shared" si="192"/>
        <v/>
      </c>
      <c r="AG503" s="57"/>
      <c r="AH503" s="57"/>
      <c r="AI503" s="59" t="str">
        <f t="shared" si="193"/>
        <v/>
      </c>
      <c r="AJ503" s="57"/>
      <c r="AK503" s="57"/>
      <c r="AL503" s="59" t="str">
        <f t="shared" si="194"/>
        <v/>
      </c>
      <c r="AM503" s="57"/>
      <c r="AN503" s="57"/>
      <c r="AO503" s="59" t="str">
        <f t="shared" si="190"/>
        <v/>
      </c>
      <c r="AP503" s="57"/>
      <c r="AQ503" s="59" t="str">
        <f t="shared" si="171"/>
        <v/>
      </c>
      <c r="AR503" s="57"/>
      <c r="AS503" s="57"/>
      <c r="AT503" s="59" t="str">
        <f t="shared" si="172"/>
        <v/>
      </c>
    </row>
    <row r="504" spans="1:46" hidden="1">
      <c r="A504" s="24"/>
      <c r="B504" s="26" t="s">
        <v>708</v>
      </c>
      <c r="C504" s="26"/>
      <c r="D504" s="50"/>
      <c r="E504" s="51"/>
      <c r="F504" s="50"/>
      <c r="G504" s="52"/>
      <c r="H504" s="50"/>
      <c r="I504" s="53"/>
      <c r="J504" s="50"/>
      <c r="K504" s="53"/>
      <c r="L504" s="50"/>
      <c r="M504" s="57"/>
      <c r="N504" s="55"/>
      <c r="O504" s="57"/>
      <c r="P504" s="57"/>
      <c r="Q504" s="59"/>
      <c r="R504" s="57"/>
      <c r="S504" s="57"/>
      <c r="T504" s="59"/>
      <c r="U504" s="57"/>
      <c r="V504" s="57"/>
      <c r="W504" s="59"/>
      <c r="X504" s="57"/>
      <c r="Y504" s="57"/>
      <c r="Z504" s="59"/>
      <c r="AA504" s="57">
        <v>7.083333333333333E-3</v>
      </c>
      <c r="AB504" s="57"/>
      <c r="AC504" s="59">
        <f t="shared" si="191"/>
        <v>7.083333333333333E-3</v>
      </c>
      <c r="AD504" s="57"/>
      <c r="AE504" s="57"/>
      <c r="AF504" s="59">
        <f t="shared" si="192"/>
        <v>7.083333333333333E-3</v>
      </c>
      <c r="AG504" s="57"/>
      <c r="AH504" s="57"/>
      <c r="AI504" s="59">
        <f t="shared" si="193"/>
        <v>7.083333333333333E-3</v>
      </c>
      <c r="AJ504" s="57"/>
      <c r="AK504" s="57"/>
      <c r="AL504" s="59">
        <f t="shared" si="194"/>
        <v>7.083333333333333E-3</v>
      </c>
      <c r="AM504" s="57"/>
      <c r="AN504" s="57"/>
      <c r="AO504" s="59">
        <f t="shared" si="190"/>
        <v>7.083333333333333E-3</v>
      </c>
      <c r="AP504" s="57"/>
      <c r="AQ504" s="59">
        <f t="shared" si="171"/>
        <v>7.083333333333333E-3</v>
      </c>
      <c r="AR504" s="57"/>
      <c r="AS504" s="57"/>
      <c r="AT504" s="59">
        <f t="shared" si="172"/>
        <v>7.083333333333333E-3</v>
      </c>
    </row>
    <row r="505" spans="1:46" hidden="1">
      <c r="A505" s="24"/>
      <c r="B505" s="26" t="s">
        <v>508</v>
      </c>
      <c r="C505" s="26"/>
      <c r="D505" s="50"/>
      <c r="E505" s="51"/>
      <c r="F505" s="50"/>
      <c r="G505" s="52"/>
      <c r="H505" s="50"/>
      <c r="I505" s="53"/>
      <c r="J505" s="50"/>
      <c r="K505" s="53"/>
      <c r="L505" s="50"/>
      <c r="M505" s="57"/>
      <c r="N505" s="55"/>
      <c r="O505" s="57"/>
      <c r="P505" s="57"/>
      <c r="Q505" s="59" t="str">
        <f>IF(MIN(IF(ISBLANK(O505),N505,O505),IF(ISBLANK(N505),O505,N505))=0,"",MIN(IF(ISBLANK(O505),N505,O505),IF(ISBLANK(N505),O505,N505)))</f>
        <v/>
      </c>
      <c r="R505" s="57"/>
      <c r="S505" s="57"/>
      <c r="T505" s="59" t="str">
        <f>IF(MIN(IF(ISBLANK(R505),Q505,R505),IF(ISBLANK(Q505),R505,Q505))=0,"",MIN(IF(ISBLANK(R505),Q505,R505),IF(ISBLANK(Q505),R505,Q505)))</f>
        <v/>
      </c>
      <c r="U505" s="57"/>
      <c r="V505" s="57"/>
      <c r="W505" s="59" t="str">
        <f>IF(MIN(IF(ISBLANK(U505),T505,U505),IF(ISBLANK(T505),U505,T505))=0,"",MIN(IF(ISBLANK(U505),T505,U505),IF(ISBLANK(T505),U505,T505)))</f>
        <v/>
      </c>
      <c r="X505" s="57"/>
      <c r="Y505" s="57"/>
      <c r="Z505" s="59" t="str">
        <f>IF(MIN(IF(ISBLANK(X505),W505,X505),IF(ISBLANK(W505),X505,W505))=0,"",MIN(IF(ISBLANK(X505),W505,X505),IF(ISBLANK(W505),X505,W505)))</f>
        <v/>
      </c>
      <c r="AA505" s="57"/>
      <c r="AB505" s="57"/>
      <c r="AC505" s="59" t="str">
        <f t="shared" si="191"/>
        <v/>
      </c>
      <c r="AD505" s="57"/>
      <c r="AE505" s="57"/>
      <c r="AF505" s="59" t="str">
        <f t="shared" si="192"/>
        <v/>
      </c>
      <c r="AG505" s="57"/>
      <c r="AH505" s="57"/>
      <c r="AI505" s="59" t="str">
        <f t="shared" si="193"/>
        <v/>
      </c>
      <c r="AJ505" s="57"/>
      <c r="AK505" s="57"/>
      <c r="AL505" s="59" t="str">
        <f t="shared" si="194"/>
        <v/>
      </c>
      <c r="AM505" s="57"/>
      <c r="AN505" s="57"/>
      <c r="AO505" s="59" t="str">
        <f t="shared" si="190"/>
        <v/>
      </c>
      <c r="AP505" s="57"/>
      <c r="AQ505" s="59" t="str">
        <f t="shared" si="171"/>
        <v/>
      </c>
      <c r="AR505" s="57"/>
      <c r="AS505" s="57"/>
      <c r="AT505" s="59" t="str">
        <f t="shared" si="172"/>
        <v/>
      </c>
    </row>
    <row r="506" spans="1:46" hidden="1">
      <c r="A506" s="24"/>
      <c r="B506" s="26" t="s">
        <v>66</v>
      </c>
      <c r="C506" s="26" t="s">
        <v>444</v>
      </c>
      <c r="D506" s="50"/>
      <c r="E506" s="51"/>
      <c r="F506" s="50" t="s">
        <v>448</v>
      </c>
      <c r="G506" s="52"/>
      <c r="H506" s="50"/>
      <c r="I506" s="53"/>
      <c r="J506" s="50" t="s">
        <v>448</v>
      </c>
      <c r="K506" s="53"/>
      <c r="L506" s="50"/>
      <c r="M506" s="57"/>
      <c r="N506" s="55"/>
      <c r="O506" s="57"/>
      <c r="P506" s="57"/>
      <c r="Q506" s="59" t="str">
        <f>IF(MIN(IF(ISBLANK(O506),N506,O506),IF(ISBLANK(N506),O506,N506))=0,"",MIN(IF(ISBLANK(O506),N506,O506),IF(ISBLANK(N506),O506,N506)))</f>
        <v/>
      </c>
      <c r="R506" s="57"/>
      <c r="S506" s="57"/>
      <c r="T506" s="59" t="str">
        <f>IF(MIN(IF(ISBLANK(R506),Q506,R506),IF(ISBLANK(Q506),R506,Q506))=0,"",MIN(IF(ISBLANK(R506),Q506,R506),IF(ISBLANK(Q506),R506,Q506)))</f>
        <v/>
      </c>
      <c r="U506" s="57"/>
      <c r="V506" s="57"/>
      <c r="W506" s="59" t="str">
        <f>IF(MIN(IF(ISBLANK(U506),T506,U506),IF(ISBLANK(T506),U506,T506))=0,"",MIN(IF(ISBLANK(U506),T506,U506),IF(ISBLANK(T506),U506,T506)))</f>
        <v/>
      </c>
      <c r="X506" s="57"/>
      <c r="Y506" s="57"/>
      <c r="Z506" s="59" t="str">
        <f>IF(MIN(IF(ISBLANK(X506),W506,X506),IF(ISBLANK(W506),X506,W506))=0,"",MIN(IF(ISBLANK(X506),W506,X506),IF(ISBLANK(W506),X506,W506)))</f>
        <v/>
      </c>
      <c r="AA506" s="57"/>
      <c r="AB506" s="57"/>
      <c r="AC506" s="59" t="str">
        <f t="shared" si="191"/>
        <v/>
      </c>
      <c r="AD506" s="57"/>
      <c r="AE506" s="57"/>
      <c r="AF506" s="59" t="str">
        <f t="shared" si="192"/>
        <v/>
      </c>
      <c r="AG506" s="57"/>
      <c r="AH506" s="57"/>
      <c r="AI506" s="59" t="str">
        <f t="shared" si="193"/>
        <v/>
      </c>
      <c r="AJ506" s="57"/>
      <c r="AK506" s="57"/>
      <c r="AL506" s="59" t="str">
        <f t="shared" si="194"/>
        <v/>
      </c>
      <c r="AM506" s="57"/>
      <c r="AN506" s="57"/>
      <c r="AO506" s="59" t="str">
        <f t="shared" si="190"/>
        <v/>
      </c>
      <c r="AP506" s="57"/>
      <c r="AQ506" s="59" t="str">
        <f t="shared" si="171"/>
        <v/>
      </c>
      <c r="AR506" s="57"/>
      <c r="AS506" s="57"/>
      <c r="AT506" s="59" t="str">
        <f t="shared" si="172"/>
        <v/>
      </c>
    </row>
    <row r="507" spans="1:46" hidden="1">
      <c r="A507" s="24"/>
      <c r="B507" s="26" t="s">
        <v>71</v>
      </c>
      <c r="C507" s="26" t="s">
        <v>444</v>
      </c>
      <c r="D507" s="50">
        <v>11.25</v>
      </c>
      <c r="E507" s="51"/>
      <c r="F507" s="50">
        <v>11.25</v>
      </c>
      <c r="G507" s="52"/>
      <c r="H507" s="50">
        <v>11.25</v>
      </c>
      <c r="I507" s="53"/>
      <c r="J507" s="50">
        <v>11.25</v>
      </c>
      <c r="K507" s="53"/>
      <c r="L507" s="50">
        <v>11.25</v>
      </c>
      <c r="M507" s="57"/>
      <c r="N507" s="55">
        <v>7.9282407407407409E-3</v>
      </c>
      <c r="O507" s="57"/>
      <c r="P507" s="57"/>
      <c r="Q507" s="59">
        <f>IF(MIN(IF(ISBLANK(O507),N507,O507),IF(ISBLANK(N507),O507,N507))=0,"",MIN(IF(ISBLANK(O507),N507,O507),IF(ISBLANK(N507),O507,N507)))</f>
        <v>7.9282407407407409E-3</v>
      </c>
      <c r="R507" s="57"/>
      <c r="S507" s="57"/>
      <c r="T507" s="59">
        <f>IF(MIN(IF(ISBLANK(R507),Q507,R507),IF(ISBLANK(Q507),R507,Q507))=0,"",MIN(IF(ISBLANK(R507),Q507,R507),IF(ISBLANK(Q507),R507,Q507)))</f>
        <v>7.9282407407407409E-3</v>
      </c>
      <c r="U507" s="57"/>
      <c r="V507" s="57"/>
      <c r="W507" s="59">
        <f>IF(MIN(IF(ISBLANK(U507),T507,U507),IF(ISBLANK(T507),U507,T507))=0,"",MIN(IF(ISBLANK(U507),T507,U507),IF(ISBLANK(T507),U507,T507)))</f>
        <v>7.9282407407407409E-3</v>
      </c>
      <c r="X507" s="57"/>
      <c r="Y507" s="57"/>
      <c r="Z507" s="59">
        <f>IF(MIN(IF(ISBLANK(X507),W507,X507),IF(ISBLANK(W507),X507,W507))=0,"",MIN(IF(ISBLANK(X507),W507,X507),IF(ISBLANK(W507),X507,W507)))</f>
        <v>7.9282407407407409E-3</v>
      </c>
      <c r="AA507" s="57"/>
      <c r="AB507" s="57"/>
      <c r="AC507" s="59">
        <f t="shared" si="191"/>
        <v>7.9282407407407409E-3</v>
      </c>
      <c r="AD507" s="57"/>
      <c r="AE507" s="57"/>
      <c r="AF507" s="59">
        <f t="shared" si="192"/>
        <v>7.9282407407407409E-3</v>
      </c>
      <c r="AG507" s="57"/>
      <c r="AH507" s="57"/>
      <c r="AI507" s="59">
        <f t="shared" si="193"/>
        <v>7.9282407407407409E-3</v>
      </c>
      <c r="AJ507" s="57"/>
      <c r="AK507" s="57"/>
      <c r="AL507" s="59">
        <f t="shared" si="194"/>
        <v>7.9282407407407409E-3</v>
      </c>
      <c r="AM507" s="57"/>
      <c r="AN507" s="57"/>
      <c r="AO507" s="59">
        <f t="shared" si="190"/>
        <v>7.9282407407407409E-3</v>
      </c>
      <c r="AP507" s="57"/>
      <c r="AQ507" s="59">
        <f t="shared" si="171"/>
        <v>7.9282407407407409E-3</v>
      </c>
      <c r="AR507" s="57"/>
      <c r="AS507" s="57"/>
      <c r="AT507" s="59">
        <f t="shared" si="172"/>
        <v>7.9282407407407409E-3</v>
      </c>
    </row>
    <row r="508" spans="1:46" hidden="1">
      <c r="A508" s="24"/>
      <c r="B508" s="26" t="s">
        <v>78</v>
      </c>
      <c r="C508" s="26"/>
      <c r="D508" s="50"/>
      <c r="E508" s="51"/>
      <c r="F508" s="50" t="s">
        <v>448</v>
      </c>
      <c r="G508" s="52"/>
      <c r="H508" s="50"/>
      <c r="I508" s="53"/>
      <c r="J508" s="50" t="s">
        <v>448</v>
      </c>
      <c r="K508" s="53"/>
      <c r="L508" s="50"/>
      <c r="M508" s="57"/>
      <c r="N508" s="55"/>
      <c r="O508" s="57"/>
      <c r="P508" s="57"/>
      <c r="Q508" s="59" t="str">
        <f>IF(MIN(IF(ISBLANK(O508),N508,O508),IF(ISBLANK(N508),O508,N508))=0,"",MIN(IF(ISBLANK(O508),N508,O508),IF(ISBLANK(N508),O508,N508)))</f>
        <v/>
      </c>
      <c r="R508" s="57"/>
      <c r="S508" s="57"/>
      <c r="T508" s="59" t="str">
        <f>IF(MIN(IF(ISBLANK(R508),Q508,R508),IF(ISBLANK(Q508),R508,Q508))=0,"",MIN(IF(ISBLANK(R508),Q508,R508),IF(ISBLANK(Q508),R508,Q508)))</f>
        <v/>
      </c>
      <c r="U508" s="57"/>
      <c r="V508" s="57"/>
      <c r="W508" s="59" t="str">
        <f>IF(MIN(IF(ISBLANK(U508),T508,U508),IF(ISBLANK(T508),U508,T508))=0,"",MIN(IF(ISBLANK(U508),T508,U508),IF(ISBLANK(T508),U508,T508)))</f>
        <v/>
      </c>
      <c r="X508" s="57"/>
      <c r="Y508" s="57"/>
      <c r="Z508" s="59" t="str">
        <f>IF(MIN(IF(ISBLANK(X508),W508,X508),IF(ISBLANK(W508),X508,W508))=0,"",MIN(IF(ISBLANK(X508),W508,X508),IF(ISBLANK(W508),X508,W508)))</f>
        <v/>
      </c>
      <c r="AA508" s="57"/>
      <c r="AB508" s="57"/>
      <c r="AC508" s="59" t="str">
        <f t="shared" si="191"/>
        <v/>
      </c>
      <c r="AD508" s="57"/>
      <c r="AE508" s="57"/>
      <c r="AF508" s="59" t="str">
        <f t="shared" si="192"/>
        <v/>
      </c>
      <c r="AG508" s="57"/>
      <c r="AH508" s="57"/>
      <c r="AI508" s="59" t="str">
        <f t="shared" si="193"/>
        <v/>
      </c>
      <c r="AJ508" s="57"/>
      <c r="AK508" s="57"/>
      <c r="AL508" s="59" t="str">
        <f t="shared" si="194"/>
        <v/>
      </c>
      <c r="AM508" s="57"/>
      <c r="AN508" s="57"/>
      <c r="AO508" s="59" t="str">
        <f t="shared" si="190"/>
        <v/>
      </c>
      <c r="AP508" s="57"/>
      <c r="AQ508" s="59" t="str">
        <f t="shared" si="171"/>
        <v/>
      </c>
      <c r="AR508" s="57"/>
      <c r="AS508" s="57"/>
      <c r="AT508" s="59" t="str">
        <f t="shared" si="172"/>
        <v/>
      </c>
    </row>
    <row r="509" spans="1:46" hidden="1">
      <c r="A509" s="24"/>
      <c r="B509" s="26" t="s">
        <v>82</v>
      </c>
      <c r="C509" s="26"/>
      <c r="D509" s="50" t="s">
        <v>220</v>
      </c>
      <c r="E509" s="51" t="s">
        <v>304</v>
      </c>
      <c r="F509" s="50">
        <v>8.43</v>
      </c>
      <c r="G509" s="52"/>
      <c r="H509" s="50">
        <v>8.43</v>
      </c>
      <c r="I509" s="53"/>
      <c r="J509" s="50">
        <v>8.43</v>
      </c>
      <c r="K509" s="53"/>
      <c r="L509" s="50">
        <v>8.43</v>
      </c>
      <c r="M509" s="57"/>
      <c r="N509" s="55">
        <v>6.053240740740741E-3</v>
      </c>
      <c r="O509" s="57"/>
      <c r="P509" s="57"/>
      <c r="Q509" s="59">
        <f>IF(MIN(IF(ISBLANK(O509),N509,O509),IF(ISBLANK(N509),O509,N509))=0,"",MIN(IF(ISBLANK(O509),N509,O509),IF(ISBLANK(N509),O509,N509)))</f>
        <v>6.053240740740741E-3</v>
      </c>
      <c r="R509" s="57"/>
      <c r="S509" s="57"/>
      <c r="T509" s="59">
        <f>IF(MIN(IF(ISBLANK(R509),Q509,R509),IF(ISBLANK(Q509),R509,Q509))=0,"",MIN(IF(ISBLANK(R509),Q509,R509),IF(ISBLANK(Q509),R509,Q509)))</f>
        <v>6.053240740740741E-3</v>
      </c>
      <c r="U509" s="57"/>
      <c r="V509" s="57"/>
      <c r="W509" s="59">
        <f>IF(MIN(IF(ISBLANK(U509),T509,U509),IF(ISBLANK(T509),U509,T509))=0,"",MIN(IF(ISBLANK(U509),T509,U509),IF(ISBLANK(T509),U509,T509)))</f>
        <v>6.053240740740741E-3</v>
      </c>
      <c r="X509" s="57"/>
      <c r="Y509" s="57"/>
      <c r="Z509" s="59">
        <f>IF(MIN(IF(ISBLANK(X509),W509,X509),IF(ISBLANK(W509),X509,W509))=0,"",MIN(IF(ISBLANK(X509),W509,X509),IF(ISBLANK(W509),X509,W509)))</f>
        <v>6.053240740740741E-3</v>
      </c>
      <c r="AA509" s="57"/>
      <c r="AB509" s="57"/>
      <c r="AC509" s="59">
        <f t="shared" si="191"/>
        <v>6.053240740740741E-3</v>
      </c>
      <c r="AD509" s="57"/>
      <c r="AE509" s="57"/>
      <c r="AF509" s="59">
        <f t="shared" si="192"/>
        <v>6.053240740740741E-3</v>
      </c>
      <c r="AG509" s="57"/>
      <c r="AH509" s="57"/>
      <c r="AI509" s="59">
        <f t="shared" si="193"/>
        <v>6.053240740740741E-3</v>
      </c>
      <c r="AJ509" s="57"/>
      <c r="AK509" s="57"/>
      <c r="AL509" s="59">
        <f t="shared" si="194"/>
        <v>6.053240740740741E-3</v>
      </c>
      <c r="AM509" s="57"/>
      <c r="AN509" s="57"/>
      <c r="AO509" s="59">
        <f t="shared" si="190"/>
        <v>6.053240740740741E-3</v>
      </c>
      <c r="AP509" s="57"/>
      <c r="AQ509" s="59">
        <f t="shared" si="171"/>
        <v>6.053240740740741E-3</v>
      </c>
      <c r="AR509" s="57"/>
      <c r="AS509" s="57"/>
      <c r="AT509" s="59">
        <f t="shared" si="172"/>
        <v>6.053240740740741E-3</v>
      </c>
    </row>
    <row r="510" spans="1:46" hidden="1">
      <c r="A510" s="24"/>
      <c r="B510" s="26" t="s">
        <v>709</v>
      </c>
      <c r="C510" s="26"/>
      <c r="D510" s="50"/>
      <c r="E510" s="51"/>
      <c r="F510" s="50"/>
      <c r="G510" s="52"/>
      <c r="H510" s="50"/>
      <c r="I510" s="53"/>
      <c r="J510" s="50"/>
      <c r="K510" s="53"/>
      <c r="L510" s="50"/>
      <c r="M510" s="57"/>
      <c r="N510" s="55"/>
      <c r="O510" s="57"/>
      <c r="P510" s="57"/>
      <c r="Q510" s="59"/>
      <c r="R510" s="57"/>
      <c r="S510" s="57"/>
      <c r="T510" s="59"/>
      <c r="U510" s="57"/>
      <c r="V510" s="57"/>
      <c r="W510" s="59"/>
      <c r="X510" s="57"/>
      <c r="Y510" s="57"/>
      <c r="Z510" s="59"/>
      <c r="AA510" s="57">
        <v>7.083333333333333E-3</v>
      </c>
      <c r="AB510" s="57"/>
      <c r="AC510" s="59">
        <f t="shared" si="191"/>
        <v>7.083333333333333E-3</v>
      </c>
      <c r="AD510" s="57"/>
      <c r="AE510" s="57"/>
      <c r="AF510" s="59">
        <f t="shared" si="192"/>
        <v>7.083333333333333E-3</v>
      </c>
      <c r="AG510" s="57"/>
      <c r="AH510" s="57"/>
      <c r="AI510" s="59">
        <f t="shared" si="193"/>
        <v>7.083333333333333E-3</v>
      </c>
      <c r="AJ510" s="57"/>
      <c r="AK510" s="57"/>
      <c r="AL510" s="59">
        <f t="shared" si="194"/>
        <v>7.083333333333333E-3</v>
      </c>
      <c r="AM510" s="57"/>
      <c r="AN510" s="57"/>
      <c r="AO510" s="59">
        <f t="shared" si="190"/>
        <v>7.083333333333333E-3</v>
      </c>
      <c r="AP510" s="57"/>
      <c r="AQ510" s="59">
        <f t="shared" si="171"/>
        <v>7.083333333333333E-3</v>
      </c>
      <c r="AR510" s="57"/>
      <c r="AS510" s="57"/>
      <c r="AT510" s="59">
        <f t="shared" si="172"/>
        <v>7.083333333333333E-3</v>
      </c>
    </row>
    <row r="511" spans="1:46" hidden="1">
      <c r="A511" s="24"/>
      <c r="B511" s="26" t="s">
        <v>873</v>
      </c>
      <c r="C511" s="26"/>
      <c r="D511" s="50"/>
      <c r="E511" s="51"/>
      <c r="F511" s="50"/>
      <c r="G511" s="52"/>
      <c r="H511" s="50"/>
      <c r="I511" s="53"/>
      <c r="J511" s="50"/>
      <c r="K511" s="53"/>
      <c r="L511" s="50"/>
      <c r="M511" s="57"/>
      <c r="N511" s="55"/>
      <c r="O511" s="57"/>
      <c r="P511" s="57"/>
      <c r="Q511" s="59"/>
      <c r="R511" s="57"/>
      <c r="S511" s="57"/>
      <c r="T511" s="59"/>
      <c r="U511" s="57"/>
      <c r="V511" s="57"/>
      <c r="W511" s="59"/>
      <c r="X511" s="57"/>
      <c r="Y511" s="57"/>
      <c r="Z511" s="59"/>
      <c r="AA511" s="57"/>
      <c r="AB511" s="57"/>
      <c r="AC511" s="59"/>
      <c r="AD511" s="57"/>
      <c r="AE511" s="57"/>
      <c r="AF511" s="59"/>
      <c r="AG511" s="57"/>
      <c r="AH511" s="57"/>
      <c r="AI511" s="59"/>
      <c r="AJ511" s="57"/>
      <c r="AK511" s="57"/>
      <c r="AL511" s="59"/>
      <c r="AM511" s="57"/>
      <c r="AN511" s="57"/>
      <c r="AO511" s="59"/>
      <c r="AP511" s="57"/>
      <c r="AQ511" s="59" t="str">
        <f t="shared" si="171"/>
        <v/>
      </c>
      <c r="AR511" s="57"/>
      <c r="AS511" s="57"/>
      <c r="AT511" s="59" t="str">
        <f t="shared" si="172"/>
        <v/>
      </c>
    </row>
    <row r="512" spans="1:46" hidden="1">
      <c r="A512" s="24"/>
      <c r="B512" s="26" t="s">
        <v>256</v>
      </c>
      <c r="C512" s="26" t="s">
        <v>444</v>
      </c>
      <c r="D512" s="50">
        <v>7.03</v>
      </c>
      <c r="E512" s="51" t="s">
        <v>222</v>
      </c>
      <c r="F512" s="50">
        <v>7.03</v>
      </c>
      <c r="G512" s="52" t="s">
        <v>352</v>
      </c>
      <c r="H512" s="50">
        <v>7.03</v>
      </c>
      <c r="I512" s="53">
        <v>7</v>
      </c>
      <c r="J512" s="50" t="s">
        <v>452</v>
      </c>
      <c r="K512" s="53">
        <v>7.15</v>
      </c>
      <c r="L512" s="50" t="s">
        <v>452</v>
      </c>
      <c r="M512" s="57"/>
      <c r="N512" s="55">
        <v>4.8611111111111112E-3</v>
      </c>
      <c r="O512" s="57"/>
      <c r="P512" s="57"/>
      <c r="Q512" s="59">
        <f>IF(MIN(IF(ISBLANK(O512),N512,O512),IF(ISBLANK(N512),O512,N512))=0,"",MIN(IF(ISBLANK(O512),N512,O512),IF(ISBLANK(N512),O512,N512)))</f>
        <v>4.8611111111111112E-3</v>
      </c>
      <c r="R512" s="57"/>
      <c r="S512" s="57"/>
      <c r="T512" s="59">
        <f t="shared" ref="T512:T517" si="195">IF(MIN(IF(ISBLANK(R512),Q512,R512),IF(ISBLANK(Q512),R512,Q512))=0,"",MIN(IF(ISBLANK(R512),Q512,R512),IF(ISBLANK(Q512),R512,Q512)))</f>
        <v>4.8611111111111112E-3</v>
      </c>
      <c r="U512" s="57"/>
      <c r="V512" s="57"/>
      <c r="W512" s="59">
        <f t="shared" ref="W512:W517" si="196">IF(MIN(IF(ISBLANK(U512),T512,U512),IF(ISBLANK(T512),U512,T512))=0,"",MIN(IF(ISBLANK(U512),T512,U512),IF(ISBLANK(T512),U512,T512)))</f>
        <v>4.8611111111111112E-3</v>
      </c>
      <c r="X512" s="57"/>
      <c r="Y512" s="57"/>
      <c r="Z512" s="59">
        <f t="shared" ref="Z512:Z517" si="197">IF(MIN(IF(ISBLANK(X512),W512,X512),IF(ISBLANK(W512),X512,W512))=0,"",MIN(IF(ISBLANK(X512),W512,X512),IF(ISBLANK(W512),X512,W512)))</f>
        <v>4.8611111111111112E-3</v>
      </c>
      <c r="AA512" s="57"/>
      <c r="AB512" s="57"/>
      <c r="AC512" s="59">
        <f t="shared" ref="AC512:AC517" si="198">IF(MIN(IF(ISBLANK(Z512),AA512,Z512),IF(ISBLANK(AA512),Z512,AA512))=0,"",MIN(IF(ISBLANK(Z512),AA512,Z512),IF(ISBLANK(AA512),Z512,AA512)))</f>
        <v>4.8611111111111112E-3</v>
      </c>
      <c r="AD512" s="57"/>
      <c r="AE512" s="57"/>
      <c r="AF512" s="59">
        <f t="shared" ref="AF512:AF517" si="199">IF(MIN(IF(ISBLANK(AC512),AD512,AC512),IF(ISBLANK(AD512),AC512,AD512))=0,"",MIN(IF(ISBLANK(AC512),AD512,AC512),IF(ISBLANK(AD512),AC512,AD512)))</f>
        <v>4.8611111111111112E-3</v>
      </c>
      <c r="AG512" s="57"/>
      <c r="AH512" s="57"/>
      <c r="AI512" s="59">
        <f t="shared" ref="AI512:AI517" si="200">IF(MIN(IF(ISBLANK(AF512),AG512,AF512),IF(ISBLANK(AG512),AF512,AG512))=0,"",MIN(IF(ISBLANK(AF512),AG512,AF512),IF(ISBLANK(AG512),AF512,AG512)))</f>
        <v>4.8611111111111112E-3</v>
      </c>
      <c r="AJ512" s="57"/>
      <c r="AK512" s="57"/>
      <c r="AL512" s="59">
        <f t="shared" ref="AL512:AL517" si="201">IF(MIN(IF(ISBLANK(AI512),AJ512,AI512),IF(ISBLANK(AJ512),AI512,AJ512))=0,"",MIN(IF(ISBLANK(AI512),AJ512,AI512),IF(ISBLANK(AJ512),AI512,AJ512)))</f>
        <v>4.8611111111111112E-3</v>
      </c>
      <c r="AM512" s="57"/>
      <c r="AN512" s="57"/>
      <c r="AO512" s="59">
        <f t="shared" ref="AO512:AO517" si="202">IF(MIN(IF(ISBLANK(AL512),AM512,AL512),IF(ISBLANK(AM512),AL512,AM512))=0,"",MIN(IF(ISBLANK(AL512),AM512,AL512),IF(ISBLANK(AM512),AL512,AM512)))</f>
        <v>4.8611111111111112E-3</v>
      </c>
      <c r="AP512" s="57"/>
      <c r="AQ512" s="59">
        <f t="shared" si="171"/>
        <v>4.8611111111111112E-3</v>
      </c>
      <c r="AR512" s="57"/>
      <c r="AS512" s="57"/>
      <c r="AT512" s="59">
        <f t="shared" si="172"/>
        <v>4.8611111111111112E-3</v>
      </c>
    </row>
    <row r="513" spans="1:46" hidden="1">
      <c r="A513" s="24"/>
      <c r="B513" s="26" t="s">
        <v>88</v>
      </c>
      <c r="C513" s="26" t="s">
        <v>444</v>
      </c>
      <c r="D513" s="50">
        <v>9.06</v>
      </c>
      <c r="E513" s="51"/>
      <c r="F513" s="50">
        <v>9.06</v>
      </c>
      <c r="G513" s="52"/>
      <c r="H513" s="50">
        <v>9.06</v>
      </c>
      <c r="I513" s="53"/>
      <c r="J513" s="50">
        <v>9.06</v>
      </c>
      <c r="K513" s="53"/>
      <c r="L513" s="50">
        <v>9.06</v>
      </c>
      <c r="M513" s="57"/>
      <c r="N513" s="55">
        <v>6.3194444444444444E-3</v>
      </c>
      <c r="O513" s="57"/>
      <c r="P513" s="57"/>
      <c r="Q513" s="59">
        <f>IF(MIN(IF(ISBLANK(O513),N513,O513),IF(ISBLANK(N513),O513,N513))=0,"",MIN(IF(ISBLANK(O513),N513,O513),IF(ISBLANK(N513),O513,N513)))</f>
        <v>6.3194444444444444E-3</v>
      </c>
      <c r="R513" s="57"/>
      <c r="S513" s="57"/>
      <c r="T513" s="59">
        <f t="shared" si="195"/>
        <v>6.3194444444444444E-3</v>
      </c>
      <c r="U513" s="57"/>
      <c r="V513" s="57"/>
      <c r="W513" s="59">
        <f t="shared" si="196"/>
        <v>6.3194444444444444E-3</v>
      </c>
      <c r="X513" s="57"/>
      <c r="Y513" s="57"/>
      <c r="Z513" s="59">
        <f t="shared" si="197"/>
        <v>6.3194444444444444E-3</v>
      </c>
      <c r="AA513" s="57"/>
      <c r="AB513" s="57"/>
      <c r="AC513" s="59">
        <f t="shared" si="198"/>
        <v>6.3194444444444444E-3</v>
      </c>
      <c r="AD513" s="57"/>
      <c r="AE513" s="57"/>
      <c r="AF513" s="59">
        <f t="shared" si="199"/>
        <v>6.3194444444444444E-3</v>
      </c>
      <c r="AG513" s="57"/>
      <c r="AH513" s="57"/>
      <c r="AI513" s="59">
        <f t="shared" si="200"/>
        <v>6.3194444444444444E-3</v>
      </c>
      <c r="AJ513" s="57"/>
      <c r="AK513" s="57"/>
      <c r="AL513" s="59">
        <f t="shared" si="201"/>
        <v>6.3194444444444444E-3</v>
      </c>
      <c r="AM513" s="57"/>
      <c r="AN513" s="57"/>
      <c r="AO513" s="59">
        <f t="shared" si="202"/>
        <v>6.3194444444444444E-3</v>
      </c>
      <c r="AP513" s="57"/>
      <c r="AQ513" s="59">
        <f t="shared" si="171"/>
        <v>6.3194444444444444E-3</v>
      </c>
      <c r="AR513" s="57"/>
      <c r="AS513" s="57"/>
      <c r="AT513" s="59">
        <f t="shared" si="172"/>
        <v>6.3194444444444444E-3</v>
      </c>
    </row>
    <row r="514" spans="1:46" hidden="1">
      <c r="A514" s="24"/>
      <c r="B514" s="26" t="s">
        <v>590</v>
      </c>
      <c r="C514" s="26"/>
      <c r="D514" s="50"/>
      <c r="E514" s="51"/>
      <c r="F514" s="50"/>
      <c r="G514" s="52"/>
      <c r="H514" s="50"/>
      <c r="I514" s="53"/>
      <c r="J514" s="50"/>
      <c r="K514" s="53"/>
      <c r="L514" s="50"/>
      <c r="M514" s="57"/>
      <c r="N514" s="55"/>
      <c r="O514" s="57"/>
      <c r="P514" s="57"/>
      <c r="Q514" s="59"/>
      <c r="R514" s="57"/>
      <c r="S514" s="57"/>
      <c r="T514" s="59" t="str">
        <f t="shared" si="195"/>
        <v/>
      </c>
      <c r="U514" s="57"/>
      <c r="V514" s="57"/>
      <c r="W514" s="59" t="str">
        <f t="shared" si="196"/>
        <v/>
      </c>
      <c r="X514" s="57"/>
      <c r="Y514" s="57"/>
      <c r="Z514" s="59" t="str">
        <f t="shared" si="197"/>
        <v/>
      </c>
      <c r="AA514" s="57"/>
      <c r="AB514" s="57"/>
      <c r="AC514" s="59" t="str">
        <f t="shared" si="198"/>
        <v/>
      </c>
      <c r="AD514" s="57"/>
      <c r="AE514" s="57"/>
      <c r="AF514" s="59" t="str">
        <f t="shared" si="199"/>
        <v/>
      </c>
      <c r="AG514" s="57"/>
      <c r="AH514" s="57"/>
      <c r="AI514" s="59" t="str">
        <f t="shared" si="200"/>
        <v/>
      </c>
      <c r="AJ514" s="57"/>
      <c r="AK514" s="57"/>
      <c r="AL514" s="59" t="str">
        <f t="shared" si="201"/>
        <v/>
      </c>
      <c r="AM514" s="57"/>
      <c r="AN514" s="57"/>
      <c r="AO514" s="59" t="str">
        <f t="shared" si="202"/>
        <v/>
      </c>
      <c r="AP514" s="57"/>
      <c r="AQ514" s="59" t="str">
        <f t="shared" si="171"/>
        <v/>
      </c>
      <c r="AR514" s="57"/>
      <c r="AS514" s="57"/>
      <c r="AT514" s="59" t="str">
        <f t="shared" si="172"/>
        <v/>
      </c>
    </row>
    <row r="515" spans="1:46" hidden="1">
      <c r="A515" s="24"/>
      <c r="B515" s="26" t="s">
        <v>409</v>
      </c>
      <c r="C515" s="26" t="s">
        <v>444</v>
      </c>
      <c r="D515" s="50"/>
      <c r="E515" s="51"/>
      <c r="F515" s="50"/>
      <c r="G515" s="52"/>
      <c r="H515" s="50"/>
      <c r="I515" s="53">
        <v>8.56</v>
      </c>
      <c r="J515" s="50">
        <v>8.56</v>
      </c>
      <c r="K515" s="53">
        <v>8.17</v>
      </c>
      <c r="L515" s="50">
        <v>8.17</v>
      </c>
      <c r="M515" s="57"/>
      <c r="N515" s="55">
        <v>5.7523148148148143E-3</v>
      </c>
      <c r="O515" s="57"/>
      <c r="P515" s="57"/>
      <c r="Q515" s="59">
        <f>IF(MIN(IF(ISBLANK(O515),N515,O515),IF(ISBLANK(N515),O515,N515))=0,"",MIN(IF(ISBLANK(O515),N515,O515),IF(ISBLANK(N515),O515,N515)))</f>
        <v>5.7523148148148143E-3</v>
      </c>
      <c r="R515" s="57"/>
      <c r="S515" s="57"/>
      <c r="T515" s="59">
        <f t="shared" si="195"/>
        <v>5.7523148148148143E-3</v>
      </c>
      <c r="U515" s="57"/>
      <c r="V515" s="57"/>
      <c r="W515" s="59">
        <f t="shared" si="196"/>
        <v>5.7523148148148143E-3</v>
      </c>
      <c r="X515" s="57"/>
      <c r="Y515" s="57"/>
      <c r="Z515" s="59">
        <f t="shared" si="197"/>
        <v>5.7523148148148143E-3</v>
      </c>
      <c r="AA515" s="57"/>
      <c r="AB515" s="57"/>
      <c r="AC515" s="59">
        <f t="shared" si="198"/>
        <v>5.7523148148148143E-3</v>
      </c>
      <c r="AD515" s="57"/>
      <c r="AE515" s="57"/>
      <c r="AF515" s="59">
        <f t="shared" si="199"/>
        <v>5.7523148148148143E-3</v>
      </c>
      <c r="AG515" s="57"/>
      <c r="AH515" s="57"/>
      <c r="AI515" s="59">
        <f t="shared" si="200"/>
        <v>5.7523148148148143E-3</v>
      </c>
      <c r="AJ515" s="57"/>
      <c r="AK515" s="57"/>
      <c r="AL515" s="59">
        <f t="shared" si="201"/>
        <v>5.7523148148148143E-3</v>
      </c>
      <c r="AM515" s="57"/>
      <c r="AN515" s="57"/>
      <c r="AO515" s="59">
        <f t="shared" si="202"/>
        <v>5.7523148148148143E-3</v>
      </c>
      <c r="AP515" s="57"/>
      <c r="AQ515" s="59">
        <f t="shared" si="171"/>
        <v>5.7523148148148143E-3</v>
      </c>
      <c r="AR515" s="57"/>
      <c r="AS515" s="57"/>
      <c r="AT515" s="59">
        <f t="shared" si="172"/>
        <v>5.7523148148148143E-3</v>
      </c>
    </row>
    <row r="516" spans="1:46" hidden="1">
      <c r="A516" s="24"/>
      <c r="B516" s="26" t="s">
        <v>408</v>
      </c>
      <c r="C516" s="26" t="s">
        <v>444</v>
      </c>
      <c r="D516" s="50"/>
      <c r="E516" s="51"/>
      <c r="F516" s="50"/>
      <c r="G516" s="52"/>
      <c r="H516" s="50"/>
      <c r="I516" s="53">
        <v>9.34</v>
      </c>
      <c r="J516" s="50">
        <v>9.34</v>
      </c>
      <c r="K516" s="53"/>
      <c r="L516" s="50">
        <v>9.34</v>
      </c>
      <c r="M516" s="57"/>
      <c r="N516" s="55">
        <v>6.6435185185185182E-3</v>
      </c>
      <c r="O516" s="57"/>
      <c r="P516" s="57"/>
      <c r="Q516" s="59">
        <f>IF(MIN(IF(ISBLANK(O516),N516,O516),IF(ISBLANK(N516),O516,N516))=0,"",MIN(IF(ISBLANK(O516),N516,O516),IF(ISBLANK(N516),O516,N516)))</f>
        <v>6.6435185185185182E-3</v>
      </c>
      <c r="R516" s="57"/>
      <c r="S516" s="57"/>
      <c r="T516" s="59">
        <f t="shared" si="195"/>
        <v>6.6435185185185182E-3</v>
      </c>
      <c r="U516" s="57"/>
      <c r="V516" s="57"/>
      <c r="W516" s="59">
        <f t="shared" si="196"/>
        <v>6.6435185185185182E-3</v>
      </c>
      <c r="X516" s="57"/>
      <c r="Y516" s="57"/>
      <c r="Z516" s="59">
        <f t="shared" si="197"/>
        <v>6.6435185185185182E-3</v>
      </c>
      <c r="AA516" s="57"/>
      <c r="AB516" s="57"/>
      <c r="AC516" s="59">
        <f t="shared" si="198"/>
        <v>6.6435185185185182E-3</v>
      </c>
      <c r="AD516" s="57"/>
      <c r="AE516" s="57"/>
      <c r="AF516" s="59">
        <f t="shared" si="199"/>
        <v>6.6435185185185182E-3</v>
      </c>
      <c r="AG516" s="57"/>
      <c r="AH516" s="57"/>
      <c r="AI516" s="59">
        <f t="shared" si="200"/>
        <v>6.6435185185185182E-3</v>
      </c>
      <c r="AJ516" s="57"/>
      <c r="AK516" s="57"/>
      <c r="AL516" s="59">
        <f t="shared" si="201"/>
        <v>6.6435185185185182E-3</v>
      </c>
      <c r="AM516" s="57"/>
      <c r="AN516" s="57"/>
      <c r="AO516" s="59">
        <f t="shared" si="202"/>
        <v>6.6435185185185182E-3</v>
      </c>
      <c r="AP516" s="57"/>
      <c r="AQ516" s="59">
        <f t="shared" si="171"/>
        <v>6.6435185185185182E-3</v>
      </c>
      <c r="AR516" s="57"/>
      <c r="AS516" s="57"/>
      <c r="AT516" s="59">
        <f t="shared" si="172"/>
        <v>6.6435185185185182E-3</v>
      </c>
    </row>
    <row r="517" spans="1:46" hidden="1">
      <c r="A517" s="24"/>
      <c r="B517" s="26" t="s">
        <v>410</v>
      </c>
      <c r="C517" s="26" t="s">
        <v>443</v>
      </c>
      <c r="D517" s="50"/>
      <c r="E517" s="51"/>
      <c r="F517" s="50"/>
      <c r="G517" s="52"/>
      <c r="H517" s="50"/>
      <c r="I517" s="53">
        <v>12.41</v>
      </c>
      <c r="J517" s="50">
        <v>12.41</v>
      </c>
      <c r="K517" s="53"/>
      <c r="L517" s="50">
        <v>12.41</v>
      </c>
      <c r="M517" s="57"/>
      <c r="N517" s="55">
        <v>8.8078703703703704E-3</v>
      </c>
      <c r="O517" s="57"/>
      <c r="P517" s="57"/>
      <c r="Q517" s="59">
        <f>IF(MIN(IF(ISBLANK(O517),N517,O517),IF(ISBLANK(N517),O517,N517))=0,"",MIN(IF(ISBLANK(O517),N517,O517),IF(ISBLANK(N517),O517,N517)))</f>
        <v>8.8078703703703704E-3</v>
      </c>
      <c r="R517" s="57"/>
      <c r="S517" s="57"/>
      <c r="T517" s="59">
        <f t="shared" si="195"/>
        <v>8.8078703703703704E-3</v>
      </c>
      <c r="U517" s="57"/>
      <c r="V517" s="57"/>
      <c r="W517" s="59">
        <f t="shared" si="196"/>
        <v>8.8078703703703704E-3</v>
      </c>
      <c r="X517" s="57"/>
      <c r="Y517" s="57"/>
      <c r="Z517" s="59">
        <f t="shared" si="197"/>
        <v>8.8078703703703704E-3</v>
      </c>
      <c r="AA517" s="57"/>
      <c r="AB517" s="57"/>
      <c r="AC517" s="59">
        <f t="shared" si="198"/>
        <v>8.8078703703703704E-3</v>
      </c>
      <c r="AD517" s="57"/>
      <c r="AE517" s="57"/>
      <c r="AF517" s="59">
        <f t="shared" si="199"/>
        <v>8.8078703703703704E-3</v>
      </c>
      <c r="AG517" s="57"/>
      <c r="AH517" s="57"/>
      <c r="AI517" s="59">
        <f t="shared" si="200"/>
        <v>8.8078703703703704E-3</v>
      </c>
      <c r="AJ517" s="57"/>
      <c r="AK517" s="57"/>
      <c r="AL517" s="59">
        <f t="shared" si="201"/>
        <v>8.8078703703703704E-3</v>
      </c>
      <c r="AM517" s="57"/>
      <c r="AN517" s="57"/>
      <c r="AO517" s="59">
        <f t="shared" si="202"/>
        <v>8.8078703703703704E-3</v>
      </c>
      <c r="AP517" s="57"/>
      <c r="AQ517" s="59">
        <f t="shared" si="171"/>
        <v>8.8078703703703704E-3</v>
      </c>
      <c r="AR517" s="57"/>
      <c r="AS517" s="57"/>
      <c r="AT517" s="59">
        <f t="shared" si="172"/>
        <v>8.8078703703703704E-3</v>
      </c>
    </row>
    <row r="518" spans="1:46" hidden="1">
      <c r="A518" s="24"/>
      <c r="B518" s="26" t="s">
        <v>876</v>
      </c>
      <c r="C518" s="26"/>
      <c r="D518" s="50"/>
      <c r="E518" s="51"/>
      <c r="F518" s="50"/>
      <c r="G518" s="52"/>
      <c r="H518" s="50"/>
      <c r="I518" s="53"/>
      <c r="J518" s="50"/>
      <c r="K518" s="53"/>
      <c r="L518" s="50"/>
      <c r="M518" s="57"/>
      <c r="N518" s="55"/>
      <c r="O518" s="57"/>
      <c r="P518" s="57"/>
      <c r="Q518" s="59"/>
      <c r="R518" s="57"/>
      <c r="S518" s="57"/>
      <c r="T518" s="59"/>
      <c r="U518" s="57"/>
      <c r="V518" s="57"/>
      <c r="W518" s="59"/>
      <c r="X518" s="57"/>
      <c r="Y518" s="57"/>
      <c r="Z518" s="59"/>
      <c r="AA518" s="57"/>
      <c r="AB518" s="57"/>
      <c r="AC518" s="59"/>
      <c r="AD518" s="57"/>
      <c r="AE518" s="57"/>
      <c r="AF518" s="59"/>
      <c r="AG518" s="57"/>
      <c r="AH518" s="57"/>
      <c r="AI518" s="59"/>
      <c r="AJ518" s="57"/>
      <c r="AK518" s="57"/>
      <c r="AL518" s="59"/>
      <c r="AM518" s="57"/>
      <c r="AN518" s="57"/>
      <c r="AO518" s="59"/>
      <c r="AP518" s="57"/>
      <c r="AQ518" s="59" t="str">
        <f t="shared" si="171"/>
        <v/>
      </c>
      <c r="AR518" s="57"/>
      <c r="AS518" s="57"/>
      <c r="AT518" s="59" t="str">
        <f t="shared" si="172"/>
        <v/>
      </c>
    </row>
    <row r="519" spans="1:46" hidden="1">
      <c r="A519" s="24"/>
      <c r="B519" s="26" t="s">
        <v>277</v>
      </c>
      <c r="C519" s="26" t="s">
        <v>443</v>
      </c>
      <c r="D519" s="50"/>
      <c r="E519" s="51" t="s">
        <v>305</v>
      </c>
      <c r="F519" s="50">
        <v>7.44</v>
      </c>
      <c r="G519" s="52" t="s">
        <v>347</v>
      </c>
      <c r="H519" s="50">
        <v>7.44</v>
      </c>
      <c r="I519" s="53"/>
      <c r="J519" s="50">
        <v>7.44</v>
      </c>
      <c r="K519" s="53"/>
      <c r="L519" s="50">
        <v>7.44</v>
      </c>
      <c r="M519" s="57"/>
      <c r="N519" s="55">
        <v>5.37037037037037E-3</v>
      </c>
      <c r="O519" s="57"/>
      <c r="P519" s="57"/>
      <c r="Q519" s="59">
        <f>IF(MIN(IF(ISBLANK(O519),N519,O519),IF(ISBLANK(N519),O519,N519))=0,"",MIN(IF(ISBLANK(O519),N519,O519),IF(ISBLANK(N519),O519,N519)))</f>
        <v>5.37037037037037E-3</v>
      </c>
      <c r="R519" s="57"/>
      <c r="S519" s="57"/>
      <c r="T519" s="59">
        <f>IF(MIN(IF(ISBLANK(R519),Q519,R519),IF(ISBLANK(Q519),R519,Q519))=0,"",MIN(IF(ISBLANK(R519),Q519,R519),IF(ISBLANK(Q519),R519,Q519)))</f>
        <v>5.37037037037037E-3</v>
      </c>
      <c r="U519" s="57"/>
      <c r="V519" s="57"/>
      <c r="W519" s="59">
        <f>IF(MIN(IF(ISBLANK(U519),T519,U519),IF(ISBLANK(T519),U519,T519))=0,"",MIN(IF(ISBLANK(U519),T519,U519),IF(ISBLANK(T519),U519,T519)))</f>
        <v>5.37037037037037E-3</v>
      </c>
      <c r="X519" s="57"/>
      <c r="Y519" s="57"/>
      <c r="Z519" s="59">
        <f>IF(MIN(IF(ISBLANK(X519),W519,X519),IF(ISBLANK(W519),X519,W519))=0,"",MIN(IF(ISBLANK(X519),W519,X519),IF(ISBLANK(W519),X519,W519)))</f>
        <v>5.37037037037037E-3</v>
      </c>
      <c r="AA519" s="57"/>
      <c r="AB519" s="57"/>
      <c r="AC519" s="59">
        <f>IF(MIN(IF(ISBLANK(Z519),AA519,Z519),IF(ISBLANK(AA519),Z519,AA519))=0,"",MIN(IF(ISBLANK(Z519),AA519,Z519),IF(ISBLANK(AA519),Z519,AA519)))</f>
        <v>5.37037037037037E-3</v>
      </c>
      <c r="AD519" s="57"/>
      <c r="AE519" s="57"/>
      <c r="AF519" s="59">
        <f>IF(MIN(IF(ISBLANK(AC519),AD519,AC519),IF(ISBLANK(AD519),AC519,AD519))=0,"",MIN(IF(ISBLANK(AC519),AD519,AC519),IF(ISBLANK(AD519),AC519,AD519)))</f>
        <v>5.37037037037037E-3</v>
      </c>
      <c r="AG519" s="57"/>
      <c r="AH519" s="57"/>
      <c r="AI519" s="59">
        <f>IF(MIN(IF(ISBLANK(AF519),AG519,AF519),IF(ISBLANK(AG519),AF519,AG519))=0,"",MIN(IF(ISBLANK(AF519),AG519,AF519),IF(ISBLANK(AG519),AF519,AG519)))</f>
        <v>5.37037037037037E-3</v>
      </c>
      <c r="AJ519" s="57"/>
      <c r="AK519" s="57"/>
      <c r="AL519" s="59">
        <f>IF(MIN(IF(ISBLANK(AI519),AJ519,AI519),IF(ISBLANK(AJ519),AI519,AJ519))=0,"",MIN(IF(ISBLANK(AI519),AJ519,AI519),IF(ISBLANK(AJ519),AI519,AJ519)))</f>
        <v>5.37037037037037E-3</v>
      </c>
      <c r="AM519" s="57"/>
      <c r="AN519" s="57"/>
      <c r="AO519" s="59">
        <f>IF(MIN(IF(ISBLANK(AL519),AM519,AL519),IF(ISBLANK(AM519),AL519,AM519))=0,"",MIN(IF(ISBLANK(AL519),AM519,AL519),IF(ISBLANK(AM519),AL519,AM519)))</f>
        <v>5.37037037037037E-3</v>
      </c>
      <c r="AP519" s="57"/>
      <c r="AQ519" s="59">
        <f t="shared" si="171"/>
        <v>5.37037037037037E-3</v>
      </c>
      <c r="AR519" s="57"/>
      <c r="AS519" s="57"/>
      <c r="AT519" s="59">
        <f t="shared" si="172"/>
        <v>5.37037037037037E-3</v>
      </c>
    </row>
    <row r="520" spans="1:46" hidden="1">
      <c r="A520" s="24"/>
      <c r="B520" s="26" t="s">
        <v>93</v>
      </c>
      <c r="C520" s="26" t="s">
        <v>443</v>
      </c>
      <c r="D520" s="50">
        <v>6.57</v>
      </c>
      <c r="E520" s="51"/>
      <c r="F520" s="50">
        <v>6.57</v>
      </c>
      <c r="G520" s="52"/>
      <c r="H520" s="50">
        <v>6.57</v>
      </c>
      <c r="I520" s="53"/>
      <c r="J520" s="50">
        <v>6.57</v>
      </c>
      <c r="K520" s="53"/>
      <c r="L520" s="50">
        <v>6.57</v>
      </c>
      <c r="M520" s="57"/>
      <c r="N520" s="55">
        <v>4.8263888888888887E-3</v>
      </c>
      <c r="O520" s="57"/>
      <c r="P520" s="57"/>
      <c r="Q520" s="59">
        <f>IF(MIN(IF(ISBLANK(O520),N520,O520),IF(ISBLANK(N520),O520,N520))=0,"",MIN(IF(ISBLANK(O520),N520,O520),IF(ISBLANK(N520),O520,N520)))</f>
        <v>4.8263888888888887E-3</v>
      </c>
      <c r="R520" s="57"/>
      <c r="S520" s="57"/>
      <c r="T520" s="59">
        <f>IF(MIN(IF(ISBLANK(R520),Q520,R520),IF(ISBLANK(Q520),R520,Q520))=0,"",MIN(IF(ISBLANK(R520),Q520,R520),IF(ISBLANK(Q520),R520,Q520)))</f>
        <v>4.8263888888888887E-3</v>
      </c>
      <c r="U520" s="57"/>
      <c r="V520" s="57"/>
      <c r="W520" s="59">
        <f>IF(MIN(IF(ISBLANK(U520),T520,U520),IF(ISBLANK(T520),U520,T520))=0,"",MIN(IF(ISBLANK(U520),T520,U520),IF(ISBLANK(T520),U520,T520)))</f>
        <v>4.8263888888888887E-3</v>
      </c>
      <c r="X520" s="57"/>
      <c r="Y520" s="57"/>
      <c r="Z520" s="59">
        <f>IF(MIN(IF(ISBLANK(X520),W520,X520),IF(ISBLANK(W520),X520,W520))=0,"",MIN(IF(ISBLANK(X520),W520,X520),IF(ISBLANK(W520),X520,W520)))</f>
        <v>4.8263888888888887E-3</v>
      </c>
      <c r="AA520" s="57"/>
      <c r="AB520" s="57"/>
      <c r="AC520" s="59">
        <f>IF(MIN(IF(ISBLANK(Z520),AA520,Z520),IF(ISBLANK(AA520),Z520,AA520))=0,"",MIN(IF(ISBLANK(Z520),AA520,Z520),IF(ISBLANK(AA520),Z520,AA520)))</f>
        <v>4.8263888888888887E-3</v>
      </c>
      <c r="AD520" s="57"/>
      <c r="AE520" s="57"/>
      <c r="AF520" s="59">
        <f>IF(MIN(IF(ISBLANK(AC520),AD520,AC520),IF(ISBLANK(AD520),AC520,AD520))=0,"",MIN(IF(ISBLANK(AC520),AD520,AC520),IF(ISBLANK(AD520),AC520,AD520)))</f>
        <v>4.8263888888888887E-3</v>
      </c>
      <c r="AG520" s="57"/>
      <c r="AH520" s="57"/>
      <c r="AI520" s="59">
        <f>IF(MIN(IF(ISBLANK(AF520),AG520,AF520),IF(ISBLANK(AG520),AF520,AG520))=0,"",MIN(IF(ISBLANK(AF520),AG520,AF520),IF(ISBLANK(AG520),AF520,AG520)))</f>
        <v>4.8263888888888887E-3</v>
      </c>
      <c r="AJ520" s="57"/>
      <c r="AK520" s="57"/>
      <c r="AL520" s="59">
        <f>IF(MIN(IF(ISBLANK(AI520),AJ520,AI520),IF(ISBLANK(AJ520),AI520,AJ520))=0,"",MIN(IF(ISBLANK(AI520),AJ520,AI520),IF(ISBLANK(AJ520),AI520,AJ520)))</f>
        <v>4.8263888888888887E-3</v>
      </c>
      <c r="AM520" s="57"/>
      <c r="AN520" s="57"/>
      <c r="AO520" s="59">
        <f>IF(MIN(IF(ISBLANK(AL520),AM520,AL520),IF(ISBLANK(AM520),AL520,AM520))=0,"",MIN(IF(ISBLANK(AL520),AM520,AL520),IF(ISBLANK(AM520),AL520,AM520)))</f>
        <v>4.8263888888888887E-3</v>
      </c>
      <c r="AP520" s="57"/>
      <c r="AQ520" s="59">
        <f t="shared" si="171"/>
        <v>4.8263888888888887E-3</v>
      </c>
      <c r="AR520" s="57"/>
      <c r="AS520" s="57"/>
      <c r="AT520" s="59">
        <f t="shared" si="172"/>
        <v>4.8263888888888887E-3</v>
      </c>
    </row>
    <row r="521" spans="1:46">
      <c r="A521" s="24" t="s">
        <v>792</v>
      </c>
      <c r="B521" s="26" t="s">
        <v>880</v>
      </c>
      <c r="C521" s="26" t="s">
        <v>443</v>
      </c>
      <c r="D521" s="50"/>
      <c r="E521" s="51"/>
      <c r="F521" s="50"/>
      <c r="G521" s="52"/>
      <c r="H521" s="50"/>
      <c r="I521" s="53"/>
      <c r="J521" s="50"/>
      <c r="K521" s="53"/>
      <c r="L521" s="50"/>
      <c r="M521" s="57"/>
      <c r="N521" s="55"/>
      <c r="O521" s="57"/>
      <c r="P521" s="57"/>
      <c r="Q521" s="59"/>
      <c r="R521" s="57"/>
      <c r="S521" s="57"/>
      <c r="T521" s="59"/>
      <c r="U521" s="57"/>
      <c r="V521" s="57"/>
      <c r="W521" s="59"/>
      <c r="X521" s="57"/>
      <c r="Y521" s="57"/>
      <c r="Z521" s="59"/>
      <c r="AA521" s="57"/>
      <c r="AB521" s="57"/>
      <c r="AC521" s="59"/>
      <c r="AD521" s="57"/>
      <c r="AE521" s="57"/>
      <c r="AF521" s="59"/>
      <c r="AG521" s="57"/>
      <c r="AH521" s="57"/>
      <c r="AI521" s="59"/>
      <c r="AJ521" s="57"/>
      <c r="AK521" s="57"/>
      <c r="AL521" s="59"/>
      <c r="AM521" s="57"/>
      <c r="AN521" s="57"/>
      <c r="AO521" s="59"/>
      <c r="AP521" s="57"/>
      <c r="AQ521" s="59" t="str">
        <f t="shared" si="171"/>
        <v/>
      </c>
      <c r="AR521" s="57"/>
      <c r="AS521" s="57"/>
      <c r="AT521" s="59" t="str">
        <f t="shared" si="172"/>
        <v/>
      </c>
    </row>
    <row r="522" spans="1:46" hidden="1">
      <c r="A522" s="24"/>
      <c r="B522" s="26" t="s">
        <v>99</v>
      </c>
      <c r="C522" s="26"/>
      <c r="D522" s="50"/>
      <c r="E522" s="51"/>
      <c r="F522" s="50" t="s">
        <v>448</v>
      </c>
      <c r="G522" s="52"/>
      <c r="H522" s="50"/>
      <c r="I522" s="53"/>
      <c r="J522" s="50" t="s">
        <v>448</v>
      </c>
      <c r="K522" s="53"/>
      <c r="L522" s="50"/>
      <c r="M522" s="57"/>
      <c r="N522" s="55"/>
      <c r="O522" s="57"/>
      <c r="P522" s="57"/>
      <c r="Q522" s="59" t="str">
        <f>IF(MIN(IF(ISBLANK(O522),N522,O522),IF(ISBLANK(N522),O522,N522))=0,"",MIN(IF(ISBLANK(O522),N522,O522),IF(ISBLANK(N522),O522,N522)))</f>
        <v/>
      </c>
      <c r="R522" s="57"/>
      <c r="S522" s="57"/>
      <c r="T522" s="59" t="str">
        <f>IF(MIN(IF(ISBLANK(R522),Q522,R522),IF(ISBLANK(Q522),R522,Q522))=0,"",MIN(IF(ISBLANK(R522),Q522,R522),IF(ISBLANK(Q522),R522,Q522)))</f>
        <v/>
      </c>
      <c r="U522" s="57"/>
      <c r="V522" s="57"/>
      <c r="W522" s="59" t="str">
        <f>IF(MIN(IF(ISBLANK(U522),T522,U522),IF(ISBLANK(T522),U522,T522))=0,"",MIN(IF(ISBLANK(U522),T522,U522),IF(ISBLANK(T522),U522,T522)))</f>
        <v/>
      </c>
      <c r="X522" s="57"/>
      <c r="Y522" s="57"/>
      <c r="Z522" s="59" t="str">
        <f>IF(MIN(IF(ISBLANK(X522),W522,X522),IF(ISBLANK(W522),X522,W522))=0,"",MIN(IF(ISBLANK(X522),W522,X522),IF(ISBLANK(W522),X522,W522)))</f>
        <v/>
      </c>
      <c r="AA522" s="57"/>
      <c r="AB522" s="57"/>
      <c r="AC522" s="59" t="str">
        <f>IF(MIN(IF(ISBLANK(Z522),AA522,Z522),IF(ISBLANK(AA522),Z522,AA522))=0,"",MIN(IF(ISBLANK(Z522),AA522,Z522),IF(ISBLANK(AA522),Z522,AA522)))</f>
        <v/>
      </c>
      <c r="AD522" s="57"/>
      <c r="AE522" s="57"/>
      <c r="AF522" s="59" t="str">
        <f>IF(MIN(IF(ISBLANK(AC522),AD522,AC522),IF(ISBLANK(AD522),AC522,AD522))=0,"",MIN(IF(ISBLANK(AC522),AD522,AC522),IF(ISBLANK(AD522),AC522,AD522)))</f>
        <v/>
      </c>
      <c r="AG522" s="57"/>
      <c r="AH522" s="57"/>
      <c r="AI522" s="59" t="str">
        <f>IF(MIN(IF(ISBLANK(AF522),AG522,AF522),IF(ISBLANK(AG522),AF522,AG522))=0,"",MIN(IF(ISBLANK(AF522),AG522,AF522),IF(ISBLANK(AG522),AF522,AG522)))</f>
        <v/>
      </c>
      <c r="AJ522" s="57"/>
      <c r="AK522" s="57"/>
      <c r="AL522" s="59" t="str">
        <f>IF(MIN(IF(ISBLANK(AI522),AJ522,AI522),IF(ISBLANK(AJ522),AI522,AJ522))=0,"",MIN(IF(ISBLANK(AI522),AJ522,AI522),IF(ISBLANK(AJ522),AI522,AJ522)))</f>
        <v/>
      </c>
      <c r="AM522" s="57"/>
      <c r="AN522" s="57"/>
      <c r="AO522" s="59" t="str">
        <f>IF(MIN(IF(ISBLANK(AL522),AM522,AL522),IF(ISBLANK(AM522),AL522,AM522))=0,"",MIN(IF(ISBLANK(AL522),AM522,AL522),IF(ISBLANK(AM522),AL522,AM522)))</f>
        <v/>
      </c>
      <c r="AP522" s="57"/>
      <c r="AQ522" s="59" t="str">
        <f t="shared" si="171"/>
        <v/>
      </c>
      <c r="AR522" s="57"/>
      <c r="AS522" s="57"/>
      <c r="AT522" s="59" t="str">
        <f t="shared" si="172"/>
        <v/>
      </c>
    </row>
    <row r="523" spans="1:46" hidden="1">
      <c r="A523" s="24"/>
      <c r="B523" s="26" t="s">
        <v>459</v>
      </c>
      <c r="C523" s="26"/>
      <c r="D523" s="50"/>
      <c r="E523" s="51"/>
      <c r="F523" s="50"/>
      <c r="G523" s="52"/>
      <c r="H523" s="50"/>
      <c r="I523" s="53"/>
      <c r="J523" s="50"/>
      <c r="K523" s="53"/>
      <c r="L523" s="50"/>
      <c r="M523" s="57"/>
      <c r="N523" s="55"/>
      <c r="O523" s="57"/>
      <c r="P523" s="57"/>
      <c r="Q523" s="59" t="str">
        <f>IF(MIN(IF(ISBLANK(O523),N523,O523),IF(ISBLANK(N523),O523,N523))=0,"",MIN(IF(ISBLANK(O523),N523,O523),IF(ISBLANK(N523),O523,N523)))</f>
        <v/>
      </c>
      <c r="R523" s="57"/>
      <c r="S523" s="57"/>
      <c r="T523" s="59" t="str">
        <f>IF(MIN(IF(ISBLANK(R523),Q523,R523),IF(ISBLANK(Q523),R523,Q523))=0,"",MIN(IF(ISBLANK(R523),Q523,R523),IF(ISBLANK(Q523),R523,Q523)))</f>
        <v/>
      </c>
      <c r="U523" s="57"/>
      <c r="V523" s="57"/>
      <c r="W523" s="59" t="str">
        <f>IF(MIN(IF(ISBLANK(U523),T523,U523),IF(ISBLANK(T523),U523,T523))=0,"",MIN(IF(ISBLANK(U523),T523,U523),IF(ISBLANK(T523),U523,T523)))</f>
        <v/>
      </c>
      <c r="X523" s="57"/>
      <c r="Y523" s="57"/>
      <c r="Z523" s="59" t="str">
        <f>IF(MIN(IF(ISBLANK(X523),W523,X523),IF(ISBLANK(W523),X523,W523))=0,"",MIN(IF(ISBLANK(X523),W523,X523),IF(ISBLANK(W523),X523,W523)))</f>
        <v/>
      </c>
      <c r="AA523" s="57"/>
      <c r="AB523" s="57"/>
      <c r="AC523" s="59" t="str">
        <f>IF(MIN(IF(ISBLANK(Z523),AA523,Z523),IF(ISBLANK(AA523),Z523,AA523))=0,"",MIN(IF(ISBLANK(Z523),AA523,Z523),IF(ISBLANK(AA523),Z523,AA523)))</f>
        <v/>
      </c>
      <c r="AD523" s="57"/>
      <c r="AE523" s="57"/>
      <c r="AF523" s="59" t="str">
        <f>IF(MIN(IF(ISBLANK(AC523),AD523,AC523),IF(ISBLANK(AD523),AC523,AD523))=0,"",MIN(IF(ISBLANK(AC523),AD523,AC523),IF(ISBLANK(AD523),AC523,AD523)))</f>
        <v/>
      </c>
      <c r="AG523" s="57"/>
      <c r="AH523" s="57"/>
      <c r="AI523" s="59" t="str">
        <f>IF(MIN(IF(ISBLANK(AF523),AG523,AF523),IF(ISBLANK(AG523),AF523,AG523))=0,"",MIN(IF(ISBLANK(AF523),AG523,AF523),IF(ISBLANK(AG523),AF523,AG523)))</f>
        <v/>
      </c>
      <c r="AJ523" s="57"/>
      <c r="AK523" s="57"/>
      <c r="AL523" s="59" t="str">
        <f>IF(MIN(IF(ISBLANK(AI523),AJ523,AI523),IF(ISBLANK(AJ523),AI523,AJ523))=0,"",MIN(IF(ISBLANK(AI523),AJ523,AI523),IF(ISBLANK(AJ523),AI523,AJ523)))</f>
        <v/>
      </c>
      <c r="AM523" s="57"/>
      <c r="AN523" s="57"/>
      <c r="AO523" s="59" t="str">
        <f>IF(MIN(IF(ISBLANK(AL523),AM523,AL523),IF(ISBLANK(AM523),AL523,AM523))=0,"",MIN(IF(ISBLANK(AL523),AM523,AL523),IF(ISBLANK(AM523),AL523,AM523)))</f>
        <v/>
      </c>
      <c r="AP523" s="57"/>
      <c r="AQ523" s="59" t="str">
        <f t="shared" ref="AQ523:AQ586" si="203">IF(MIN(IF(ISBLANK(AO523),AP523,AO523),IF(ISBLANK(AP523),AO523,AP523))=0,"",MIN(IF(ISBLANK(AO523),AP523,AO523),IF(ISBLANK(AP523),AO523,AP523)))</f>
        <v/>
      </c>
      <c r="AR523" s="57"/>
      <c r="AS523" s="57"/>
      <c r="AT523" s="59" t="str">
        <f t="shared" ref="AT523:AT586" si="204">IF(MIN(IF(ISBLANK(AQ523),AR523,AQ523),IF(ISBLANK(AR523),AQ523,AR523))=0,"",MIN(IF(ISBLANK(AQ523),AR523,AQ523),IF(ISBLANK(AR523),AQ523,AR523)))</f>
        <v/>
      </c>
    </row>
    <row r="524" spans="1:46" hidden="1">
      <c r="A524" s="24"/>
      <c r="B524" s="26" t="s">
        <v>106</v>
      </c>
      <c r="C524" s="26"/>
      <c r="D524" s="50"/>
      <c r="E524" s="51"/>
      <c r="F524" s="50" t="s">
        <v>448</v>
      </c>
      <c r="G524" s="52"/>
      <c r="H524" s="50"/>
      <c r="I524" s="53"/>
      <c r="J524" s="50" t="s">
        <v>448</v>
      </c>
      <c r="K524" s="53"/>
      <c r="L524" s="50"/>
      <c r="M524" s="57"/>
      <c r="N524" s="55"/>
      <c r="O524" s="57"/>
      <c r="P524" s="57"/>
      <c r="Q524" s="59" t="str">
        <f>IF(MIN(IF(ISBLANK(O524),N524,O524),IF(ISBLANK(N524),O524,N524))=0,"",MIN(IF(ISBLANK(O524),N524,O524),IF(ISBLANK(N524),O524,N524)))</f>
        <v/>
      </c>
      <c r="R524" s="57"/>
      <c r="S524" s="57"/>
      <c r="T524" s="59" t="str">
        <f>IF(MIN(IF(ISBLANK(R524),Q524,R524),IF(ISBLANK(Q524),R524,Q524))=0,"",MIN(IF(ISBLANK(R524),Q524,R524),IF(ISBLANK(Q524),R524,Q524)))</f>
        <v/>
      </c>
      <c r="U524" s="57"/>
      <c r="V524" s="57"/>
      <c r="W524" s="59" t="str">
        <f>IF(MIN(IF(ISBLANK(U524),T524,U524),IF(ISBLANK(T524),U524,T524))=0,"",MIN(IF(ISBLANK(U524),T524,U524),IF(ISBLANK(T524),U524,T524)))</f>
        <v/>
      </c>
      <c r="X524" s="57"/>
      <c r="Y524" s="57"/>
      <c r="Z524" s="59" t="str">
        <f>IF(MIN(IF(ISBLANK(X524),W524,X524),IF(ISBLANK(W524),X524,W524))=0,"",MIN(IF(ISBLANK(X524),W524,X524),IF(ISBLANK(W524),X524,W524)))</f>
        <v/>
      </c>
      <c r="AA524" s="57"/>
      <c r="AB524" s="57"/>
      <c r="AC524" s="59" t="str">
        <f>IF(MIN(IF(ISBLANK(Z524),AA524,Z524),IF(ISBLANK(AA524),Z524,AA524))=0,"",MIN(IF(ISBLANK(Z524),AA524,Z524),IF(ISBLANK(AA524),Z524,AA524)))</f>
        <v/>
      </c>
      <c r="AD524" s="57"/>
      <c r="AE524" s="57"/>
      <c r="AF524" s="59" t="str">
        <f>IF(MIN(IF(ISBLANK(AC524),AD524,AC524),IF(ISBLANK(AD524),AC524,AD524))=0,"",MIN(IF(ISBLANK(AC524),AD524,AC524),IF(ISBLANK(AD524),AC524,AD524)))</f>
        <v/>
      </c>
      <c r="AG524" s="57"/>
      <c r="AH524" s="57"/>
      <c r="AI524" s="59" t="str">
        <f>IF(MIN(IF(ISBLANK(AF524),AG524,AF524),IF(ISBLANK(AG524),AF524,AG524))=0,"",MIN(IF(ISBLANK(AF524),AG524,AF524),IF(ISBLANK(AG524),AF524,AG524)))</f>
        <v/>
      </c>
      <c r="AJ524" s="57"/>
      <c r="AK524" s="57"/>
      <c r="AL524" s="59" t="str">
        <f>IF(MIN(IF(ISBLANK(AI524),AJ524,AI524),IF(ISBLANK(AJ524),AI524,AJ524))=0,"",MIN(IF(ISBLANK(AI524),AJ524,AI524),IF(ISBLANK(AJ524),AI524,AJ524)))</f>
        <v/>
      </c>
      <c r="AM524" s="57"/>
      <c r="AN524" s="57"/>
      <c r="AO524" s="59" t="str">
        <f>IF(MIN(IF(ISBLANK(AL524),AM524,AL524),IF(ISBLANK(AM524),AL524,AM524))=0,"",MIN(IF(ISBLANK(AL524),AM524,AL524),IF(ISBLANK(AM524),AL524,AM524)))</f>
        <v/>
      </c>
      <c r="AP524" s="57"/>
      <c r="AQ524" s="59" t="str">
        <f t="shared" si="203"/>
        <v/>
      </c>
      <c r="AR524" s="57"/>
      <c r="AS524" s="57"/>
      <c r="AT524" s="59" t="str">
        <f t="shared" si="204"/>
        <v/>
      </c>
    </row>
    <row r="525" spans="1:46">
      <c r="A525" s="24" t="s">
        <v>792</v>
      </c>
      <c r="B525" s="26" t="s">
        <v>883</v>
      </c>
      <c r="C525" s="26" t="s">
        <v>443</v>
      </c>
      <c r="D525" s="50"/>
      <c r="E525" s="51"/>
      <c r="F525" s="50"/>
      <c r="G525" s="52"/>
      <c r="H525" s="50"/>
      <c r="I525" s="53"/>
      <c r="J525" s="50"/>
      <c r="K525" s="53"/>
      <c r="L525" s="50"/>
      <c r="M525" s="57"/>
      <c r="N525" s="55"/>
      <c r="O525" s="57"/>
      <c r="P525" s="57"/>
      <c r="Q525" s="59"/>
      <c r="R525" s="57"/>
      <c r="S525" s="57"/>
      <c r="T525" s="59"/>
      <c r="U525" s="57"/>
      <c r="V525" s="57"/>
      <c r="W525" s="59"/>
      <c r="X525" s="57"/>
      <c r="Y525" s="57"/>
      <c r="Z525" s="59"/>
      <c r="AA525" s="57"/>
      <c r="AB525" s="57"/>
      <c r="AC525" s="59"/>
      <c r="AD525" s="57"/>
      <c r="AE525" s="57"/>
      <c r="AF525" s="59"/>
      <c r="AG525" s="57"/>
      <c r="AH525" s="57"/>
      <c r="AI525" s="59"/>
      <c r="AJ525" s="57"/>
      <c r="AK525" s="57"/>
      <c r="AL525" s="59"/>
      <c r="AM525" s="57"/>
      <c r="AN525" s="57"/>
      <c r="AO525" s="59"/>
      <c r="AP525" s="57"/>
      <c r="AQ525" s="59" t="str">
        <f t="shared" si="203"/>
        <v/>
      </c>
      <c r="AR525" s="57"/>
      <c r="AS525" s="57"/>
      <c r="AT525" s="59" t="str">
        <f t="shared" si="204"/>
        <v/>
      </c>
    </row>
    <row r="526" spans="1:46" hidden="1">
      <c r="A526" s="24"/>
      <c r="B526" s="26" t="s">
        <v>475</v>
      </c>
      <c r="C526" s="26" t="s">
        <v>443</v>
      </c>
      <c r="D526" s="50"/>
      <c r="E526" s="51"/>
      <c r="F526" s="50"/>
      <c r="G526" s="52"/>
      <c r="H526" s="50"/>
      <c r="I526" s="53"/>
      <c r="J526" s="50"/>
      <c r="K526" s="53"/>
      <c r="L526" s="50"/>
      <c r="M526" s="57"/>
      <c r="N526" s="55"/>
      <c r="O526" s="57"/>
      <c r="P526" s="57"/>
      <c r="Q526" s="59" t="str">
        <f>IF(MIN(IF(ISBLANK(O526),N526,O526),IF(ISBLANK(N526),O526,N526))=0,"",MIN(IF(ISBLANK(O526),N526,O526),IF(ISBLANK(N526),O526,N526)))</f>
        <v/>
      </c>
      <c r="R526" s="57"/>
      <c r="S526" s="57"/>
      <c r="T526" s="59" t="str">
        <f t="shared" ref="T526:T543" si="205">IF(MIN(IF(ISBLANK(R526),Q526,R526),IF(ISBLANK(Q526),R526,Q526))=0,"",MIN(IF(ISBLANK(R526),Q526,R526),IF(ISBLANK(Q526),R526,Q526)))</f>
        <v/>
      </c>
      <c r="U526" s="57"/>
      <c r="V526" s="57"/>
      <c r="W526" s="59" t="str">
        <f t="shared" ref="W526:W543" si="206">IF(MIN(IF(ISBLANK(U526),T526,U526),IF(ISBLANK(T526),U526,T526))=0,"",MIN(IF(ISBLANK(U526),T526,U526),IF(ISBLANK(T526),U526,T526)))</f>
        <v/>
      </c>
      <c r="X526" s="57"/>
      <c r="Y526" s="57"/>
      <c r="Z526" s="59" t="str">
        <f t="shared" ref="Z526:Z543" si="207">IF(MIN(IF(ISBLANK(X526),W526,X526),IF(ISBLANK(W526),X526,W526))=0,"",MIN(IF(ISBLANK(X526),W526,X526),IF(ISBLANK(W526),X526,W526)))</f>
        <v/>
      </c>
      <c r="AA526" s="57"/>
      <c r="AB526" s="57"/>
      <c r="AC526" s="59" t="str">
        <f t="shared" ref="AC526:AC543" si="208">IF(MIN(IF(ISBLANK(Z526),AA526,Z526),IF(ISBLANK(AA526),Z526,AA526))=0,"",MIN(IF(ISBLANK(Z526),AA526,Z526),IF(ISBLANK(AA526),Z526,AA526)))</f>
        <v/>
      </c>
      <c r="AD526" s="57"/>
      <c r="AE526" s="57"/>
      <c r="AF526" s="59" t="str">
        <f t="shared" ref="AF526:AF543" si="209">IF(MIN(IF(ISBLANK(AC526),AD526,AC526),IF(ISBLANK(AD526),AC526,AD526))=0,"",MIN(IF(ISBLANK(AC526),AD526,AC526),IF(ISBLANK(AD526),AC526,AD526)))</f>
        <v/>
      </c>
      <c r="AG526" s="57"/>
      <c r="AH526" s="57"/>
      <c r="AI526" s="59" t="str">
        <f t="shared" ref="AI526:AI543" si="210">IF(MIN(IF(ISBLANK(AF526),AG526,AF526),IF(ISBLANK(AG526),AF526,AG526))=0,"",MIN(IF(ISBLANK(AF526),AG526,AF526),IF(ISBLANK(AG526),AF526,AG526)))</f>
        <v/>
      </c>
      <c r="AJ526" s="57"/>
      <c r="AK526" s="57"/>
      <c r="AL526" s="59" t="str">
        <f t="shared" ref="AL526:AL543" si="211">IF(MIN(IF(ISBLANK(AI526),AJ526,AI526),IF(ISBLANK(AJ526),AI526,AJ526))=0,"",MIN(IF(ISBLANK(AI526),AJ526,AI526),IF(ISBLANK(AJ526),AI526,AJ526)))</f>
        <v/>
      </c>
      <c r="AM526" s="57"/>
      <c r="AN526" s="57"/>
      <c r="AO526" s="59" t="str">
        <f t="shared" ref="AO526:AO543" si="212">IF(MIN(IF(ISBLANK(AL526),AM526,AL526),IF(ISBLANK(AM526),AL526,AM526))=0,"",MIN(IF(ISBLANK(AL526),AM526,AL526),IF(ISBLANK(AM526),AL526,AM526)))</f>
        <v/>
      </c>
      <c r="AP526" s="57"/>
      <c r="AQ526" s="59" t="str">
        <f t="shared" si="203"/>
        <v/>
      </c>
      <c r="AR526" s="57"/>
      <c r="AS526" s="57"/>
      <c r="AT526" s="59" t="str">
        <f t="shared" si="204"/>
        <v/>
      </c>
    </row>
    <row r="527" spans="1:46" hidden="1">
      <c r="A527" s="24"/>
      <c r="B527" s="26" t="s">
        <v>257</v>
      </c>
      <c r="C527" s="26" t="s">
        <v>443</v>
      </c>
      <c r="D527" s="50"/>
      <c r="E527" s="51"/>
      <c r="F527" s="50" t="s">
        <v>448</v>
      </c>
      <c r="G527" s="52"/>
      <c r="H527" s="50"/>
      <c r="I527" s="53"/>
      <c r="J527" s="50" t="s">
        <v>448</v>
      </c>
      <c r="K527" s="53"/>
      <c r="L527" s="50"/>
      <c r="M527" s="57"/>
      <c r="N527" s="55"/>
      <c r="O527" s="57"/>
      <c r="P527" s="57"/>
      <c r="Q527" s="59" t="str">
        <f>IF(MIN(IF(ISBLANK(O527),N527,O527),IF(ISBLANK(N527),O527,N527))=0,"",MIN(IF(ISBLANK(O527),N527,O527),IF(ISBLANK(N527),O527,N527)))</f>
        <v/>
      </c>
      <c r="R527" s="57"/>
      <c r="S527" s="57"/>
      <c r="T527" s="59" t="str">
        <f t="shared" si="205"/>
        <v/>
      </c>
      <c r="U527" s="57"/>
      <c r="V527" s="57"/>
      <c r="W527" s="59" t="str">
        <f t="shared" si="206"/>
        <v/>
      </c>
      <c r="X527" s="57"/>
      <c r="Y527" s="57"/>
      <c r="Z527" s="59" t="str">
        <f t="shared" si="207"/>
        <v/>
      </c>
      <c r="AA527" s="57"/>
      <c r="AB527" s="57"/>
      <c r="AC527" s="59" t="str">
        <f t="shared" si="208"/>
        <v/>
      </c>
      <c r="AD527" s="57"/>
      <c r="AE527" s="57"/>
      <c r="AF527" s="59" t="str">
        <f t="shared" si="209"/>
        <v/>
      </c>
      <c r="AG527" s="57"/>
      <c r="AH527" s="57"/>
      <c r="AI527" s="59" t="str">
        <f t="shared" si="210"/>
        <v/>
      </c>
      <c r="AJ527" s="57"/>
      <c r="AK527" s="57"/>
      <c r="AL527" s="59" t="str">
        <f t="shared" si="211"/>
        <v/>
      </c>
      <c r="AM527" s="57"/>
      <c r="AN527" s="57"/>
      <c r="AO527" s="59" t="str">
        <f t="shared" si="212"/>
        <v/>
      </c>
      <c r="AP527" s="57"/>
      <c r="AQ527" s="59" t="str">
        <f t="shared" si="203"/>
        <v/>
      </c>
      <c r="AR527" s="57"/>
      <c r="AS527" s="57"/>
      <c r="AT527" s="59" t="str">
        <f t="shared" si="204"/>
        <v/>
      </c>
    </row>
    <row r="528" spans="1:46" hidden="1">
      <c r="A528" s="24"/>
      <c r="B528" s="26" t="s">
        <v>606</v>
      </c>
      <c r="C528" s="26"/>
      <c r="D528" s="50"/>
      <c r="E528" s="51"/>
      <c r="F528" s="50"/>
      <c r="G528" s="52"/>
      <c r="H528" s="50"/>
      <c r="I528" s="53"/>
      <c r="J528" s="50"/>
      <c r="K528" s="53"/>
      <c r="L528" s="50"/>
      <c r="M528" s="57"/>
      <c r="N528" s="55"/>
      <c r="O528" s="57"/>
      <c r="P528" s="57"/>
      <c r="Q528" s="59"/>
      <c r="R528" s="57"/>
      <c r="S528" s="57"/>
      <c r="T528" s="59" t="str">
        <f t="shared" si="205"/>
        <v/>
      </c>
      <c r="U528" s="57">
        <v>5.2430555555555555E-3</v>
      </c>
      <c r="V528" s="57"/>
      <c r="W528" s="59">
        <f t="shared" si="206"/>
        <v>5.2430555555555555E-3</v>
      </c>
      <c r="X528" s="57"/>
      <c r="Y528" s="57"/>
      <c r="Z528" s="59">
        <f t="shared" si="207"/>
        <v>5.2430555555555555E-3</v>
      </c>
      <c r="AA528" s="57">
        <v>5.0810185185185186E-3</v>
      </c>
      <c r="AB528" s="57"/>
      <c r="AC528" s="59">
        <f t="shared" si="208"/>
        <v>5.0810185185185186E-3</v>
      </c>
      <c r="AD528" s="57"/>
      <c r="AE528" s="57"/>
      <c r="AF528" s="59">
        <f t="shared" si="209"/>
        <v>5.0810185185185186E-3</v>
      </c>
      <c r="AG528" s="57">
        <v>5.0578703703703706E-3</v>
      </c>
      <c r="AH528" s="57"/>
      <c r="AI528" s="59">
        <f t="shared" si="210"/>
        <v>5.0578703703703706E-3</v>
      </c>
      <c r="AJ528" s="57"/>
      <c r="AK528" s="57"/>
      <c r="AL528" s="59">
        <f t="shared" si="211"/>
        <v>5.0578703703703706E-3</v>
      </c>
      <c r="AM528" s="57"/>
      <c r="AN528" s="57"/>
      <c r="AO528" s="59">
        <f t="shared" si="212"/>
        <v>5.0578703703703706E-3</v>
      </c>
      <c r="AP528" s="57"/>
      <c r="AQ528" s="59">
        <f t="shared" si="203"/>
        <v>5.0578703703703706E-3</v>
      </c>
      <c r="AR528" s="57"/>
      <c r="AS528" s="57"/>
      <c r="AT528" s="59">
        <f t="shared" si="204"/>
        <v>5.0578703703703706E-3</v>
      </c>
    </row>
    <row r="529" spans="1:46">
      <c r="A529" s="24" t="s">
        <v>792</v>
      </c>
      <c r="B529" s="26" t="s">
        <v>112</v>
      </c>
      <c r="C529" s="26" t="s">
        <v>443</v>
      </c>
      <c r="D529" s="50" t="s">
        <v>282</v>
      </c>
      <c r="E529" s="51" t="s">
        <v>306</v>
      </c>
      <c r="F529" s="50" t="s">
        <v>282</v>
      </c>
      <c r="G529" s="52"/>
      <c r="H529" s="50" t="s">
        <v>282</v>
      </c>
      <c r="I529" s="53"/>
      <c r="J529" s="50" t="s">
        <v>282</v>
      </c>
      <c r="K529" s="53">
        <v>8.4600000000000009</v>
      </c>
      <c r="L529" s="50">
        <v>8.4600000000000009</v>
      </c>
      <c r="M529" s="57"/>
      <c r="N529" s="55">
        <v>6.0879629629629643E-3</v>
      </c>
      <c r="O529" s="57">
        <v>5.9722222222222225E-3</v>
      </c>
      <c r="P529" s="57"/>
      <c r="Q529" s="59">
        <f t="shared" ref="Q529:Q543" si="213">IF(MIN(IF(ISBLANK(O529),N529,O529),IF(ISBLANK(N529),O529,N529))=0,"",MIN(IF(ISBLANK(O529),N529,O529),IF(ISBLANK(N529),O529,N529)))</f>
        <v>5.9722222222222225E-3</v>
      </c>
      <c r="R529" s="57">
        <v>5.9722222222222225E-3</v>
      </c>
      <c r="S529" s="57"/>
      <c r="T529" s="59">
        <f t="shared" si="205"/>
        <v>5.9722222222222225E-3</v>
      </c>
      <c r="U529" s="57">
        <v>6.145833333333333E-3</v>
      </c>
      <c r="V529" s="57"/>
      <c r="W529" s="59">
        <f t="shared" si="206"/>
        <v>5.9722222222222225E-3</v>
      </c>
      <c r="X529" s="57"/>
      <c r="Y529" s="57"/>
      <c r="Z529" s="59">
        <f t="shared" si="207"/>
        <v>5.9722222222222225E-3</v>
      </c>
      <c r="AA529" s="57">
        <v>6.1921296296296299E-3</v>
      </c>
      <c r="AB529" s="57"/>
      <c r="AC529" s="59">
        <f t="shared" si="208"/>
        <v>5.9722222222222225E-3</v>
      </c>
      <c r="AD529" s="57"/>
      <c r="AE529" s="57"/>
      <c r="AF529" s="59">
        <f t="shared" si="209"/>
        <v>5.9722222222222225E-3</v>
      </c>
      <c r="AG529" s="57"/>
      <c r="AH529" s="57"/>
      <c r="AI529" s="59">
        <f t="shared" si="210"/>
        <v>5.9722222222222225E-3</v>
      </c>
      <c r="AJ529" s="57">
        <v>6.2499999999999995E-3</v>
      </c>
      <c r="AK529" s="57"/>
      <c r="AL529" s="59">
        <f t="shared" si="211"/>
        <v>5.9722222222222225E-3</v>
      </c>
      <c r="AM529" s="57"/>
      <c r="AN529" s="57"/>
      <c r="AO529" s="59">
        <f t="shared" si="212"/>
        <v>5.9722222222222225E-3</v>
      </c>
      <c r="AP529" s="57"/>
      <c r="AQ529" s="59">
        <f t="shared" si="203"/>
        <v>5.9722222222222225E-3</v>
      </c>
      <c r="AR529" s="57">
        <v>5.9722222222222225E-3</v>
      </c>
      <c r="AS529" s="57"/>
      <c r="AT529" s="59">
        <f t="shared" si="204"/>
        <v>5.9722222222222225E-3</v>
      </c>
    </row>
    <row r="530" spans="1:46" hidden="1">
      <c r="A530" s="24"/>
      <c r="B530" s="26" t="s">
        <v>509</v>
      </c>
      <c r="C530" s="26" t="s">
        <v>443</v>
      </c>
      <c r="D530" s="50" t="s">
        <v>345</v>
      </c>
      <c r="E530" s="51"/>
      <c r="F530" s="50" t="s">
        <v>345</v>
      </c>
      <c r="G530" s="52"/>
      <c r="H530" s="50" t="s">
        <v>345</v>
      </c>
      <c r="I530" s="53"/>
      <c r="J530" s="50" t="s">
        <v>345</v>
      </c>
      <c r="K530" s="53"/>
      <c r="L530" s="50" t="s">
        <v>345</v>
      </c>
      <c r="M530" s="57">
        <v>5.1967592592592595E-3</v>
      </c>
      <c r="N530" s="55">
        <v>4.7685185185185183E-3</v>
      </c>
      <c r="O530" s="57">
        <v>4.8495370370370368E-3</v>
      </c>
      <c r="P530" s="57"/>
      <c r="Q530" s="59">
        <f t="shared" si="213"/>
        <v>4.7685185185185183E-3</v>
      </c>
      <c r="R530" s="57"/>
      <c r="S530" s="57"/>
      <c r="T530" s="59">
        <f t="shared" si="205"/>
        <v>4.7685185185185183E-3</v>
      </c>
      <c r="U530" s="57"/>
      <c r="V530" s="57"/>
      <c r="W530" s="59">
        <f t="shared" si="206"/>
        <v>4.7685185185185183E-3</v>
      </c>
      <c r="X530" s="57"/>
      <c r="Y530" s="57"/>
      <c r="Z530" s="59">
        <f t="shared" si="207"/>
        <v>4.7685185185185183E-3</v>
      </c>
      <c r="AA530" s="57"/>
      <c r="AB530" s="57"/>
      <c r="AC530" s="59">
        <f t="shared" si="208"/>
        <v>4.7685185185185183E-3</v>
      </c>
      <c r="AD530" s="57"/>
      <c r="AE530" s="57"/>
      <c r="AF530" s="59">
        <f t="shared" si="209"/>
        <v>4.7685185185185183E-3</v>
      </c>
      <c r="AG530" s="57"/>
      <c r="AH530" s="57"/>
      <c r="AI530" s="59">
        <f t="shared" si="210"/>
        <v>4.7685185185185183E-3</v>
      </c>
      <c r="AJ530" s="57"/>
      <c r="AK530" s="57"/>
      <c r="AL530" s="59">
        <f t="shared" si="211"/>
        <v>4.7685185185185183E-3</v>
      </c>
      <c r="AM530" s="57"/>
      <c r="AN530" s="57"/>
      <c r="AO530" s="59">
        <f t="shared" si="212"/>
        <v>4.7685185185185183E-3</v>
      </c>
      <c r="AP530" s="57"/>
      <c r="AQ530" s="59">
        <f t="shared" si="203"/>
        <v>4.7685185185185183E-3</v>
      </c>
      <c r="AR530" s="57"/>
      <c r="AS530" s="57"/>
      <c r="AT530" s="59">
        <f t="shared" si="204"/>
        <v>4.7685185185185183E-3</v>
      </c>
    </row>
    <row r="531" spans="1:46" hidden="1">
      <c r="A531" s="24"/>
      <c r="B531" s="26" t="s">
        <v>441</v>
      </c>
      <c r="C531" s="26" t="s">
        <v>443</v>
      </c>
      <c r="D531" s="50"/>
      <c r="E531" s="51"/>
      <c r="F531" s="50"/>
      <c r="G531" s="52"/>
      <c r="H531" s="50"/>
      <c r="I531" s="53">
        <v>7.34</v>
      </c>
      <c r="J531" s="50">
        <v>7.34</v>
      </c>
      <c r="K531" s="53"/>
      <c r="L531" s="50">
        <v>7.34</v>
      </c>
      <c r="M531" s="57"/>
      <c r="N531" s="55">
        <v>5.2546296296296299E-3</v>
      </c>
      <c r="O531" s="57"/>
      <c r="P531" s="57"/>
      <c r="Q531" s="59">
        <f t="shared" si="213"/>
        <v>5.2546296296296299E-3</v>
      </c>
      <c r="R531" s="57"/>
      <c r="S531" s="57"/>
      <c r="T531" s="59">
        <f t="shared" si="205"/>
        <v>5.2546296296296299E-3</v>
      </c>
      <c r="U531" s="57"/>
      <c r="V531" s="57"/>
      <c r="W531" s="59">
        <f t="shared" si="206"/>
        <v>5.2546296296296299E-3</v>
      </c>
      <c r="X531" s="57"/>
      <c r="Y531" s="57"/>
      <c r="Z531" s="59">
        <f t="shared" si="207"/>
        <v>5.2546296296296299E-3</v>
      </c>
      <c r="AA531" s="57"/>
      <c r="AB531" s="57"/>
      <c r="AC531" s="59">
        <f t="shared" si="208"/>
        <v>5.2546296296296299E-3</v>
      </c>
      <c r="AD531" s="57"/>
      <c r="AE531" s="57"/>
      <c r="AF531" s="59">
        <f t="shared" si="209"/>
        <v>5.2546296296296299E-3</v>
      </c>
      <c r="AG531" s="57"/>
      <c r="AH531" s="57"/>
      <c r="AI531" s="59">
        <f t="shared" si="210"/>
        <v>5.2546296296296299E-3</v>
      </c>
      <c r="AJ531" s="57"/>
      <c r="AK531" s="57"/>
      <c r="AL531" s="59">
        <f t="shared" si="211"/>
        <v>5.2546296296296299E-3</v>
      </c>
      <c r="AM531" s="57"/>
      <c r="AN531" s="57"/>
      <c r="AO531" s="59">
        <f t="shared" si="212"/>
        <v>5.2546296296296299E-3</v>
      </c>
      <c r="AP531" s="57"/>
      <c r="AQ531" s="59">
        <f t="shared" si="203"/>
        <v>5.2546296296296299E-3</v>
      </c>
      <c r="AR531" s="57"/>
      <c r="AS531" s="57"/>
      <c r="AT531" s="59">
        <f t="shared" si="204"/>
        <v>5.2546296296296299E-3</v>
      </c>
    </row>
    <row r="532" spans="1:46">
      <c r="A532" s="24" t="s">
        <v>792</v>
      </c>
      <c r="B532" s="26" t="s">
        <v>119</v>
      </c>
      <c r="C532" s="26"/>
      <c r="D532" s="50"/>
      <c r="E532" s="51"/>
      <c r="F532" s="50" t="s">
        <v>448</v>
      </c>
      <c r="G532" s="52"/>
      <c r="H532" s="50"/>
      <c r="I532" s="53"/>
      <c r="J532" s="50" t="s">
        <v>448</v>
      </c>
      <c r="K532" s="53"/>
      <c r="L532" s="50"/>
      <c r="M532" s="57"/>
      <c r="N532" s="55"/>
      <c r="O532" s="57">
        <v>7.4884259259259262E-3</v>
      </c>
      <c r="P532" s="57"/>
      <c r="Q532" s="59">
        <f t="shared" si="213"/>
        <v>7.4884259259259262E-3</v>
      </c>
      <c r="R532" s="57"/>
      <c r="S532" s="57"/>
      <c r="T532" s="59">
        <f t="shared" si="205"/>
        <v>7.4884259259259262E-3</v>
      </c>
      <c r="U532" s="57"/>
      <c r="V532" s="57"/>
      <c r="W532" s="59">
        <f t="shared" si="206"/>
        <v>7.4884259259259262E-3</v>
      </c>
      <c r="X532" s="57"/>
      <c r="Y532" s="57"/>
      <c r="Z532" s="59">
        <f t="shared" si="207"/>
        <v>7.4884259259259262E-3</v>
      </c>
      <c r="AA532" s="57"/>
      <c r="AB532" s="57"/>
      <c r="AC532" s="59">
        <f t="shared" si="208"/>
        <v>7.4884259259259262E-3</v>
      </c>
      <c r="AD532" s="57">
        <v>9.7222222222222224E-3</v>
      </c>
      <c r="AE532" s="57"/>
      <c r="AF532" s="59">
        <f t="shared" si="209"/>
        <v>7.4884259259259262E-3</v>
      </c>
      <c r="AG532" s="57">
        <v>7.3611111111111108E-3</v>
      </c>
      <c r="AH532" s="57"/>
      <c r="AI532" s="59">
        <f t="shared" si="210"/>
        <v>7.3611111111111108E-3</v>
      </c>
      <c r="AJ532" s="57"/>
      <c r="AK532" s="57"/>
      <c r="AL532" s="59">
        <f t="shared" si="211"/>
        <v>7.3611111111111108E-3</v>
      </c>
      <c r="AM532" s="57"/>
      <c r="AN532" s="57"/>
      <c r="AO532" s="59">
        <f t="shared" si="212"/>
        <v>7.3611111111111108E-3</v>
      </c>
      <c r="AP532" s="57"/>
      <c r="AQ532" s="59">
        <f t="shared" si="203"/>
        <v>7.3611111111111108E-3</v>
      </c>
      <c r="AR532" s="57">
        <v>6.5162037037037037E-3</v>
      </c>
      <c r="AS532" s="57"/>
      <c r="AT532" s="59">
        <f t="shared" si="204"/>
        <v>6.5162037037037037E-3</v>
      </c>
    </row>
    <row r="533" spans="1:46" hidden="1">
      <c r="A533" s="24"/>
      <c r="B533" s="26" t="s">
        <v>585</v>
      </c>
      <c r="C533" s="26"/>
      <c r="D533" s="50"/>
      <c r="E533" s="51"/>
      <c r="F533" s="50"/>
      <c r="G533" s="52"/>
      <c r="H533" s="50"/>
      <c r="I533" s="53"/>
      <c r="J533" s="50"/>
      <c r="K533" s="53"/>
      <c r="L533" s="50"/>
      <c r="M533" s="57"/>
      <c r="N533" s="55"/>
      <c r="O533" s="57">
        <v>6.5046296296296302E-3</v>
      </c>
      <c r="P533" s="57"/>
      <c r="Q533" s="59">
        <f t="shared" si="213"/>
        <v>6.5046296296296302E-3</v>
      </c>
      <c r="R533" s="57"/>
      <c r="S533" s="57"/>
      <c r="T533" s="59">
        <f t="shared" si="205"/>
        <v>6.5046296296296302E-3</v>
      </c>
      <c r="U533" s="57"/>
      <c r="V533" s="57"/>
      <c r="W533" s="59">
        <f t="shared" si="206"/>
        <v>6.5046296296296302E-3</v>
      </c>
      <c r="X533" s="57">
        <v>5.9259259259259256E-3</v>
      </c>
      <c r="Y533" s="57"/>
      <c r="Z533" s="59">
        <f t="shared" si="207"/>
        <v>5.9259259259259256E-3</v>
      </c>
      <c r="AA533" s="57"/>
      <c r="AB533" s="57"/>
      <c r="AC533" s="59">
        <f t="shared" si="208"/>
        <v>5.9259259259259256E-3</v>
      </c>
      <c r="AD533" s="57"/>
      <c r="AE533" s="57"/>
      <c r="AF533" s="59">
        <f t="shared" si="209"/>
        <v>5.9259259259259256E-3</v>
      </c>
      <c r="AG533" s="57"/>
      <c r="AH533" s="57"/>
      <c r="AI533" s="59">
        <f t="shared" si="210"/>
        <v>5.9259259259259256E-3</v>
      </c>
      <c r="AJ533" s="57"/>
      <c r="AK533" s="57"/>
      <c r="AL533" s="59">
        <f t="shared" si="211"/>
        <v>5.9259259259259256E-3</v>
      </c>
      <c r="AM533" s="57"/>
      <c r="AN533" s="57"/>
      <c r="AO533" s="59">
        <f t="shared" si="212"/>
        <v>5.9259259259259256E-3</v>
      </c>
      <c r="AP533" s="57"/>
      <c r="AQ533" s="59">
        <f t="shared" si="203"/>
        <v>5.9259259259259256E-3</v>
      </c>
      <c r="AR533" s="57"/>
      <c r="AS533" s="57"/>
      <c r="AT533" s="59">
        <f t="shared" si="204"/>
        <v>5.9259259259259256E-3</v>
      </c>
    </row>
    <row r="534" spans="1:46" hidden="1">
      <c r="A534" s="24"/>
      <c r="B534" s="26" t="s">
        <v>124</v>
      </c>
      <c r="C534" s="26" t="s">
        <v>444</v>
      </c>
      <c r="D534" s="50">
        <v>11.17</v>
      </c>
      <c r="E534" s="51"/>
      <c r="F534" s="50">
        <v>11.17</v>
      </c>
      <c r="G534" s="52"/>
      <c r="H534" s="50">
        <v>11.17</v>
      </c>
      <c r="I534" s="53"/>
      <c r="J534" s="50">
        <v>11.17</v>
      </c>
      <c r="K534" s="53"/>
      <c r="L534" s="50">
        <v>11.17</v>
      </c>
      <c r="M534" s="57"/>
      <c r="N534" s="55">
        <v>7.8356481481481489E-3</v>
      </c>
      <c r="O534" s="57"/>
      <c r="P534" s="57"/>
      <c r="Q534" s="59">
        <f t="shared" si="213"/>
        <v>7.8356481481481489E-3</v>
      </c>
      <c r="R534" s="57"/>
      <c r="S534" s="57"/>
      <c r="T534" s="59">
        <f t="shared" si="205"/>
        <v>7.8356481481481489E-3</v>
      </c>
      <c r="U534" s="57"/>
      <c r="V534" s="57"/>
      <c r="W534" s="59">
        <f t="shared" si="206"/>
        <v>7.8356481481481489E-3</v>
      </c>
      <c r="X534" s="57"/>
      <c r="Y534" s="57"/>
      <c r="Z534" s="59">
        <f t="shared" si="207"/>
        <v>7.8356481481481489E-3</v>
      </c>
      <c r="AA534" s="57"/>
      <c r="AB534" s="57"/>
      <c r="AC534" s="59">
        <f t="shared" si="208"/>
        <v>7.8356481481481489E-3</v>
      </c>
      <c r="AD534" s="57"/>
      <c r="AE534" s="57"/>
      <c r="AF534" s="59">
        <f t="shared" si="209"/>
        <v>7.8356481481481489E-3</v>
      </c>
      <c r="AG534" s="57"/>
      <c r="AH534" s="57"/>
      <c r="AI534" s="59">
        <f t="shared" si="210"/>
        <v>7.8356481481481489E-3</v>
      </c>
      <c r="AJ534" s="57"/>
      <c r="AK534" s="57"/>
      <c r="AL534" s="59">
        <f t="shared" si="211"/>
        <v>7.8356481481481489E-3</v>
      </c>
      <c r="AM534" s="57"/>
      <c r="AN534" s="57"/>
      <c r="AO534" s="59">
        <f t="shared" si="212"/>
        <v>7.8356481481481489E-3</v>
      </c>
      <c r="AP534" s="57"/>
      <c r="AQ534" s="59">
        <f t="shared" si="203"/>
        <v>7.8356481481481489E-3</v>
      </c>
      <c r="AR534" s="57"/>
      <c r="AS534" s="57"/>
      <c r="AT534" s="59">
        <f t="shared" si="204"/>
        <v>7.8356481481481489E-3</v>
      </c>
    </row>
    <row r="535" spans="1:46" hidden="1">
      <c r="A535" s="24"/>
      <c r="B535" s="26" t="s">
        <v>129</v>
      </c>
      <c r="C535" s="26" t="s">
        <v>444</v>
      </c>
      <c r="D535" s="50" t="s">
        <v>281</v>
      </c>
      <c r="E535" s="51"/>
      <c r="F535" s="50" t="s">
        <v>281</v>
      </c>
      <c r="G535" s="52"/>
      <c r="H535" s="50" t="s">
        <v>281</v>
      </c>
      <c r="I535" s="53"/>
      <c r="J535" s="50" t="s">
        <v>281</v>
      </c>
      <c r="K535" s="53"/>
      <c r="L535" s="50" t="s">
        <v>281</v>
      </c>
      <c r="M535" s="57"/>
      <c r="N535" s="55">
        <v>7.2916666666666659E-3</v>
      </c>
      <c r="O535" s="57"/>
      <c r="P535" s="57"/>
      <c r="Q535" s="59">
        <f t="shared" si="213"/>
        <v>7.2916666666666659E-3</v>
      </c>
      <c r="R535" s="57"/>
      <c r="S535" s="57"/>
      <c r="T535" s="59">
        <f t="shared" si="205"/>
        <v>7.2916666666666659E-3</v>
      </c>
      <c r="U535" s="57"/>
      <c r="V535" s="57"/>
      <c r="W535" s="59">
        <f t="shared" si="206"/>
        <v>7.2916666666666659E-3</v>
      </c>
      <c r="X535" s="57"/>
      <c r="Y535" s="57"/>
      <c r="Z535" s="59">
        <f t="shared" si="207"/>
        <v>7.2916666666666659E-3</v>
      </c>
      <c r="AA535" s="57"/>
      <c r="AB535" s="57"/>
      <c r="AC535" s="59">
        <f t="shared" si="208"/>
        <v>7.2916666666666659E-3</v>
      </c>
      <c r="AD535" s="57"/>
      <c r="AE535" s="57"/>
      <c r="AF535" s="59">
        <f t="shared" si="209"/>
        <v>7.2916666666666659E-3</v>
      </c>
      <c r="AG535" s="57"/>
      <c r="AH535" s="57"/>
      <c r="AI535" s="59">
        <f t="shared" si="210"/>
        <v>7.2916666666666659E-3</v>
      </c>
      <c r="AJ535" s="57"/>
      <c r="AK535" s="57"/>
      <c r="AL535" s="59">
        <f t="shared" si="211"/>
        <v>7.2916666666666659E-3</v>
      </c>
      <c r="AM535" s="57"/>
      <c r="AN535" s="57"/>
      <c r="AO535" s="59">
        <f t="shared" si="212"/>
        <v>7.2916666666666659E-3</v>
      </c>
      <c r="AP535" s="57"/>
      <c r="AQ535" s="59">
        <f t="shared" si="203"/>
        <v>7.2916666666666659E-3</v>
      </c>
      <c r="AR535" s="57"/>
      <c r="AS535" s="57"/>
      <c r="AT535" s="59">
        <f t="shared" si="204"/>
        <v>7.2916666666666659E-3</v>
      </c>
    </row>
    <row r="536" spans="1:46" hidden="1">
      <c r="A536" s="24"/>
      <c r="B536" s="26" t="s">
        <v>135</v>
      </c>
      <c r="C536" s="26"/>
      <c r="D536" s="50"/>
      <c r="E536" s="51"/>
      <c r="F536" s="50" t="s">
        <v>448</v>
      </c>
      <c r="G536" s="52"/>
      <c r="H536" s="50"/>
      <c r="I536" s="53"/>
      <c r="J536" s="50" t="s">
        <v>448</v>
      </c>
      <c r="K536" s="53"/>
      <c r="L536" s="50"/>
      <c r="M536" s="57"/>
      <c r="N536" s="55" t="s">
        <v>448</v>
      </c>
      <c r="O536" s="57"/>
      <c r="P536" s="57"/>
      <c r="Q536" s="59" t="str">
        <f t="shared" si="213"/>
        <v/>
      </c>
      <c r="R536" s="57"/>
      <c r="S536" s="57"/>
      <c r="T536" s="59" t="str">
        <f t="shared" si="205"/>
        <v/>
      </c>
      <c r="U536" s="57"/>
      <c r="V536" s="57"/>
      <c r="W536" s="59" t="str">
        <f t="shared" si="206"/>
        <v/>
      </c>
      <c r="X536" s="57"/>
      <c r="Y536" s="57"/>
      <c r="Z536" s="59" t="str">
        <f t="shared" si="207"/>
        <v/>
      </c>
      <c r="AA536" s="57"/>
      <c r="AB536" s="57"/>
      <c r="AC536" s="59" t="str">
        <f t="shared" si="208"/>
        <v/>
      </c>
      <c r="AD536" s="57"/>
      <c r="AE536" s="57"/>
      <c r="AF536" s="59" t="str">
        <f t="shared" si="209"/>
        <v/>
      </c>
      <c r="AG536" s="57"/>
      <c r="AH536" s="57"/>
      <c r="AI536" s="59" t="str">
        <f t="shared" si="210"/>
        <v/>
      </c>
      <c r="AJ536" s="57"/>
      <c r="AK536" s="57"/>
      <c r="AL536" s="59" t="str">
        <f t="shared" si="211"/>
        <v/>
      </c>
      <c r="AM536" s="57"/>
      <c r="AN536" s="57"/>
      <c r="AO536" s="59" t="str">
        <f t="shared" si="212"/>
        <v/>
      </c>
      <c r="AP536" s="57"/>
      <c r="AQ536" s="59" t="str">
        <f t="shared" si="203"/>
        <v/>
      </c>
      <c r="AR536" s="57"/>
      <c r="AS536" s="57"/>
      <c r="AT536" s="59" t="str">
        <f t="shared" si="204"/>
        <v/>
      </c>
    </row>
    <row r="537" spans="1:46" hidden="1">
      <c r="A537" s="24"/>
      <c r="B537" s="26" t="s">
        <v>332</v>
      </c>
      <c r="C537" s="26"/>
      <c r="D537" s="50"/>
      <c r="E537" s="51"/>
      <c r="F537" s="50" t="s">
        <v>448</v>
      </c>
      <c r="G537" s="52"/>
      <c r="H537" s="50"/>
      <c r="I537" s="53"/>
      <c r="J537" s="50" t="s">
        <v>448</v>
      </c>
      <c r="K537" s="53"/>
      <c r="L537" s="50"/>
      <c r="M537" s="57"/>
      <c r="N537" s="55"/>
      <c r="O537" s="57"/>
      <c r="P537" s="57"/>
      <c r="Q537" s="59" t="str">
        <f t="shared" si="213"/>
        <v/>
      </c>
      <c r="R537" s="57"/>
      <c r="S537" s="57"/>
      <c r="T537" s="59" t="str">
        <f t="shared" si="205"/>
        <v/>
      </c>
      <c r="U537" s="57"/>
      <c r="V537" s="57"/>
      <c r="W537" s="59" t="str">
        <f t="shared" si="206"/>
        <v/>
      </c>
      <c r="X537" s="57"/>
      <c r="Y537" s="57"/>
      <c r="Z537" s="59" t="str">
        <f t="shared" si="207"/>
        <v/>
      </c>
      <c r="AA537" s="57"/>
      <c r="AB537" s="57"/>
      <c r="AC537" s="59" t="str">
        <f t="shared" si="208"/>
        <v/>
      </c>
      <c r="AD537" s="57"/>
      <c r="AE537" s="57"/>
      <c r="AF537" s="59" t="str">
        <f t="shared" si="209"/>
        <v/>
      </c>
      <c r="AG537" s="57"/>
      <c r="AH537" s="57"/>
      <c r="AI537" s="59" t="str">
        <f t="shared" si="210"/>
        <v/>
      </c>
      <c r="AJ537" s="57"/>
      <c r="AK537" s="57"/>
      <c r="AL537" s="59" t="str">
        <f t="shared" si="211"/>
        <v/>
      </c>
      <c r="AM537" s="57"/>
      <c r="AN537" s="57"/>
      <c r="AO537" s="59" t="str">
        <f t="shared" si="212"/>
        <v/>
      </c>
      <c r="AP537" s="57"/>
      <c r="AQ537" s="59" t="str">
        <f t="shared" si="203"/>
        <v/>
      </c>
      <c r="AR537" s="57"/>
      <c r="AS537" s="57"/>
      <c r="AT537" s="59" t="str">
        <f t="shared" si="204"/>
        <v/>
      </c>
    </row>
    <row r="538" spans="1:46" hidden="1">
      <c r="A538" s="24"/>
      <c r="B538" s="26" t="s">
        <v>510</v>
      </c>
      <c r="C538" s="26"/>
      <c r="D538" s="50"/>
      <c r="E538" s="51"/>
      <c r="F538" s="50"/>
      <c r="G538" s="52"/>
      <c r="H538" s="50"/>
      <c r="I538" s="53"/>
      <c r="J538" s="50"/>
      <c r="K538" s="53"/>
      <c r="L538" s="50"/>
      <c r="M538" s="57"/>
      <c r="N538" s="55"/>
      <c r="O538" s="57"/>
      <c r="P538" s="57"/>
      <c r="Q538" s="59" t="str">
        <f t="shared" si="213"/>
        <v/>
      </c>
      <c r="R538" s="57"/>
      <c r="S538" s="57"/>
      <c r="T538" s="59" t="str">
        <f t="shared" si="205"/>
        <v/>
      </c>
      <c r="U538" s="57"/>
      <c r="V538" s="57"/>
      <c r="W538" s="59" t="str">
        <f t="shared" si="206"/>
        <v/>
      </c>
      <c r="X538" s="57"/>
      <c r="Y538" s="57"/>
      <c r="Z538" s="59" t="str">
        <f t="shared" si="207"/>
        <v/>
      </c>
      <c r="AA538" s="57"/>
      <c r="AB538" s="57"/>
      <c r="AC538" s="59" t="str">
        <f t="shared" si="208"/>
        <v/>
      </c>
      <c r="AD538" s="57"/>
      <c r="AE538" s="57"/>
      <c r="AF538" s="59" t="str">
        <f t="shared" si="209"/>
        <v/>
      </c>
      <c r="AG538" s="57"/>
      <c r="AH538" s="57"/>
      <c r="AI538" s="59" t="str">
        <f t="shared" si="210"/>
        <v/>
      </c>
      <c r="AJ538" s="57"/>
      <c r="AK538" s="57"/>
      <c r="AL538" s="59" t="str">
        <f t="shared" si="211"/>
        <v/>
      </c>
      <c r="AM538" s="57"/>
      <c r="AN538" s="57"/>
      <c r="AO538" s="59" t="str">
        <f t="shared" si="212"/>
        <v/>
      </c>
      <c r="AP538" s="57"/>
      <c r="AQ538" s="59" t="str">
        <f t="shared" si="203"/>
        <v/>
      </c>
      <c r="AR538" s="57"/>
      <c r="AS538" s="57"/>
      <c r="AT538" s="59" t="str">
        <f t="shared" si="204"/>
        <v/>
      </c>
    </row>
    <row r="539" spans="1:46" hidden="1">
      <c r="A539" s="24"/>
      <c r="B539" s="26" t="s">
        <v>142</v>
      </c>
      <c r="C539" s="26"/>
      <c r="D539" s="50">
        <v>8.09</v>
      </c>
      <c r="E539" s="51"/>
      <c r="F539" s="50">
        <v>8.09</v>
      </c>
      <c r="G539" s="52" t="s">
        <v>225</v>
      </c>
      <c r="H539" s="50">
        <v>8.09</v>
      </c>
      <c r="I539" s="53">
        <v>9.02</v>
      </c>
      <c r="J539" s="50">
        <v>8.09</v>
      </c>
      <c r="K539" s="53">
        <v>9.2200000000000006</v>
      </c>
      <c r="L539" s="50">
        <v>8.09</v>
      </c>
      <c r="M539" s="57">
        <v>7.2800925925925915E-3</v>
      </c>
      <c r="N539" s="55">
        <v>5.6597222222222222E-3</v>
      </c>
      <c r="O539" s="57"/>
      <c r="P539" s="57"/>
      <c r="Q539" s="59">
        <f t="shared" si="213"/>
        <v>5.6597222222222222E-3</v>
      </c>
      <c r="R539" s="57"/>
      <c r="S539" s="57"/>
      <c r="T539" s="59">
        <f t="shared" si="205"/>
        <v>5.6597222222222222E-3</v>
      </c>
      <c r="U539" s="57">
        <v>6.5740740740740733E-3</v>
      </c>
      <c r="V539" s="57"/>
      <c r="W539" s="59">
        <f t="shared" si="206"/>
        <v>5.6597222222222222E-3</v>
      </c>
      <c r="X539" s="57">
        <v>6.4583333333333333E-3</v>
      </c>
      <c r="Y539" s="57"/>
      <c r="Z539" s="59">
        <f t="shared" si="207"/>
        <v>5.6597222222222222E-3</v>
      </c>
      <c r="AA539" s="57"/>
      <c r="AB539" s="57"/>
      <c r="AC539" s="59">
        <f t="shared" si="208"/>
        <v>5.6597222222222222E-3</v>
      </c>
      <c r="AD539" s="57">
        <v>6.145833333333333E-3</v>
      </c>
      <c r="AE539" s="57"/>
      <c r="AF539" s="59">
        <f t="shared" si="209"/>
        <v>5.6597222222222222E-3</v>
      </c>
      <c r="AG539" s="57"/>
      <c r="AH539" s="57"/>
      <c r="AI539" s="59">
        <f t="shared" si="210"/>
        <v>5.6597222222222222E-3</v>
      </c>
      <c r="AJ539" s="57"/>
      <c r="AK539" s="57"/>
      <c r="AL539" s="59">
        <f t="shared" si="211"/>
        <v>5.6597222222222222E-3</v>
      </c>
      <c r="AM539" s="57">
        <v>7.1643518518518514E-3</v>
      </c>
      <c r="AN539" s="57"/>
      <c r="AO539" s="59">
        <f t="shared" si="212"/>
        <v>5.6597222222222222E-3</v>
      </c>
      <c r="AP539" s="57"/>
      <c r="AQ539" s="59">
        <f t="shared" si="203"/>
        <v>5.6597222222222222E-3</v>
      </c>
      <c r="AR539" s="57"/>
      <c r="AS539" s="57"/>
      <c r="AT539" s="59">
        <f t="shared" si="204"/>
        <v>5.6597222222222222E-3</v>
      </c>
    </row>
    <row r="540" spans="1:46" hidden="1">
      <c r="A540" s="24"/>
      <c r="B540" s="26" t="s">
        <v>586</v>
      </c>
      <c r="C540" s="26"/>
      <c r="D540" s="50"/>
      <c r="E540" s="51"/>
      <c r="F540" s="50"/>
      <c r="G540" s="52"/>
      <c r="H540" s="50"/>
      <c r="I540" s="53"/>
      <c r="J540" s="50" t="s">
        <v>448</v>
      </c>
      <c r="K540" s="53"/>
      <c r="L540" s="50"/>
      <c r="M540" s="57"/>
      <c r="N540" s="55"/>
      <c r="O540" s="57"/>
      <c r="P540" s="57"/>
      <c r="Q540" s="59" t="str">
        <f t="shared" si="213"/>
        <v/>
      </c>
      <c r="R540" s="57"/>
      <c r="S540" s="57"/>
      <c r="T540" s="59" t="str">
        <f t="shared" si="205"/>
        <v/>
      </c>
      <c r="U540" s="57"/>
      <c r="V540" s="57"/>
      <c r="W540" s="59" t="str">
        <f t="shared" si="206"/>
        <v/>
      </c>
      <c r="X540" s="57"/>
      <c r="Y540" s="57"/>
      <c r="Z540" s="59" t="str">
        <f t="shared" si="207"/>
        <v/>
      </c>
      <c r="AA540" s="57"/>
      <c r="AB540" s="57"/>
      <c r="AC540" s="59" t="str">
        <f t="shared" si="208"/>
        <v/>
      </c>
      <c r="AD540" s="57"/>
      <c r="AE540" s="57"/>
      <c r="AF540" s="59" t="str">
        <f t="shared" si="209"/>
        <v/>
      </c>
      <c r="AG540" s="57"/>
      <c r="AH540" s="57"/>
      <c r="AI540" s="59" t="str">
        <f t="shared" si="210"/>
        <v/>
      </c>
      <c r="AJ540" s="57"/>
      <c r="AK540" s="57"/>
      <c r="AL540" s="59" t="str">
        <f t="shared" si="211"/>
        <v/>
      </c>
      <c r="AM540" s="57"/>
      <c r="AN540" s="57"/>
      <c r="AO540" s="59" t="str">
        <f t="shared" si="212"/>
        <v/>
      </c>
      <c r="AP540" s="57"/>
      <c r="AQ540" s="59" t="str">
        <f t="shared" si="203"/>
        <v/>
      </c>
      <c r="AR540" s="57"/>
      <c r="AS540" s="57"/>
      <c r="AT540" s="59" t="str">
        <f t="shared" si="204"/>
        <v/>
      </c>
    </row>
    <row r="541" spans="1:46" hidden="1">
      <c r="A541" s="24"/>
      <c r="B541" s="26" t="s">
        <v>411</v>
      </c>
      <c r="C541" s="26"/>
      <c r="D541" s="50"/>
      <c r="E541" s="51"/>
      <c r="F541" s="50"/>
      <c r="G541" s="52"/>
      <c r="H541" s="50"/>
      <c r="I541" s="53"/>
      <c r="J541" s="50" t="s">
        <v>448</v>
      </c>
      <c r="K541" s="53"/>
      <c r="L541" s="50"/>
      <c r="M541" s="57"/>
      <c r="N541" s="55"/>
      <c r="O541" s="57"/>
      <c r="P541" s="57"/>
      <c r="Q541" s="59" t="str">
        <f t="shared" si="213"/>
        <v/>
      </c>
      <c r="R541" s="57"/>
      <c r="S541" s="57"/>
      <c r="T541" s="59" t="str">
        <f t="shared" si="205"/>
        <v/>
      </c>
      <c r="U541" s="57"/>
      <c r="V541" s="57"/>
      <c r="W541" s="59" t="str">
        <f t="shared" si="206"/>
        <v/>
      </c>
      <c r="X541" s="57"/>
      <c r="Y541" s="57"/>
      <c r="Z541" s="59" t="str">
        <f t="shared" si="207"/>
        <v/>
      </c>
      <c r="AA541" s="57"/>
      <c r="AB541" s="57"/>
      <c r="AC541" s="59" t="str">
        <f t="shared" si="208"/>
        <v/>
      </c>
      <c r="AD541" s="57"/>
      <c r="AE541" s="57"/>
      <c r="AF541" s="59" t="str">
        <f t="shared" si="209"/>
        <v/>
      </c>
      <c r="AG541" s="57"/>
      <c r="AH541" s="57"/>
      <c r="AI541" s="59" t="str">
        <f t="shared" si="210"/>
        <v/>
      </c>
      <c r="AJ541" s="57"/>
      <c r="AK541" s="57"/>
      <c r="AL541" s="59" t="str">
        <f t="shared" si="211"/>
        <v/>
      </c>
      <c r="AM541" s="57"/>
      <c r="AN541" s="57"/>
      <c r="AO541" s="59" t="str">
        <f t="shared" si="212"/>
        <v/>
      </c>
      <c r="AP541" s="57"/>
      <c r="AQ541" s="59" t="str">
        <f t="shared" si="203"/>
        <v/>
      </c>
      <c r="AR541" s="57"/>
      <c r="AS541" s="57"/>
      <c r="AT541" s="59" t="str">
        <f t="shared" si="204"/>
        <v/>
      </c>
    </row>
    <row r="542" spans="1:46" hidden="1">
      <c r="A542" s="24"/>
      <c r="B542" s="26" t="s">
        <v>412</v>
      </c>
      <c r="C542" s="26"/>
      <c r="D542" s="50"/>
      <c r="E542" s="51"/>
      <c r="F542" s="50"/>
      <c r="G542" s="52"/>
      <c r="H542" s="50"/>
      <c r="I542" s="53"/>
      <c r="J542" s="50" t="s">
        <v>448</v>
      </c>
      <c r="K542" s="53"/>
      <c r="L542" s="50"/>
      <c r="M542" s="57"/>
      <c r="N542" s="55"/>
      <c r="O542" s="57"/>
      <c r="P542" s="57"/>
      <c r="Q542" s="59" t="str">
        <f t="shared" si="213"/>
        <v/>
      </c>
      <c r="R542" s="57"/>
      <c r="S542" s="57"/>
      <c r="T542" s="59" t="str">
        <f t="shared" si="205"/>
        <v/>
      </c>
      <c r="U542" s="57"/>
      <c r="V542" s="57"/>
      <c r="W542" s="59" t="str">
        <f t="shared" si="206"/>
        <v/>
      </c>
      <c r="X542" s="57"/>
      <c r="Y542" s="57"/>
      <c r="Z542" s="59" t="str">
        <f t="shared" si="207"/>
        <v/>
      </c>
      <c r="AA542" s="57"/>
      <c r="AB542" s="57"/>
      <c r="AC542" s="59" t="str">
        <f t="shared" si="208"/>
        <v/>
      </c>
      <c r="AD542" s="57"/>
      <c r="AE542" s="57"/>
      <c r="AF542" s="59" t="str">
        <f t="shared" si="209"/>
        <v/>
      </c>
      <c r="AG542" s="57"/>
      <c r="AH542" s="57"/>
      <c r="AI542" s="59" t="str">
        <f t="shared" si="210"/>
        <v/>
      </c>
      <c r="AJ542" s="57"/>
      <c r="AK542" s="57"/>
      <c r="AL542" s="59" t="str">
        <f t="shared" si="211"/>
        <v/>
      </c>
      <c r="AM542" s="57"/>
      <c r="AN542" s="57"/>
      <c r="AO542" s="59" t="str">
        <f t="shared" si="212"/>
        <v/>
      </c>
      <c r="AP542" s="57"/>
      <c r="AQ542" s="59" t="str">
        <f t="shared" si="203"/>
        <v/>
      </c>
      <c r="AR542" s="57"/>
      <c r="AS542" s="57"/>
      <c r="AT542" s="59" t="str">
        <f t="shared" si="204"/>
        <v/>
      </c>
    </row>
    <row r="543" spans="1:46" hidden="1">
      <c r="A543" s="24"/>
      <c r="B543" s="26" t="s">
        <v>268</v>
      </c>
      <c r="C543" s="26"/>
      <c r="D543" s="50">
        <v>8.5500000000000007</v>
      </c>
      <c r="E543" s="51"/>
      <c r="F543" s="50">
        <v>8.5500000000000007</v>
      </c>
      <c r="G543" s="52"/>
      <c r="H543" s="50">
        <v>8.5500000000000007</v>
      </c>
      <c r="I543" s="53"/>
      <c r="J543" s="50">
        <v>8.5500000000000007</v>
      </c>
      <c r="K543" s="53"/>
      <c r="L543" s="50">
        <v>8.5500000000000007</v>
      </c>
      <c r="M543" s="57"/>
      <c r="N543" s="55">
        <v>6.1921296296296299E-3</v>
      </c>
      <c r="O543" s="57"/>
      <c r="P543" s="57"/>
      <c r="Q543" s="59">
        <f t="shared" si="213"/>
        <v>6.1921296296296299E-3</v>
      </c>
      <c r="R543" s="57"/>
      <c r="S543" s="57"/>
      <c r="T543" s="59">
        <f t="shared" si="205"/>
        <v>6.1921296296296299E-3</v>
      </c>
      <c r="U543" s="57"/>
      <c r="V543" s="57"/>
      <c r="W543" s="59">
        <f t="shared" si="206"/>
        <v>6.1921296296296299E-3</v>
      </c>
      <c r="X543" s="57"/>
      <c r="Y543" s="57"/>
      <c r="Z543" s="59">
        <f t="shared" si="207"/>
        <v>6.1921296296296299E-3</v>
      </c>
      <c r="AA543" s="57"/>
      <c r="AB543" s="57"/>
      <c r="AC543" s="59">
        <f t="shared" si="208"/>
        <v>6.1921296296296299E-3</v>
      </c>
      <c r="AD543" s="57"/>
      <c r="AE543" s="57"/>
      <c r="AF543" s="59">
        <f t="shared" si="209"/>
        <v>6.1921296296296299E-3</v>
      </c>
      <c r="AG543" s="57"/>
      <c r="AH543" s="57"/>
      <c r="AI543" s="59">
        <f t="shared" si="210"/>
        <v>6.1921296296296299E-3</v>
      </c>
      <c r="AJ543" s="57"/>
      <c r="AK543" s="57"/>
      <c r="AL543" s="59">
        <f t="shared" si="211"/>
        <v>6.1921296296296299E-3</v>
      </c>
      <c r="AM543" s="57"/>
      <c r="AN543" s="57"/>
      <c r="AO543" s="59">
        <f t="shared" si="212"/>
        <v>6.1921296296296299E-3</v>
      </c>
      <c r="AP543" s="57"/>
      <c r="AQ543" s="59">
        <f t="shared" si="203"/>
        <v>6.1921296296296299E-3</v>
      </c>
      <c r="AR543" s="57"/>
      <c r="AS543" s="57"/>
      <c r="AT543" s="59">
        <f t="shared" si="204"/>
        <v>6.1921296296296299E-3</v>
      </c>
    </row>
    <row r="544" spans="1:46">
      <c r="A544" s="24" t="s">
        <v>792</v>
      </c>
      <c r="B544" s="26" t="s">
        <v>834</v>
      </c>
      <c r="C544" s="26"/>
      <c r="D544" s="50"/>
      <c r="E544" s="51"/>
      <c r="F544" s="50"/>
      <c r="G544" s="52"/>
      <c r="H544" s="50"/>
      <c r="I544" s="53"/>
      <c r="J544" s="50"/>
      <c r="K544" s="53"/>
      <c r="L544" s="50"/>
      <c r="M544" s="57"/>
      <c r="N544" s="55"/>
      <c r="O544" s="57"/>
      <c r="P544" s="57"/>
      <c r="Q544" s="59"/>
      <c r="R544" s="57"/>
      <c r="S544" s="57"/>
      <c r="T544" s="59"/>
      <c r="U544" s="57"/>
      <c r="V544" s="57"/>
      <c r="W544" s="59"/>
      <c r="X544" s="57"/>
      <c r="Y544" s="57"/>
      <c r="Z544" s="59"/>
      <c r="AA544" s="57"/>
      <c r="AB544" s="57"/>
      <c r="AC544" s="59"/>
      <c r="AD544" s="57"/>
      <c r="AE544" s="57"/>
      <c r="AF544" s="59"/>
      <c r="AG544" s="57"/>
      <c r="AH544" s="57"/>
      <c r="AI544" s="59"/>
      <c r="AJ544" s="57"/>
      <c r="AK544" s="57"/>
      <c r="AL544" s="59"/>
      <c r="AM544" s="57"/>
      <c r="AN544" s="57"/>
      <c r="AO544" s="59"/>
      <c r="AP544" s="57"/>
      <c r="AQ544" s="59" t="str">
        <f t="shared" si="203"/>
        <v/>
      </c>
      <c r="AR544" s="57"/>
      <c r="AS544" s="57"/>
      <c r="AT544" s="59" t="str">
        <f t="shared" si="204"/>
        <v/>
      </c>
    </row>
    <row r="545" spans="1:46" hidden="1">
      <c r="A545" s="24"/>
      <c r="B545" s="26" t="s">
        <v>413</v>
      </c>
      <c r="C545" s="26" t="s">
        <v>443</v>
      </c>
      <c r="D545" s="50"/>
      <c r="E545" s="51"/>
      <c r="F545" s="50"/>
      <c r="G545" s="52"/>
      <c r="H545" s="50"/>
      <c r="I545" s="53"/>
      <c r="J545" s="50" t="s">
        <v>448</v>
      </c>
      <c r="K545" s="53"/>
      <c r="L545" s="50"/>
      <c r="M545" s="57"/>
      <c r="N545" s="55"/>
      <c r="O545" s="57"/>
      <c r="P545" s="57"/>
      <c r="Q545" s="59" t="str">
        <f>IF(MIN(IF(ISBLANK(O545),N545,O545),IF(ISBLANK(N545),O545,N545))=0,"",MIN(IF(ISBLANK(O545),N545,O545),IF(ISBLANK(N545),O545,N545)))</f>
        <v/>
      </c>
      <c r="R545" s="57"/>
      <c r="S545" s="57"/>
      <c r="T545" s="59" t="str">
        <f>IF(MIN(IF(ISBLANK(R545),Q545,R545),IF(ISBLANK(Q545),R545,Q545))=0,"",MIN(IF(ISBLANK(R545),Q545,R545),IF(ISBLANK(Q545),R545,Q545)))</f>
        <v/>
      </c>
      <c r="U545" s="57"/>
      <c r="V545" s="57"/>
      <c r="W545" s="59" t="str">
        <f>IF(MIN(IF(ISBLANK(U545),T545,U545),IF(ISBLANK(T545),U545,T545))=0,"",MIN(IF(ISBLANK(U545),T545,U545),IF(ISBLANK(T545),U545,T545)))</f>
        <v/>
      </c>
      <c r="X545" s="57"/>
      <c r="Y545" s="57"/>
      <c r="Z545" s="59" t="str">
        <f>IF(MIN(IF(ISBLANK(X545),W545,X545),IF(ISBLANK(W545),X545,W545))=0,"",MIN(IF(ISBLANK(X545),W545,X545),IF(ISBLANK(W545),X545,W545)))</f>
        <v/>
      </c>
      <c r="AA545" s="57"/>
      <c r="AB545" s="57"/>
      <c r="AC545" s="59" t="str">
        <f>IF(MIN(IF(ISBLANK(Z545),AA545,Z545),IF(ISBLANK(AA545),Z545,AA545))=0,"",MIN(IF(ISBLANK(Z545),AA545,Z545),IF(ISBLANK(AA545),Z545,AA545)))</f>
        <v/>
      </c>
      <c r="AD545" s="57"/>
      <c r="AE545" s="57"/>
      <c r="AF545" s="59" t="str">
        <f t="shared" ref="AF545:AF559" si="214">IF(MIN(IF(ISBLANK(AC545),AD545,AC545),IF(ISBLANK(AD545),AC545,AD545))=0,"",MIN(IF(ISBLANK(AC545),AD545,AC545),IF(ISBLANK(AD545),AC545,AD545)))</f>
        <v/>
      </c>
      <c r="AG545" s="57"/>
      <c r="AH545" s="57"/>
      <c r="AI545" s="59" t="str">
        <f t="shared" ref="AI545:AI559" si="215">IF(MIN(IF(ISBLANK(AF545),AG545,AF545),IF(ISBLANK(AG545),AF545,AG545))=0,"",MIN(IF(ISBLANK(AF545),AG545,AF545),IF(ISBLANK(AG545),AF545,AG545)))</f>
        <v/>
      </c>
      <c r="AJ545" s="57"/>
      <c r="AK545" s="57"/>
      <c r="AL545" s="59" t="str">
        <f t="shared" ref="AL545:AL559" si="216">IF(MIN(IF(ISBLANK(AI545),AJ545,AI545),IF(ISBLANK(AJ545),AI545,AJ545))=0,"",MIN(IF(ISBLANK(AI545),AJ545,AI545),IF(ISBLANK(AJ545),AI545,AJ545)))</f>
        <v/>
      </c>
      <c r="AM545" s="57"/>
      <c r="AN545" s="57"/>
      <c r="AO545" s="59" t="str">
        <f t="shared" ref="AO545:AO568" si="217">IF(MIN(IF(ISBLANK(AL545),AM545,AL545),IF(ISBLANK(AM545),AL545,AM545))=0,"",MIN(IF(ISBLANK(AL545),AM545,AL545),IF(ISBLANK(AM545),AL545,AM545)))</f>
        <v/>
      </c>
      <c r="AP545" s="57"/>
      <c r="AQ545" s="59" t="str">
        <f t="shared" si="203"/>
        <v/>
      </c>
      <c r="AR545" s="57"/>
      <c r="AS545" s="57"/>
      <c r="AT545" s="59" t="str">
        <f t="shared" si="204"/>
        <v/>
      </c>
    </row>
    <row r="546" spans="1:46" hidden="1">
      <c r="A546" s="24"/>
      <c r="B546" s="26" t="s">
        <v>660</v>
      </c>
      <c r="C546" s="26"/>
      <c r="D546" s="50"/>
      <c r="E546" s="51"/>
      <c r="F546" s="50"/>
      <c r="G546" s="52"/>
      <c r="H546" s="50"/>
      <c r="I546" s="53"/>
      <c r="J546" s="50"/>
      <c r="K546" s="53"/>
      <c r="L546" s="50"/>
      <c r="M546" s="57"/>
      <c r="N546" s="55"/>
      <c r="O546" s="57"/>
      <c r="P546" s="57"/>
      <c r="Q546" s="59"/>
      <c r="R546" s="57"/>
      <c r="S546" s="57"/>
      <c r="T546" s="59"/>
      <c r="U546" s="57"/>
      <c r="V546" s="57"/>
      <c r="W546" s="59"/>
      <c r="X546" s="57">
        <v>7.1296296296296307E-3</v>
      </c>
      <c r="Y546" s="57"/>
      <c r="Z546" s="59">
        <f>IF(MIN(IF(ISBLANK(X546),W546,X546),IF(ISBLANK(W546),X546,W546))=0,"",MIN(IF(ISBLANK(X546),W546,X546),IF(ISBLANK(W546),X546,W546)))</f>
        <v>7.1296296296296307E-3</v>
      </c>
      <c r="AA546" s="57"/>
      <c r="AB546" s="57"/>
      <c r="AC546" s="59">
        <f>IF(MIN(IF(ISBLANK(Z546),AA546,Z546),IF(ISBLANK(AA546),Z546,AA546))=0,"",MIN(IF(ISBLANK(Z546),AA546,Z546),IF(ISBLANK(AA546),Z546,AA546)))</f>
        <v>7.1296296296296307E-3</v>
      </c>
      <c r="AD546" s="57"/>
      <c r="AE546" s="57"/>
      <c r="AF546" s="59">
        <f t="shared" si="214"/>
        <v>7.1296296296296307E-3</v>
      </c>
      <c r="AG546" s="57"/>
      <c r="AH546" s="57"/>
      <c r="AI546" s="59">
        <f t="shared" si="215"/>
        <v>7.1296296296296307E-3</v>
      </c>
      <c r="AJ546" s="57"/>
      <c r="AK546" s="57"/>
      <c r="AL546" s="59">
        <f t="shared" si="216"/>
        <v>7.1296296296296307E-3</v>
      </c>
      <c r="AM546" s="57"/>
      <c r="AN546" s="57"/>
      <c r="AO546" s="59">
        <f t="shared" si="217"/>
        <v>7.1296296296296307E-3</v>
      </c>
      <c r="AP546" s="57"/>
      <c r="AQ546" s="59">
        <f t="shared" si="203"/>
        <v>7.1296296296296307E-3</v>
      </c>
      <c r="AR546" s="57"/>
      <c r="AS546" s="57"/>
      <c r="AT546" s="59">
        <f t="shared" si="204"/>
        <v>7.1296296296296307E-3</v>
      </c>
    </row>
    <row r="547" spans="1:46" hidden="1">
      <c r="A547" s="24"/>
      <c r="B547" s="26" t="s">
        <v>330</v>
      </c>
      <c r="C547" s="26" t="s">
        <v>443</v>
      </c>
      <c r="D547" s="50"/>
      <c r="E547" s="51"/>
      <c r="F547" s="50" t="s">
        <v>448</v>
      </c>
      <c r="G547" s="52" t="s">
        <v>353</v>
      </c>
      <c r="H547" s="50">
        <v>8.0500000000000007</v>
      </c>
      <c r="I547" s="53"/>
      <c r="J547" s="50">
        <v>8.0500000000000007</v>
      </c>
      <c r="K547" s="53"/>
      <c r="L547" s="50">
        <v>8.0500000000000007</v>
      </c>
      <c r="M547" s="57"/>
      <c r="N547" s="55">
        <v>5.6134259259259271E-3</v>
      </c>
      <c r="O547" s="57"/>
      <c r="P547" s="57"/>
      <c r="Q547" s="59">
        <f>IF(MIN(IF(ISBLANK(O547),N547,O547),IF(ISBLANK(N547),O547,N547))=0,"",MIN(IF(ISBLANK(O547),N547,O547),IF(ISBLANK(N547),O547,N547)))</f>
        <v>5.6134259259259271E-3</v>
      </c>
      <c r="R547" s="57"/>
      <c r="S547" s="57"/>
      <c r="T547" s="59">
        <f>IF(MIN(IF(ISBLANK(R547),Q547,R547),IF(ISBLANK(Q547),R547,Q547))=0,"",MIN(IF(ISBLANK(R547),Q547,R547),IF(ISBLANK(Q547),R547,Q547)))</f>
        <v>5.6134259259259271E-3</v>
      </c>
      <c r="U547" s="57"/>
      <c r="V547" s="57"/>
      <c r="W547" s="59">
        <f>IF(MIN(IF(ISBLANK(U547),T547,U547),IF(ISBLANK(T547),U547,T547))=0,"",MIN(IF(ISBLANK(U547),T547,U547),IF(ISBLANK(T547),U547,T547)))</f>
        <v>5.6134259259259271E-3</v>
      </c>
      <c r="X547" s="57"/>
      <c r="Y547" s="57"/>
      <c r="Z547" s="59">
        <f>IF(MIN(IF(ISBLANK(X547),W547,X547),IF(ISBLANK(W547),X547,W547))=0,"",MIN(IF(ISBLANK(X547),W547,X547),IF(ISBLANK(W547),X547,W547)))</f>
        <v>5.6134259259259271E-3</v>
      </c>
      <c r="AA547" s="57"/>
      <c r="AB547" s="57"/>
      <c r="AC547" s="59">
        <f>IF(MIN(IF(ISBLANK(Z547),AA547,Z547),IF(ISBLANK(AA547),Z547,AA547))=0,"",MIN(IF(ISBLANK(Z547),AA547,Z547),IF(ISBLANK(AA547),Z547,AA547)))</f>
        <v>5.6134259259259271E-3</v>
      </c>
      <c r="AD547" s="57"/>
      <c r="AE547" s="57"/>
      <c r="AF547" s="59">
        <f t="shared" si="214"/>
        <v>5.6134259259259271E-3</v>
      </c>
      <c r="AG547" s="57"/>
      <c r="AH547" s="57"/>
      <c r="AI547" s="59">
        <f t="shared" si="215"/>
        <v>5.6134259259259271E-3</v>
      </c>
      <c r="AJ547" s="57"/>
      <c r="AK547" s="57"/>
      <c r="AL547" s="59">
        <f t="shared" si="216"/>
        <v>5.6134259259259271E-3</v>
      </c>
      <c r="AM547" s="57"/>
      <c r="AN547" s="57"/>
      <c r="AO547" s="59">
        <f t="shared" si="217"/>
        <v>5.6134259259259271E-3</v>
      </c>
      <c r="AP547" s="57"/>
      <c r="AQ547" s="59">
        <f t="shared" si="203"/>
        <v>5.6134259259259271E-3</v>
      </c>
      <c r="AR547" s="57"/>
      <c r="AS547" s="57"/>
      <c r="AT547" s="59">
        <f t="shared" si="204"/>
        <v>5.6134259259259271E-3</v>
      </c>
    </row>
    <row r="548" spans="1:46" hidden="1">
      <c r="A548" s="24"/>
      <c r="B548" s="26" t="s">
        <v>741</v>
      </c>
      <c r="C548" s="26"/>
      <c r="D548" s="50"/>
      <c r="E548" s="51"/>
      <c r="F548" s="50"/>
      <c r="G548" s="52"/>
      <c r="H548" s="50"/>
      <c r="I548" s="53"/>
      <c r="J548" s="50"/>
      <c r="K548" s="53"/>
      <c r="L548" s="50"/>
      <c r="M548" s="57"/>
      <c r="N548" s="55"/>
      <c r="O548" s="57"/>
      <c r="P548" s="57"/>
      <c r="Q548" s="59"/>
      <c r="R548" s="57"/>
      <c r="S548" s="57"/>
      <c r="T548" s="59"/>
      <c r="U548" s="57"/>
      <c r="V548" s="57"/>
      <c r="W548" s="59"/>
      <c r="X548" s="57"/>
      <c r="Y548" s="57"/>
      <c r="Z548" s="59"/>
      <c r="AA548" s="57"/>
      <c r="AB548" s="57"/>
      <c r="AC548" s="59"/>
      <c r="AD548" s="57"/>
      <c r="AE548" s="57"/>
      <c r="AF548" s="59" t="str">
        <f t="shared" si="214"/>
        <v/>
      </c>
      <c r="AG548" s="57"/>
      <c r="AH548" s="57"/>
      <c r="AI548" s="59" t="str">
        <f t="shared" si="215"/>
        <v/>
      </c>
      <c r="AJ548" s="57"/>
      <c r="AK548" s="57"/>
      <c r="AL548" s="59" t="str">
        <f t="shared" si="216"/>
        <v/>
      </c>
      <c r="AM548" s="57"/>
      <c r="AN548" s="57"/>
      <c r="AO548" s="59" t="str">
        <f t="shared" si="217"/>
        <v/>
      </c>
      <c r="AP548" s="57"/>
      <c r="AQ548" s="59" t="str">
        <f t="shared" si="203"/>
        <v/>
      </c>
      <c r="AR548" s="57"/>
      <c r="AS548" s="57"/>
      <c r="AT548" s="59" t="str">
        <f t="shared" si="204"/>
        <v/>
      </c>
    </row>
    <row r="549" spans="1:46" hidden="1">
      <c r="A549" s="24"/>
      <c r="B549" s="26" t="s">
        <v>154</v>
      </c>
      <c r="C549" s="26"/>
      <c r="D549" s="50"/>
      <c r="E549" s="51"/>
      <c r="F549" s="50" t="s">
        <v>448</v>
      </c>
      <c r="G549" s="52"/>
      <c r="H549" s="50"/>
      <c r="I549" s="53"/>
      <c r="J549" s="50" t="s">
        <v>448</v>
      </c>
      <c r="K549" s="53"/>
      <c r="L549" s="50"/>
      <c r="M549" s="57"/>
      <c r="N549" s="55"/>
      <c r="O549" s="57"/>
      <c r="P549" s="57"/>
      <c r="Q549" s="59" t="str">
        <f>IF(MIN(IF(ISBLANK(O549),N549,O549),IF(ISBLANK(N549),O549,N549))=0,"",MIN(IF(ISBLANK(O549),N549,O549),IF(ISBLANK(N549),O549,N549)))</f>
        <v/>
      </c>
      <c r="R549" s="57"/>
      <c r="S549" s="57"/>
      <c r="T549" s="59" t="str">
        <f>IF(MIN(IF(ISBLANK(R549),Q549,R549),IF(ISBLANK(Q549),R549,Q549))=0,"",MIN(IF(ISBLANK(R549),Q549,R549),IF(ISBLANK(Q549),R549,Q549)))</f>
        <v/>
      </c>
      <c r="U549" s="57"/>
      <c r="V549" s="57"/>
      <c r="W549" s="59" t="str">
        <f>IF(MIN(IF(ISBLANK(U549),T549,U549),IF(ISBLANK(T549),U549,T549))=0,"",MIN(IF(ISBLANK(U549),T549,U549),IF(ISBLANK(T549),U549,T549)))</f>
        <v/>
      </c>
      <c r="X549" s="57"/>
      <c r="Y549" s="57"/>
      <c r="Z549" s="59" t="str">
        <f>IF(MIN(IF(ISBLANK(X549),W549,X549),IF(ISBLANK(W549),X549,W549))=0,"",MIN(IF(ISBLANK(X549),W549,X549),IF(ISBLANK(W549),X549,W549)))</f>
        <v/>
      </c>
      <c r="AA549" s="57"/>
      <c r="AB549" s="57"/>
      <c r="AC549" s="59" t="str">
        <f t="shared" ref="AC549:AC559" si="218">IF(MIN(IF(ISBLANK(Z549),AA549,Z549),IF(ISBLANK(AA549),Z549,AA549))=0,"",MIN(IF(ISBLANK(Z549),AA549,Z549),IF(ISBLANK(AA549),Z549,AA549)))</f>
        <v/>
      </c>
      <c r="AD549" s="57"/>
      <c r="AE549" s="57"/>
      <c r="AF549" s="59" t="str">
        <f t="shared" si="214"/>
        <v/>
      </c>
      <c r="AG549" s="57"/>
      <c r="AH549" s="57"/>
      <c r="AI549" s="59" t="str">
        <f t="shared" si="215"/>
        <v/>
      </c>
      <c r="AJ549" s="57"/>
      <c r="AK549" s="57"/>
      <c r="AL549" s="59" t="str">
        <f t="shared" si="216"/>
        <v/>
      </c>
      <c r="AM549" s="57"/>
      <c r="AN549" s="57"/>
      <c r="AO549" s="59" t="str">
        <f t="shared" si="217"/>
        <v/>
      </c>
      <c r="AP549" s="57"/>
      <c r="AQ549" s="59" t="str">
        <f t="shared" si="203"/>
        <v/>
      </c>
      <c r="AR549" s="57"/>
      <c r="AS549" s="57"/>
      <c r="AT549" s="59" t="str">
        <f t="shared" si="204"/>
        <v/>
      </c>
    </row>
    <row r="550" spans="1:46" hidden="1">
      <c r="A550" s="24"/>
      <c r="B550" s="26" t="s">
        <v>765</v>
      </c>
      <c r="C550" s="26"/>
      <c r="D550" s="50"/>
      <c r="E550" s="51"/>
      <c r="F550" s="50"/>
      <c r="G550" s="52"/>
      <c r="H550" s="50"/>
      <c r="I550" s="53"/>
      <c r="J550" s="50"/>
      <c r="K550" s="53"/>
      <c r="L550" s="50"/>
      <c r="M550" s="57"/>
      <c r="N550" s="55"/>
      <c r="O550" s="57">
        <v>1.0613425925925927E-2</v>
      </c>
      <c r="P550" s="57" t="s">
        <v>566</v>
      </c>
      <c r="Q550" s="59">
        <f>IF(MIN(IF(ISBLANK(O550),N550,O550),IF(ISBLANK(N550),O550,N550))=0,"",MIN(IF(ISBLANK(O550),N550,O550),IF(ISBLANK(N550),O550,N550)))</f>
        <v>1.0613425925925927E-2</v>
      </c>
      <c r="R550" s="57"/>
      <c r="S550" s="57"/>
      <c r="T550" s="59">
        <f>IF(MIN(IF(ISBLANK(R550),Q550,R550),IF(ISBLANK(Q550),R550,Q550))=0,"",MIN(IF(ISBLANK(R550),Q550,R550),IF(ISBLANK(Q550),R550,Q550)))</f>
        <v>1.0613425925925927E-2</v>
      </c>
      <c r="U550" s="57"/>
      <c r="V550" s="57"/>
      <c r="W550" s="59">
        <f>IF(MIN(IF(ISBLANK(U550),T550,U550),IF(ISBLANK(T550),U550,T550))=0,"",MIN(IF(ISBLANK(U550),T550,U550),IF(ISBLANK(T550),U550,T550)))</f>
        <v>1.0613425925925927E-2</v>
      </c>
      <c r="X550" s="57"/>
      <c r="Y550" s="57"/>
      <c r="Z550" s="59">
        <f>IF(MIN(IF(ISBLANK(X550),W550,X550),IF(ISBLANK(W550),X550,W550))=0,"",MIN(IF(ISBLANK(X550),W550,X550),IF(ISBLANK(W550),X550,W550)))</f>
        <v>1.0613425925925927E-2</v>
      </c>
      <c r="AA550" s="57"/>
      <c r="AB550" s="57"/>
      <c r="AC550" s="59">
        <f t="shared" si="218"/>
        <v>1.0613425925925927E-2</v>
      </c>
      <c r="AD550" s="57"/>
      <c r="AE550" s="57"/>
      <c r="AF550" s="59">
        <f t="shared" si="214"/>
        <v>1.0613425925925927E-2</v>
      </c>
      <c r="AG550" s="57"/>
      <c r="AH550" s="57"/>
      <c r="AI550" s="59">
        <f t="shared" si="215"/>
        <v>1.0613425925925927E-2</v>
      </c>
      <c r="AJ550" s="57"/>
      <c r="AK550" s="57"/>
      <c r="AL550" s="59">
        <f t="shared" si="216"/>
        <v>1.0613425925925927E-2</v>
      </c>
      <c r="AM550" s="57"/>
      <c r="AN550" s="57"/>
      <c r="AO550" s="59">
        <f t="shared" si="217"/>
        <v>1.0613425925925927E-2</v>
      </c>
      <c r="AP550" s="57"/>
      <c r="AQ550" s="59">
        <f t="shared" si="203"/>
        <v>1.0613425925925927E-2</v>
      </c>
      <c r="AR550" s="57"/>
      <c r="AS550" s="57"/>
      <c r="AT550" s="59">
        <f t="shared" si="204"/>
        <v>1.0613425925925927E-2</v>
      </c>
    </row>
    <row r="551" spans="1:46">
      <c r="A551" s="24" t="s">
        <v>792</v>
      </c>
      <c r="B551" s="26" t="s">
        <v>766</v>
      </c>
      <c r="C551" s="26"/>
      <c r="D551" s="50"/>
      <c r="E551" s="51"/>
      <c r="F551" s="50"/>
      <c r="G551" s="52"/>
      <c r="H551" s="50"/>
      <c r="I551" s="53"/>
      <c r="J551" s="50"/>
      <c r="K551" s="54"/>
      <c r="L551" s="50"/>
      <c r="M551" s="56"/>
      <c r="N551" s="55"/>
      <c r="O551" s="56"/>
      <c r="P551" s="56"/>
      <c r="Q551" s="59"/>
      <c r="R551" s="56"/>
      <c r="S551" s="56"/>
      <c r="T551" s="59"/>
      <c r="U551" s="56"/>
      <c r="V551" s="56"/>
      <c r="W551" s="59"/>
      <c r="X551" s="56"/>
      <c r="Y551" s="56"/>
      <c r="Z551" s="59"/>
      <c r="AA551" s="57">
        <v>6.9444444444444441E-3</v>
      </c>
      <c r="AB551" s="56"/>
      <c r="AC551" s="59">
        <f t="shared" si="218"/>
        <v>6.9444444444444441E-3</v>
      </c>
      <c r="AD551" s="57"/>
      <c r="AE551" s="56"/>
      <c r="AF551" s="59">
        <f t="shared" si="214"/>
        <v>6.9444444444444441E-3</v>
      </c>
      <c r="AG551" s="57">
        <v>6.6435185185185182E-3</v>
      </c>
      <c r="AH551" s="56"/>
      <c r="AI551" s="59">
        <f t="shared" si="215"/>
        <v>6.6435185185185182E-3</v>
      </c>
      <c r="AJ551" s="57">
        <v>6.7361111111111103E-3</v>
      </c>
      <c r="AK551" s="56"/>
      <c r="AL551" s="59">
        <f t="shared" si="216"/>
        <v>6.6435185185185182E-3</v>
      </c>
      <c r="AM551" s="57"/>
      <c r="AN551" s="56"/>
      <c r="AO551" s="59">
        <f t="shared" si="217"/>
        <v>6.6435185185185182E-3</v>
      </c>
      <c r="AP551" s="57"/>
      <c r="AQ551" s="59">
        <f t="shared" si="203"/>
        <v>6.6435185185185182E-3</v>
      </c>
      <c r="AR551" s="57"/>
      <c r="AS551" s="57"/>
      <c r="AT551" s="59">
        <f t="shared" si="204"/>
        <v>6.6435185185185182E-3</v>
      </c>
    </row>
    <row r="552" spans="1:46">
      <c r="A552" s="24" t="s">
        <v>792</v>
      </c>
      <c r="B552" s="26" t="s">
        <v>160</v>
      </c>
      <c r="C552" s="26" t="s">
        <v>443</v>
      </c>
      <c r="D552" s="50">
        <v>7.55</v>
      </c>
      <c r="E552" s="51"/>
      <c r="F552" s="50">
        <v>7.55</v>
      </c>
      <c r="G552" s="52">
        <v>7.52</v>
      </c>
      <c r="H552" s="50">
        <v>7.52</v>
      </c>
      <c r="I552" s="53"/>
      <c r="J552" s="50">
        <v>7.52</v>
      </c>
      <c r="K552" s="53"/>
      <c r="L552" s="50">
        <v>7.52</v>
      </c>
      <c r="M552" s="57"/>
      <c r="N552" s="55">
        <v>5.4629629629629637E-3</v>
      </c>
      <c r="O552" s="57"/>
      <c r="P552" s="57"/>
      <c r="Q552" s="59">
        <f>IF(MIN(IF(ISBLANK(O552),N552,O552),IF(ISBLANK(N552),O552,N552))=0,"",MIN(IF(ISBLANK(O552),N552,O552),IF(ISBLANK(N552),O552,N552)))</f>
        <v>5.4629629629629637E-3</v>
      </c>
      <c r="R552" s="57">
        <v>5.5439814814814822E-3</v>
      </c>
      <c r="S552" s="57"/>
      <c r="T552" s="59">
        <f>IF(MIN(IF(ISBLANK(R552),Q552,R552),IF(ISBLANK(Q552),R552,Q552))=0,"",MIN(IF(ISBLANK(R552),Q552,R552),IF(ISBLANK(Q552),R552,Q552)))</f>
        <v>5.4629629629629637E-3</v>
      </c>
      <c r="U552" s="57">
        <v>5.4976851851851853E-3</v>
      </c>
      <c r="V552" s="57"/>
      <c r="W552" s="59">
        <f>IF(MIN(IF(ISBLANK(U552),T552,U552),IF(ISBLANK(T552),U552,T552))=0,"",MIN(IF(ISBLANK(U552),T552,U552),IF(ISBLANK(T552),U552,T552)))</f>
        <v>5.4629629629629637E-3</v>
      </c>
      <c r="X552" s="57"/>
      <c r="Y552" s="57"/>
      <c r="Z552" s="59">
        <f t="shared" ref="Z552:Z559" si="219">IF(MIN(IF(ISBLANK(X552),W552,X552),IF(ISBLANK(W552),X552,W552))=0,"",MIN(IF(ISBLANK(X552),W552,X552),IF(ISBLANK(W552),X552,W552)))</f>
        <v>5.4629629629629637E-3</v>
      </c>
      <c r="AA552" s="57"/>
      <c r="AB552" s="57"/>
      <c r="AC552" s="59">
        <f t="shared" si="218"/>
        <v>5.4629629629629637E-3</v>
      </c>
      <c r="AD552" s="57"/>
      <c r="AE552" s="57"/>
      <c r="AF552" s="59">
        <f t="shared" si="214"/>
        <v>5.4629629629629637E-3</v>
      </c>
      <c r="AG552" s="57"/>
      <c r="AH552" s="57"/>
      <c r="AI552" s="59">
        <f t="shared" si="215"/>
        <v>5.4629629629629637E-3</v>
      </c>
      <c r="AJ552" s="57"/>
      <c r="AK552" s="57"/>
      <c r="AL552" s="59">
        <f t="shared" si="216"/>
        <v>5.4629629629629637E-3</v>
      </c>
      <c r="AM552" s="57"/>
      <c r="AN552" s="57"/>
      <c r="AO552" s="59">
        <f t="shared" si="217"/>
        <v>5.4629629629629637E-3</v>
      </c>
      <c r="AP552" s="57"/>
      <c r="AQ552" s="59">
        <f t="shared" si="203"/>
        <v>5.4629629629629637E-3</v>
      </c>
      <c r="AR552" s="57"/>
      <c r="AS552" s="57"/>
      <c r="AT552" s="59">
        <f t="shared" si="204"/>
        <v>5.4629629629629637E-3</v>
      </c>
    </row>
    <row r="553" spans="1:46" hidden="1">
      <c r="A553" s="24"/>
      <c r="B553" s="26" t="s">
        <v>661</v>
      </c>
      <c r="C553" s="26"/>
      <c r="D553" s="50"/>
      <c r="E553" s="51"/>
      <c r="F553" s="50"/>
      <c r="G553" s="52"/>
      <c r="H553" s="50"/>
      <c r="I553" s="53"/>
      <c r="J553" s="50"/>
      <c r="K553" s="53"/>
      <c r="L553" s="50"/>
      <c r="M553" s="57"/>
      <c r="N553" s="55"/>
      <c r="O553" s="57"/>
      <c r="P553" s="57"/>
      <c r="Q553" s="59"/>
      <c r="R553" s="57"/>
      <c r="S553" s="57"/>
      <c r="T553" s="59"/>
      <c r="U553" s="57"/>
      <c r="V553" s="57"/>
      <c r="W553" s="59"/>
      <c r="X553" s="57"/>
      <c r="Y553" s="57"/>
      <c r="Z553" s="59" t="str">
        <f t="shared" si="219"/>
        <v/>
      </c>
      <c r="AA553" s="57"/>
      <c r="AB553" s="57"/>
      <c r="AC553" s="59" t="str">
        <f t="shared" si="218"/>
        <v/>
      </c>
      <c r="AD553" s="57"/>
      <c r="AE553" s="57"/>
      <c r="AF553" s="59" t="str">
        <f t="shared" si="214"/>
        <v/>
      </c>
      <c r="AG553" s="57"/>
      <c r="AH553" s="57"/>
      <c r="AI553" s="59" t="str">
        <f t="shared" si="215"/>
        <v/>
      </c>
      <c r="AJ553" s="57"/>
      <c r="AK553" s="57"/>
      <c r="AL553" s="59" t="str">
        <f t="shared" si="216"/>
        <v/>
      </c>
      <c r="AM553" s="57"/>
      <c r="AN553" s="57"/>
      <c r="AO553" s="59" t="str">
        <f t="shared" si="217"/>
        <v/>
      </c>
      <c r="AP553" s="57"/>
      <c r="AQ553" s="59" t="str">
        <f t="shared" si="203"/>
        <v/>
      </c>
      <c r="AR553" s="57"/>
      <c r="AS553" s="57"/>
      <c r="AT553" s="59" t="str">
        <f t="shared" si="204"/>
        <v/>
      </c>
    </row>
    <row r="554" spans="1:46" hidden="1">
      <c r="A554" s="24"/>
      <c r="B554" s="26" t="s">
        <v>414</v>
      </c>
      <c r="C554" s="26" t="s">
        <v>444</v>
      </c>
      <c r="D554" s="50"/>
      <c r="E554" s="51"/>
      <c r="F554" s="50"/>
      <c r="G554" s="52"/>
      <c r="H554" s="50"/>
      <c r="I554" s="53"/>
      <c r="J554" s="50" t="s">
        <v>448</v>
      </c>
      <c r="K554" s="53"/>
      <c r="L554" s="50"/>
      <c r="M554" s="57">
        <v>6.1574074074074074E-3</v>
      </c>
      <c r="N554" s="55">
        <v>6.1574074074074074E-3</v>
      </c>
      <c r="O554" s="57"/>
      <c r="P554" s="57"/>
      <c r="Q554" s="59">
        <f>IF(MIN(IF(ISBLANK(O554),N554,O554),IF(ISBLANK(N554),O554,N554))=0,"",MIN(IF(ISBLANK(O554),N554,O554),IF(ISBLANK(N554),O554,N554)))</f>
        <v>6.1574074074074074E-3</v>
      </c>
      <c r="R554" s="57"/>
      <c r="S554" s="57"/>
      <c r="T554" s="59">
        <f>IF(MIN(IF(ISBLANK(R554),Q554,R554),IF(ISBLANK(Q554),R554,Q554))=0,"",MIN(IF(ISBLANK(R554),Q554,R554),IF(ISBLANK(Q554),R554,Q554)))</f>
        <v>6.1574074074074074E-3</v>
      </c>
      <c r="U554" s="57"/>
      <c r="V554" s="57"/>
      <c r="W554" s="59">
        <f>IF(MIN(IF(ISBLANK(U554),T554,U554),IF(ISBLANK(T554),U554,T554))=0,"",MIN(IF(ISBLANK(U554),T554,U554),IF(ISBLANK(T554),U554,T554)))</f>
        <v>6.1574074074074074E-3</v>
      </c>
      <c r="X554" s="57"/>
      <c r="Y554" s="57"/>
      <c r="Z554" s="59">
        <f t="shared" si="219"/>
        <v>6.1574074074074074E-3</v>
      </c>
      <c r="AA554" s="57"/>
      <c r="AB554" s="57"/>
      <c r="AC554" s="59">
        <f t="shared" si="218"/>
        <v>6.1574074074074074E-3</v>
      </c>
      <c r="AD554" s="57"/>
      <c r="AE554" s="57"/>
      <c r="AF554" s="59">
        <f t="shared" si="214"/>
        <v>6.1574074074074074E-3</v>
      </c>
      <c r="AG554" s="57"/>
      <c r="AH554" s="57"/>
      <c r="AI554" s="59">
        <f t="shared" si="215"/>
        <v>6.1574074074074074E-3</v>
      </c>
      <c r="AJ554" s="57"/>
      <c r="AK554" s="57"/>
      <c r="AL554" s="59">
        <f t="shared" si="216"/>
        <v>6.1574074074074074E-3</v>
      </c>
      <c r="AM554" s="57"/>
      <c r="AN554" s="57"/>
      <c r="AO554" s="59">
        <f t="shared" si="217"/>
        <v>6.1574074074074074E-3</v>
      </c>
      <c r="AP554" s="57"/>
      <c r="AQ554" s="59">
        <f t="shared" si="203"/>
        <v>6.1574074074074074E-3</v>
      </c>
      <c r="AR554" s="57"/>
      <c r="AS554" s="57"/>
      <c r="AT554" s="59">
        <f t="shared" si="204"/>
        <v>6.1574074074074074E-3</v>
      </c>
    </row>
    <row r="555" spans="1:46" hidden="1">
      <c r="A555" s="24"/>
      <c r="B555" s="26" t="s">
        <v>167</v>
      </c>
      <c r="C555" s="26" t="s">
        <v>443</v>
      </c>
      <c r="D555" s="50" t="s">
        <v>220</v>
      </c>
      <c r="E555" s="51"/>
      <c r="F555" s="50" t="s">
        <v>220</v>
      </c>
      <c r="G555" s="52"/>
      <c r="H555" s="50" t="s">
        <v>220</v>
      </c>
      <c r="I555" s="53"/>
      <c r="J555" s="50" t="s">
        <v>220</v>
      </c>
      <c r="K555" s="53"/>
      <c r="L555" s="50" t="s">
        <v>220</v>
      </c>
      <c r="M555" s="57"/>
      <c r="N555" s="55">
        <v>6.1342592592592594E-3</v>
      </c>
      <c r="O555" s="57"/>
      <c r="P555" s="57"/>
      <c r="Q555" s="59">
        <f>IF(MIN(IF(ISBLANK(O555),N555,O555),IF(ISBLANK(N555),O555,N555))=0,"",MIN(IF(ISBLANK(O555),N555,O555),IF(ISBLANK(N555),O555,N555)))</f>
        <v>6.1342592592592594E-3</v>
      </c>
      <c r="R555" s="57"/>
      <c r="S555" s="57"/>
      <c r="T555" s="59">
        <f>IF(MIN(IF(ISBLANK(R555),Q555,R555),IF(ISBLANK(Q555),R555,Q555))=0,"",MIN(IF(ISBLANK(R555),Q555,R555),IF(ISBLANK(Q555),R555,Q555)))</f>
        <v>6.1342592592592594E-3</v>
      </c>
      <c r="U555" s="57"/>
      <c r="V555" s="57"/>
      <c r="W555" s="59">
        <f>IF(MIN(IF(ISBLANK(U555),T555,U555),IF(ISBLANK(T555),U555,T555))=0,"",MIN(IF(ISBLANK(U555),T555,U555),IF(ISBLANK(T555),U555,T555)))</f>
        <v>6.1342592592592594E-3</v>
      </c>
      <c r="X555" s="57"/>
      <c r="Y555" s="57"/>
      <c r="Z555" s="59">
        <f t="shared" si="219"/>
        <v>6.1342592592592594E-3</v>
      </c>
      <c r="AA555" s="57"/>
      <c r="AB555" s="57"/>
      <c r="AC555" s="59">
        <f t="shared" si="218"/>
        <v>6.1342592592592594E-3</v>
      </c>
      <c r="AD555" s="57"/>
      <c r="AE555" s="57"/>
      <c r="AF555" s="59">
        <f t="shared" si="214"/>
        <v>6.1342592592592594E-3</v>
      </c>
      <c r="AG555" s="57"/>
      <c r="AH555" s="57"/>
      <c r="AI555" s="59">
        <f t="shared" si="215"/>
        <v>6.1342592592592594E-3</v>
      </c>
      <c r="AJ555" s="57"/>
      <c r="AK555" s="57"/>
      <c r="AL555" s="59">
        <f t="shared" si="216"/>
        <v>6.1342592592592594E-3</v>
      </c>
      <c r="AM555" s="57"/>
      <c r="AN555" s="57"/>
      <c r="AO555" s="59">
        <f t="shared" si="217"/>
        <v>6.1342592592592594E-3</v>
      </c>
      <c r="AP555" s="57"/>
      <c r="AQ555" s="59">
        <f t="shared" si="203"/>
        <v>6.1342592592592594E-3</v>
      </c>
      <c r="AR555" s="57"/>
      <c r="AS555" s="57"/>
      <c r="AT555" s="59">
        <f t="shared" si="204"/>
        <v>6.1342592592592594E-3</v>
      </c>
    </row>
    <row r="556" spans="1:46" hidden="1">
      <c r="A556" s="24"/>
      <c r="B556" s="26" t="s">
        <v>174</v>
      </c>
      <c r="C556" s="26" t="s">
        <v>443</v>
      </c>
      <c r="D556" s="50">
        <v>7.38</v>
      </c>
      <c r="E556" s="51" t="s">
        <v>261</v>
      </c>
      <c r="F556" s="50">
        <v>7.38</v>
      </c>
      <c r="G556" s="52" t="s">
        <v>354</v>
      </c>
      <c r="H556" s="50">
        <v>7.38</v>
      </c>
      <c r="I556" s="53"/>
      <c r="J556" s="50">
        <v>7.38</v>
      </c>
      <c r="K556" s="53"/>
      <c r="L556" s="50">
        <v>7.38</v>
      </c>
      <c r="M556" s="57"/>
      <c r="N556" s="55">
        <v>5.3009259259259251E-3</v>
      </c>
      <c r="O556" s="57">
        <v>5.7291666666666671E-3</v>
      </c>
      <c r="P556" s="57"/>
      <c r="Q556" s="59">
        <f>IF(MIN(IF(ISBLANK(O556),N556,O556),IF(ISBLANK(N556),O556,N556))=0,"",MIN(IF(ISBLANK(O556),N556,O556),IF(ISBLANK(N556),O556,N556)))</f>
        <v>5.3009259259259251E-3</v>
      </c>
      <c r="R556" s="57"/>
      <c r="S556" s="57"/>
      <c r="T556" s="59">
        <f>IF(MIN(IF(ISBLANK(R556),Q556,R556),IF(ISBLANK(Q556),R556,Q556))=0,"",MIN(IF(ISBLANK(R556),Q556,R556),IF(ISBLANK(Q556),R556,Q556)))</f>
        <v>5.3009259259259251E-3</v>
      </c>
      <c r="U556" s="57">
        <v>5.7638888888888887E-3</v>
      </c>
      <c r="V556" s="57"/>
      <c r="W556" s="59">
        <f>IF(MIN(IF(ISBLANK(U556),T556,U556),IF(ISBLANK(T556),U556,T556))=0,"",MIN(IF(ISBLANK(U556),T556,U556),IF(ISBLANK(T556),U556,T556)))</f>
        <v>5.3009259259259251E-3</v>
      </c>
      <c r="X556" s="57"/>
      <c r="Y556" s="57"/>
      <c r="Z556" s="59">
        <f t="shared" si="219"/>
        <v>5.3009259259259251E-3</v>
      </c>
      <c r="AA556" s="57"/>
      <c r="AB556" s="57"/>
      <c r="AC556" s="59">
        <f t="shared" si="218"/>
        <v>5.3009259259259251E-3</v>
      </c>
      <c r="AD556" s="57"/>
      <c r="AE556" s="57"/>
      <c r="AF556" s="59">
        <f t="shared" si="214"/>
        <v>5.3009259259259251E-3</v>
      </c>
      <c r="AG556" s="57"/>
      <c r="AH556" s="57"/>
      <c r="AI556" s="59">
        <f t="shared" si="215"/>
        <v>5.3009259259259251E-3</v>
      </c>
      <c r="AJ556" s="57"/>
      <c r="AK556" s="57"/>
      <c r="AL556" s="59">
        <f t="shared" si="216"/>
        <v>5.3009259259259251E-3</v>
      </c>
      <c r="AM556" s="57"/>
      <c r="AN556" s="57"/>
      <c r="AO556" s="59">
        <f t="shared" si="217"/>
        <v>5.3009259259259251E-3</v>
      </c>
      <c r="AP556" s="57"/>
      <c r="AQ556" s="59">
        <f t="shared" si="203"/>
        <v>5.3009259259259251E-3</v>
      </c>
      <c r="AR556" s="57"/>
      <c r="AS556" s="57"/>
      <c r="AT556" s="59">
        <f t="shared" si="204"/>
        <v>5.3009259259259251E-3</v>
      </c>
    </row>
    <row r="557" spans="1:46" hidden="1">
      <c r="A557" s="24"/>
      <c r="B557" s="26" t="s">
        <v>263</v>
      </c>
      <c r="C557" s="26"/>
      <c r="D557" s="50">
        <v>8.4499999999999993</v>
      </c>
      <c r="E557" s="51"/>
      <c r="F557" s="50">
        <v>8.4499999999999993</v>
      </c>
      <c r="G557" s="52"/>
      <c r="H557" s="50">
        <v>8.4499999999999993</v>
      </c>
      <c r="I557" s="53"/>
      <c r="J557" s="50">
        <v>8.4499999999999993</v>
      </c>
      <c r="K557" s="53"/>
      <c r="L557" s="50">
        <v>8.4499999999999993</v>
      </c>
      <c r="M557" s="57"/>
      <c r="N557" s="55">
        <v>6.076388888888889E-3</v>
      </c>
      <c r="O557" s="57"/>
      <c r="P557" s="57"/>
      <c r="Q557" s="59">
        <f>IF(MIN(IF(ISBLANK(O557),N557,O557),IF(ISBLANK(N557),O557,N557))=0,"",MIN(IF(ISBLANK(O557),N557,O557),IF(ISBLANK(N557),O557,N557)))</f>
        <v>6.076388888888889E-3</v>
      </c>
      <c r="R557" s="57"/>
      <c r="S557" s="57"/>
      <c r="T557" s="59">
        <f>IF(MIN(IF(ISBLANK(R557),Q557,R557),IF(ISBLANK(Q557),R557,Q557))=0,"",MIN(IF(ISBLANK(R557),Q557,R557),IF(ISBLANK(Q557),R557,Q557)))</f>
        <v>6.076388888888889E-3</v>
      </c>
      <c r="U557" s="57"/>
      <c r="V557" s="57"/>
      <c r="W557" s="59">
        <f>IF(MIN(IF(ISBLANK(U557),T557,U557),IF(ISBLANK(T557),U557,T557))=0,"",MIN(IF(ISBLANK(U557),T557,U557),IF(ISBLANK(T557),U557,T557)))</f>
        <v>6.076388888888889E-3</v>
      </c>
      <c r="X557" s="57"/>
      <c r="Y557" s="57"/>
      <c r="Z557" s="59">
        <f t="shared" si="219"/>
        <v>6.076388888888889E-3</v>
      </c>
      <c r="AA557" s="57"/>
      <c r="AB557" s="57"/>
      <c r="AC557" s="59">
        <f t="shared" si="218"/>
        <v>6.076388888888889E-3</v>
      </c>
      <c r="AD557" s="57"/>
      <c r="AE557" s="57"/>
      <c r="AF557" s="59">
        <f t="shared" si="214"/>
        <v>6.076388888888889E-3</v>
      </c>
      <c r="AG557" s="57"/>
      <c r="AH557" s="57"/>
      <c r="AI557" s="59">
        <f t="shared" si="215"/>
        <v>6.076388888888889E-3</v>
      </c>
      <c r="AJ557" s="57"/>
      <c r="AK557" s="57"/>
      <c r="AL557" s="59">
        <f t="shared" si="216"/>
        <v>6.076388888888889E-3</v>
      </c>
      <c r="AM557" s="57"/>
      <c r="AN557" s="57"/>
      <c r="AO557" s="59">
        <f t="shared" si="217"/>
        <v>6.076388888888889E-3</v>
      </c>
      <c r="AP557" s="57"/>
      <c r="AQ557" s="59">
        <f t="shared" si="203"/>
        <v>6.076388888888889E-3</v>
      </c>
      <c r="AR557" s="57"/>
      <c r="AS557" s="57"/>
      <c r="AT557" s="59">
        <f t="shared" si="204"/>
        <v>6.076388888888889E-3</v>
      </c>
    </row>
    <row r="558" spans="1:46" hidden="1">
      <c r="A558" s="24"/>
      <c r="B558" s="26" t="s">
        <v>662</v>
      </c>
      <c r="C558" s="26"/>
      <c r="D558" s="50"/>
      <c r="E558" s="51"/>
      <c r="F558" s="50"/>
      <c r="G558" s="52"/>
      <c r="H558" s="50"/>
      <c r="I558" s="53"/>
      <c r="J558" s="50"/>
      <c r="K558" s="53"/>
      <c r="L558" s="50"/>
      <c r="M558" s="57"/>
      <c r="N558" s="55"/>
      <c r="O558" s="57"/>
      <c r="P558" s="57"/>
      <c r="Q558" s="59"/>
      <c r="R558" s="57"/>
      <c r="S558" s="57"/>
      <c r="T558" s="59"/>
      <c r="U558" s="57"/>
      <c r="V558" s="57"/>
      <c r="W558" s="59"/>
      <c r="X558" s="57"/>
      <c r="Y558" s="57"/>
      <c r="Z558" s="59" t="str">
        <f t="shared" si="219"/>
        <v/>
      </c>
      <c r="AA558" s="57"/>
      <c r="AB558" s="57"/>
      <c r="AC558" s="59" t="str">
        <f t="shared" si="218"/>
        <v/>
      </c>
      <c r="AD558" s="57"/>
      <c r="AE558" s="57"/>
      <c r="AF558" s="59" t="str">
        <f t="shared" si="214"/>
        <v/>
      </c>
      <c r="AG558" s="57"/>
      <c r="AH558" s="57"/>
      <c r="AI558" s="59" t="str">
        <f t="shared" si="215"/>
        <v/>
      </c>
      <c r="AJ558" s="57"/>
      <c r="AK558" s="57"/>
      <c r="AL558" s="59" t="str">
        <f t="shared" si="216"/>
        <v/>
      </c>
      <c r="AM558" s="57"/>
      <c r="AN558" s="57"/>
      <c r="AO558" s="59" t="str">
        <f t="shared" si="217"/>
        <v/>
      </c>
      <c r="AP558" s="57"/>
      <c r="AQ558" s="59" t="str">
        <f t="shared" si="203"/>
        <v/>
      </c>
      <c r="AR558" s="57"/>
      <c r="AS558" s="57"/>
      <c r="AT558" s="59" t="str">
        <f t="shared" si="204"/>
        <v/>
      </c>
    </row>
    <row r="559" spans="1:46" hidden="1">
      <c r="A559" s="24"/>
      <c r="B559" s="26" t="s">
        <v>615</v>
      </c>
      <c r="C559" s="26"/>
      <c r="D559" s="50"/>
      <c r="E559" s="51"/>
      <c r="F559" s="50"/>
      <c r="G559" s="52"/>
      <c r="H559" s="50"/>
      <c r="I559" s="53"/>
      <c r="J559" s="50"/>
      <c r="K559" s="53"/>
      <c r="L559" s="50"/>
      <c r="M559" s="57"/>
      <c r="N559" s="55"/>
      <c r="O559" s="57"/>
      <c r="P559" s="57"/>
      <c r="Q559" s="59"/>
      <c r="R559" s="57"/>
      <c r="S559" s="57"/>
      <c r="T559" s="59" t="str">
        <f>IF(MIN(IF(ISBLANK(R559),Q559,R559),IF(ISBLANK(Q559),R559,Q559))=0,"",MIN(IF(ISBLANK(R559),Q559,R559),IF(ISBLANK(Q559),R559,Q559)))</f>
        <v/>
      </c>
      <c r="U559" s="57">
        <v>5.8101851851851856E-3</v>
      </c>
      <c r="V559" s="57"/>
      <c r="W559" s="59">
        <f>IF(MIN(IF(ISBLANK(U559),T559,U559),IF(ISBLANK(T559),U559,T559))=0,"",MIN(IF(ISBLANK(U559),T559,U559),IF(ISBLANK(T559),U559,T559)))</f>
        <v>5.8101851851851856E-3</v>
      </c>
      <c r="X559" s="57">
        <v>5.6249999999999989E-3</v>
      </c>
      <c r="Y559" s="57"/>
      <c r="Z559" s="59">
        <f t="shared" si="219"/>
        <v>5.6249999999999989E-3</v>
      </c>
      <c r="AA559" s="57"/>
      <c r="AB559" s="57"/>
      <c r="AC559" s="59">
        <f t="shared" si="218"/>
        <v>5.6249999999999989E-3</v>
      </c>
      <c r="AD559" s="57"/>
      <c r="AE559" s="57"/>
      <c r="AF559" s="59">
        <f t="shared" si="214"/>
        <v>5.6249999999999989E-3</v>
      </c>
      <c r="AG559" s="57"/>
      <c r="AH559" s="57"/>
      <c r="AI559" s="59">
        <f t="shared" si="215"/>
        <v>5.6249999999999989E-3</v>
      </c>
      <c r="AJ559" s="57"/>
      <c r="AK559" s="57"/>
      <c r="AL559" s="59">
        <f t="shared" si="216"/>
        <v>5.6249999999999989E-3</v>
      </c>
      <c r="AM559" s="57"/>
      <c r="AN559" s="57"/>
      <c r="AO559" s="59">
        <f t="shared" si="217"/>
        <v>5.6249999999999989E-3</v>
      </c>
      <c r="AP559" s="57"/>
      <c r="AQ559" s="59">
        <f t="shared" si="203"/>
        <v>5.6249999999999989E-3</v>
      </c>
      <c r="AR559" s="57"/>
      <c r="AS559" s="57"/>
      <c r="AT559" s="59">
        <f t="shared" si="204"/>
        <v>5.6249999999999989E-3</v>
      </c>
    </row>
    <row r="560" spans="1:46" hidden="1">
      <c r="A560" s="24"/>
      <c r="B560" s="26" t="s">
        <v>801</v>
      </c>
      <c r="C560" s="26"/>
      <c r="D560" s="50"/>
      <c r="E560" s="51"/>
      <c r="F560" s="50"/>
      <c r="G560" s="52"/>
      <c r="H560" s="50"/>
      <c r="I560" s="53"/>
      <c r="J560" s="50"/>
      <c r="K560" s="53"/>
      <c r="L560" s="50"/>
      <c r="M560" s="57"/>
      <c r="N560" s="55"/>
      <c r="O560" s="57"/>
      <c r="P560" s="57"/>
      <c r="Q560" s="59"/>
      <c r="R560" s="57"/>
      <c r="S560" s="57"/>
      <c r="T560" s="59"/>
      <c r="U560" s="57"/>
      <c r="V560" s="57"/>
      <c r="W560" s="59"/>
      <c r="X560" s="57"/>
      <c r="Y560" s="57"/>
      <c r="Z560" s="59"/>
      <c r="AA560" s="57"/>
      <c r="AB560" s="57"/>
      <c r="AC560" s="59"/>
      <c r="AD560" s="57"/>
      <c r="AE560" s="57"/>
      <c r="AF560" s="59"/>
      <c r="AG560" s="57"/>
      <c r="AH560" s="57"/>
      <c r="AI560" s="59"/>
      <c r="AJ560" s="57"/>
      <c r="AK560" s="57"/>
      <c r="AL560" s="59"/>
      <c r="AM560" s="57"/>
      <c r="AN560" s="57"/>
      <c r="AO560" s="59" t="str">
        <f t="shared" si="217"/>
        <v/>
      </c>
      <c r="AP560" s="57"/>
      <c r="AQ560" s="59" t="str">
        <f t="shared" si="203"/>
        <v/>
      </c>
      <c r="AR560" s="57"/>
      <c r="AS560" s="57"/>
      <c r="AT560" s="59" t="str">
        <f t="shared" si="204"/>
        <v/>
      </c>
    </row>
    <row r="561" spans="1:46">
      <c r="A561" s="24" t="s">
        <v>792</v>
      </c>
      <c r="B561" s="26" t="s">
        <v>663</v>
      </c>
      <c r="C561" s="26"/>
      <c r="D561" s="50"/>
      <c r="E561" s="51"/>
      <c r="F561" s="50"/>
      <c r="G561" s="52"/>
      <c r="H561" s="50"/>
      <c r="I561" s="53"/>
      <c r="J561" s="50"/>
      <c r="K561" s="53"/>
      <c r="L561" s="50"/>
      <c r="M561" s="57"/>
      <c r="N561" s="55"/>
      <c r="O561" s="57"/>
      <c r="P561" s="57"/>
      <c r="Q561" s="59"/>
      <c r="R561" s="57"/>
      <c r="S561" s="57"/>
      <c r="T561" s="59"/>
      <c r="U561" s="57"/>
      <c r="V561" s="57"/>
      <c r="W561" s="59"/>
      <c r="X561" s="57">
        <v>5.5324074074074069E-3</v>
      </c>
      <c r="Y561" s="57"/>
      <c r="Z561" s="59">
        <f>IF(MIN(IF(ISBLANK(X561),W561,X561),IF(ISBLANK(W561),X561,W561))=0,"",MIN(IF(ISBLANK(X561),W561,X561),IF(ISBLANK(W561),X561,W561)))</f>
        <v>5.5324074074074069E-3</v>
      </c>
      <c r="AA561" s="57">
        <v>5.4629629629629637E-3</v>
      </c>
      <c r="AB561" s="57"/>
      <c r="AC561" s="59">
        <f>IF(MIN(IF(ISBLANK(Z561),AA561,Z561),IF(ISBLANK(AA561),Z561,AA561))=0,"",MIN(IF(ISBLANK(Z561),AA561,Z561),IF(ISBLANK(AA561),Z561,AA561)))</f>
        <v>5.4629629629629637E-3</v>
      </c>
      <c r="AD561" s="57">
        <v>5.4861111111111117E-3</v>
      </c>
      <c r="AE561" s="57"/>
      <c r="AF561" s="59">
        <f>IF(MIN(IF(ISBLANK(AC561),AD561,AC561),IF(ISBLANK(AD561),AC561,AD561))=0,"",MIN(IF(ISBLANK(AC561),AD561,AC561),IF(ISBLANK(AD561),AC561,AD561)))</f>
        <v>5.4629629629629637E-3</v>
      </c>
      <c r="AG561" s="57"/>
      <c r="AH561" s="57"/>
      <c r="AI561" s="59">
        <f>IF(MIN(IF(ISBLANK(AF561),AG561,AF561),IF(ISBLANK(AG561),AF561,AG561))=0,"",MIN(IF(ISBLANK(AF561),AG561,AF561),IF(ISBLANK(AG561),AF561,AG561)))</f>
        <v>5.4629629629629637E-3</v>
      </c>
      <c r="AJ561" s="57"/>
      <c r="AK561" s="57"/>
      <c r="AL561" s="59">
        <f>IF(MIN(IF(ISBLANK(AI561),AJ561,AI561),IF(ISBLANK(AJ561),AI561,AJ561))=0,"",MIN(IF(ISBLANK(AI561),AJ561,AI561),IF(ISBLANK(AJ561),AI561,AJ561)))</f>
        <v>5.4629629629629637E-3</v>
      </c>
      <c r="AM561" s="57"/>
      <c r="AN561" s="57"/>
      <c r="AO561" s="59">
        <f t="shared" si="217"/>
        <v>5.4629629629629637E-3</v>
      </c>
      <c r="AP561" s="57"/>
      <c r="AQ561" s="59">
        <f t="shared" si="203"/>
        <v>5.4629629629629637E-3</v>
      </c>
      <c r="AR561" s="57"/>
      <c r="AS561" s="57"/>
      <c r="AT561" s="59">
        <f t="shared" si="204"/>
        <v>5.4629629629629637E-3</v>
      </c>
    </row>
    <row r="562" spans="1:46" hidden="1">
      <c r="A562" s="24"/>
      <c r="B562" s="26" t="s">
        <v>415</v>
      </c>
      <c r="C562" s="26" t="s">
        <v>443</v>
      </c>
      <c r="D562" s="50"/>
      <c r="E562" s="51"/>
      <c r="F562" s="50"/>
      <c r="G562" s="52"/>
      <c r="H562" s="50"/>
      <c r="I562" s="53">
        <v>8.1300000000000008</v>
      </c>
      <c r="J562" s="50">
        <v>8.1300000000000008</v>
      </c>
      <c r="K562" s="53"/>
      <c r="L562" s="50">
        <v>8.1300000000000008</v>
      </c>
      <c r="M562" s="57"/>
      <c r="N562" s="55">
        <v>5.7060185185185191E-3</v>
      </c>
      <c r="O562" s="57">
        <v>6.2268518518518515E-3</v>
      </c>
      <c r="P562" s="57"/>
      <c r="Q562" s="59">
        <f>IF(MIN(IF(ISBLANK(O562),N562,O562),IF(ISBLANK(N562),O562,N562))=0,"",MIN(IF(ISBLANK(O562),N562,O562),IF(ISBLANK(N562),O562,N562)))</f>
        <v>5.7060185185185191E-3</v>
      </c>
      <c r="R562" s="57"/>
      <c r="S562" s="57"/>
      <c r="T562" s="59">
        <f>IF(MIN(IF(ISBLANK(R562),Q562,R562),IF(ISBLANK(Q562),R562,Q562))=0,"",MIN(IF(ISBLANK(R562),Q562,R562),IF(ISBLANK(Q562),R562,Q562)))</f>
        <v>5.7060185185185191E-3</v>
      </c>
      <c r="U562" s="57"/>
      <c r="V562" s="57"/>
      <c r="W562" s="59">
        <f>IF(MIN(IF(ISBLANK(U562),T562,U562),IF(ISBLANK(T562),U562,T562))=0,"",MIN(IF(ISBLANK(U562),T562,U562),IF(ISBLANK(T562),U562,T562)))</f>
        <v>5.7060185185185191E-3</v>
      </c>
      <c r="X562" s="57"/>
      <c r="Y562" s="57"/>
      <c r="Z562" s="59">
        <f>IF(MIN(IF(ISBLANK(X562),W562,X562),IF(ISBLANK(W562),X562,W562))=0,"",MIN(IF(ISBLANK(X562),W562,X562),IF(ISBLANK(W562),X562,W562)))</f>
        <v>5.7060185185185191E-3</v>
      </c>
      <c r="AA562" s="57"/>
      <c r="AB562" s="57"/>
      <c r="AC562" s="59">
        <f>IF(MIN(IF(ISBLANK(Z562),AA562,Z562),IF(ISBLANK(AA562),Z562,AA562))=0,"",MIN(IF(ISBLANK(Z562),AA562,Z562),IF(ISBLANK(AA562),Z562,AA562)))</f>
        <v>5.7060185185185191E-3</v>
      </c>
      <c r="AD562" s="57"/>
      <c r="AE562" s="57"/>
      <c r="AF562" s="59">
        <f>IF(MIN(IF(ISBLANK(AC562),AD562,AC562),IF(ISBLANK(AD562),AC562,AD562))=0,"",MIN(IF(ISBLANK(AC562),AD562,AC562),IF(ISBLANK(AD562),AC562,AD562)))</f>
        <v>5.7060185185185191E-3</v>
      </c>
      <c r="AG562" s="57"/>
      <c r="AH562" s="57"/>
      <c r="AI562" s="59">
        <f>IF(MIN(IF(ISBLANK(AF562),AG562,AF562),IF(ISBLANK(AG562),AF562,AG562))=0,"",MIN(IF(ISBLANK(AF562),AG562,AF562),IF(ISBLANK(AG562),AF562,AG562)))</f>
        <v>5.7060185185185191E-3</v>
      </c>
      <c r="AJ562" s="57"/>
      <c r="AK562" s="57"/>
      <c r="AL562" s="59">
        <f>IF(MIN(IF(ISBLANK(AI562),AJ562,AI562),IF(ISBLANK(AJ562),AI562,AJ562))=0,"",MIN(IF(ISBLANK(AI562),AJ562,AI562),IF(ISBLANK(AJ562),AI562,AJ562)))</f>
        <v>5.7060185185185191E-3</v>
      </c>
      <c r="AM562" s="57"/>
      <c r="AN562" s="57"/>
      <c r="AO562" s="59">
        <f t="shared" si="217"/>
        <v>5.7060185185185191E-3</v>
      </c>
      <c r="AP562" s="57"/>
      <c r="AQ562" s="59">
        <f t="shared" si="203"/>
        <v>5.7060185185185191E-3</v>
      </c>
      <c r="AR562" s="57"/>
      <c r="AS562" s="57"/>
      <c r="AT562" s="59">
        <f t="shared" si="204"/>
        <v>5.7060185185185191E-3</v>
      </c>
    </row>
    <row r="563" spans="1:46" hidden="1">
      <c r="A563" s="24"/>
      <c r="B563" s="26" t="s">
        <v>181</v>
      </c>
      <c r="C563" s="26" t="s">
        <v>443</v>
      </c>
      <c r="D563" s="50" t="s">
        <v>307</v>
      </c>
      <c r="E563" s="51" t="s">
        <v>308</v>
      </c>
      <c r="F563" s="50">
        <v>8.27</v>
      </c>
      <c r="G563" s="52" t="s">
        <v>355</v>
      </c>
      <c r="H563" s="50">
        <v>8.27</v>
      </c>
      <c r="I563" s="53">
        <v>8.2799999999999994</v>
      </c>
      <c r="J563" s="50">
        <v>8.27</v>
      </c>
      <c r="K563" s="53">
        <v>8.32</v>
      </c>
      <c r="L563" s="50">
        <v>8.27</v>
      </c>
      <c r="M563" s="57"/>
      <c r="N563" s="55">
        <v>5.8680555555555543E-3</v>
      </c>
      <c r="O563" s="57"/>
      <c r="P563" s="57"/>
      <c r="Q563" s="59">
        <f>IF(MIN(IF(ISBLANK(O563),N563,O563),IF(ISBLANK(N563),O563,N563))=0,"",MIN(IF(ISBLANK(O563),N563,O563),IF(ISBLANK(N563),O563,N563)))</f>
        <v>5.8680555555555543E-3</v>
      </c>
      <c r="R563" s="57"/>
      <c r="S563" s="57"/>
      <c r="T563" s="59">
        <f>IF(MIN(IF(ISBLANK(R563),Q563,R563),IF(ISBLANK(Q563),R563,Q563))=0,"",MIN(IF(ISBLANK(R563),Q563,R563),IF(ISBLANK(Q563),R563,Q563)))</f>
        <v>5.8680555555555543E-3</v>
      </c>
      <c r="U563" s="57"/>
      <c r="V563" s="57"/>
      <c r="W563" s="59">
        <f>IF(MIN(IF(ISBLANK(U563),T563,U563),IF(ISBLANK(T563),U563,T563))=0,"",MIN(IF(ISBLANK(U563),T563,U563),IF(ISBLANK(T563),U563,T563)))</f>
        <v>5.8680555555555543E-3</v>
      </c>
      <c r="X563" s="57"/>
      <c r="Y563" s="57"/>
      <c r="Z563" s="59">
        <f>IF(MIN(IF(ISBLANK(X563),W563,X563),IF(ISBLANK(W563),X563,W563))=0,"",MIN(IF(ISBLANK(X563),W563,X563),IF(ISBLANK(W563),X563,W563)))</f>
        <v>5.8680555555555543E-3</v>
      </c>
      <c r="AA563" s="57"/>
      <c r="AB563" s="57"/>
      <c r="AC563" s="59">
        <f>IF(MIN(IF(ISBLANK(Z563),AA563,Z563),IF(ISBLANK(AA563),Z563,AA563))=0,"",MIN(IF(ISBLANK(Z563),AA563,Z563),IF(ISBLANK(AA563),Z563,AA563)))</f>
        <v>5.8680555555555543E-3</v>
      </c>
      <c r="AD563" s="57"/>
      <c r="AE563" s="57"/>
      <c r="AF563" s="59">
        <f>IF(MIN(IF(ISBLANK(AC563),AD563,AC563),IF(ISBLANK(AD563),AC563,AD563))=0,"",MIN(IF(ISBLANK(AC563),AD563,AC563),IF(ISBLANK(AD563),AC563,AD563)))</f>
        <v>5.8680555555555543E-3</v>
      </c>
      <c r="AG563" s="57"/>
      <c r="AH563" s="57"/>
      <c r="AI563" s="59">
        <f>IF(MIN(IF(ISBLANK(AF563),AG563,AF563),IF(ISBLANK(AG563),AF563,AG563))=0,"",MIN(IF(ISBLANK(AF563),AG563,AF563),IF(ISBLANK(AG563),AF563,AG563)))</f>
        <v>5.8680555555555543E-3</v>
      </c>
      <c r="AJ563" s="57"/>
      <c r="AK563" s="57"/>
      <c r="AL563" s="59">
        <f>IF(MIN(IF(ISBLANK(AI563),AJ563,AI563),IF(ISBLANK(AJ563),AI563,AJ563))=0,"",MIN(IF(ISBLANK(AI563),AJ563,AI563),IF(ISBLANK(AJ563),AI563,AJ563)))</f>
        <v>5.8680555555555543E-3</v>
      </c>
      <c r="AM563" s="57"/>
      <c r="AN563" s="57"/>
      <c r="AO563" s="59">
        <f t="shared" si="217"/>
        <v>5.8680555555555543E-3</v>
      </c>
      <c r="AP563" s="57"/>
      <c r="AQ563" s="59">
        <f t="shared" si="203"/>
        <v>5.8680555555555543E-3</v>
      </c>
      <c r="AR563" s="57"/>
      <c r="AS563" s="57"/>
      <c r="AT563" s="59">
        <f t="shared" si="204"/>
        <v>5.8680555555555543E-3</v>
      </c>
    </row>
    <row r="564" spans="1:46">
      <c r="A564" s="24" t="s">
        <v>792</v>
      </c>
      <c r="B564" s="26" t="s">
        <v>243</v>
      </c>
      <c r="C564" s="26" t="s">
        <v>443</v>
      </c>
      <c r="D564" s="50">
        <v>8.16</v>
      </c>
      <c r="E564" s="51"/>
      <c r="F564" s="50">
        <v>8.16</v>
      </c>
      <c r="G564" s="52"/>
      <c r="H564" s="50">
        <v>8.16</v>
      </c>
      <c r="I564" s="53"/>
      <c r="J564" s="50">
        <v>8.16</v>
      </c>
      <c r="K564" s="53"/>
      <c r="L564" s="50">
        <v>8.16</v>
      </c>
      <c r="M564" s="57"/>
      <c r="N564" s="55">
        <v>5.7407407407407416E-3</v>
      </c>
      <c r="O564" s="57"/>
      <c r="P564" s="57"/>
      <c r="Q564" s="59">
        <f>IF(MIN(IF(ISBLANK(O564),N564,O564),IF(ISBLANK(N564),O564,N564))=0,"",MIN(IF(ISBLANK(O564),N564,O564),IF(ISBLANK(N564),O564,N564)))</f>
        <v>5.7407407407407416E-3</v>
      </c>
      <c r="R564" s="57"/>
      <c r="S564" s="57"/>
      <c r="T564" s="59">
        <f>IF(MIN(IF(ISBLANK(R564),Q564,R564),IF(ISBLANK(Q564),R564,Q564))=0,"",MIN(IF(ISBLANK(R564),Q564,R564),IF(ISBLANK(Q564),R564,Q564)))</f>
        <v>5.7407407407407416E-3</v>
      </c>
      <c r="U564" s="57"/>
      <c r="V564" s="57"/>
      <c r="W564" s="59">
        <f>IF(MIN(IF(ISBLANK(U564),T564,U564),IF(ISBLANK(T564),U564,T564))=0,"",MIN(IF(ISBLANK(U564),T564,U564),IF(ISBLANK(T564),U564,T564)))</f>
        <v>5.7407407407407416E-3</v>
      </c>
      <c r="X564" s="57"/>
      <c r="Y564" s="57"/>
      <c r="Z564" s="59">
        <f>IF(MIN(IF(ISBLANK(X564),W564,X564),IF(ISBLANK(W564),X564,W564))=0,"",MIN(IF(ISBLANK(X564),W564,X564),IF(ISBLANK(W564),X564,W564)))</f>
        <v>5.7407407407407416E-3</v>
      </c>
      <c r="AA564" s="57">
        <v>5.8680555555555543E-3</v>
      </c>
      <c r="AB564" s="57"/>
      <c r="AC564" s="59">
        <f>IF(MIN(IF(ISBLANK(Z564),AA564,Z564),IF(ISBLANK(AA564),Z564,AA564))=0,"",MIN(IF(ISBLANK(Z564),AA564,Z564),IF(ISBLANK(AA564),Z564,AA564)))</f>
        <v>5.7407407407407416E-3</v>
      </c>
      <c r="AD564" s="57"/>
      <c r="AE564" s="57"/>
      <c r="AF564" s="59">
        <f>IF(MIN(IF(ISBLANK(AC564),AD564,AC564),IF(ISBLANK(AD564),AC564,AD564))=0,"",MIN(IF(ISBLANK(AC564),AD564,AC564),IF(ISBLANK(AD564),AC564,AD564)))</f>
        <v>5.7407407407407416E-3</v>
      </c>
      <c r="AG564" s="57">
        <v>6.3657407407407404E-3</v>
      </c>
      <c r="AH564" s="57"/>
      <c r="AI564" s="59">
        <f>IF(MIN(IF(ISBLANK(AF564),AG564,AF564),IF(ISBLANK(AG564),AF564,AG564))=0,"",MIN(IF(ISBLANK(AF564),AG564,AF564),IF(ISBLANK(AG564),AF564,AG564)))</f>
        <v>5.7407407407407416E-3</v>
      </c>
      <c r="AJ564" s="57">
        <v>5.8912037037037032E-3</v>
      </c>
      <c r="AK564" s="57"/>
      <c r="AL564" s="59">
        <f>IF(MIN(IF(ISBLANK(AI564),AJ564,AI564),IF(ISBLANK(AJ564),AI564,AJ564))=0,"",MIN(IF(ISBLANK(AI564),AJ564,AI564),IF(ISBLANK(AJ564),AI564,AJ564)))</f>
        <v>5.7407407407407416E-3</v>
      </c>
      <c r="AM564" s="57">
        <v>5.8217592592592592E-3</v>
      </c>
      <c r="AN564" s="57"/>
      <c r="AO564" s="59">
        <f t="shared" si="217"/>
        <v>5.7407407407407416E-3</v>
      </c>
      <c r="AP564" s="57">
        <v>5.7407407407407416E-3</v>
      </c>
      <c r="AQ564" s="59">
        <f t="shared" si="203"/>
        <v>5.7407407407407416E-3</v>
      </c>
      <c r="AR564" s="57"/>
      <c r="AS564" s="57"/>
      <c r="AT564" s="59">
        <f t="shared" si="204"/>
        <v>5.7407407407407416E-3</v>
      </c>
    </row>
    <row r="565" spans="1:46" hidden="1">
      <c r="A565" s="24"/>
      <c r="B565" s="26" t="s">
        <v>803</v>
      </c>
      <c r="C565" s="26"/>
      <c r="D565" s="50"/>
      <c r="E565" s="51"/>
      <c r="F565" s="50"/>
      <c r="G565" s="52"/>
      <c r="H565" s="50"/>
      <c r="I565" s="53"/>
      <c r="J565" s="50"/>
      <c r="K565" s="53"/>
      <c r="L565" s="50"/>
      <c r="M565" s="57"/>
      <c r="N565" s="55"/>
      <c r="O565" s="57"/>
      <c r="P565" s="57"/>
      <c r="Q565" s="59"/>
      <c r="R565" s="57"/>
      <c r="S565" s="57"/>
      <c r="T565" s="59"/>
      <c r="U565" s="57"/>
      <c r="V565" s="57"/>
      <c r="W565" s="59"/>
      <c r="X565" s="57"/>
      <c r="Y565" s="57"/>
      <c r="Z565" s="59"/>
      <c r="AA565" s="57"/>
      <c r="AB565" s="57"/>
      <c r="AC565" s="59"/>
      <c r="AD565" s="57"/>
      <c r="AE565" s="57"/>
      <c r="AF565" s="59"/>
      <c r="AG565" s="57"/>
      <c r="AH565" s="57"/>
      <c r="AI565" s="59"/>
      <c r="AJ565" s="57"/>
      <c r="AK565" s="57"/>
      <c r="AL565" s="59"/>
      <c r="AM565" s="57">
        <v>7.3958333333333341E-3</v>
      </c>
      <c r="AN565" s="57"/>
      <c r="AO565" s="59">
        <f t="shared" si="217"/>
        <v>7.3958333333333341E-3</v>
      </c>
      <c r="AP565" s="57"/>
      <c r="AQ565" s="59">
        <f t="shared" si="203"/>
        <v>7.3958333333333341E-3</v>
      </c>
      <c r="AR565" s="57"/>
      <c r="AS565" s="57"/>
      <c r="AT565" s="59">
        <f t="shared" si="204"/>
        <v>7.3958333333333341E-3</v>
      </c>
    </row>
    <row r="566" spans="1:46" hidden="1">
      <c r="A566" s="24"/>
      <c r="B566" s="26" t="s">
        <v>270</v>
      </c>
      <c r="C566" s="26" t="s">
        <v>444</v>
      </c>
      <c r="D566" s="50"/>
      <c r="E566" s="51"/>
      <c r="F566" s="50" t="s">
        <v>448</v>
      </c>
      <c r="G566" s="52"/>
      <c r="H566" s="50"/>
      <c r="I566" s="53"/>
      <c r="J566" s="50" t="s">
        <v>448</v>
      </c>
      <c r="K566" s="53"/>
      <c r="L566" s="50"/>
      <c r="M566" s="57"/>
      <c r="N566" s="55"/>
      <c r="O566" s="57"/>
      <c r="P566" s="57"/>
      <c r="Q566" s="59" t="str">
        <f>IF(MIN(IF(ISBLANK(O566),N566,O566),IF(ISBLANK(N566),O566,N566))=0,"",MIN(IF(ISBLANK(O566),N566,O566),IF(ISBLANK(N566),O566,N566)))</f>
        <v/>
      </c>
      <c r="R566" s="57"/>
      <c r="S566" s="57"/>
      <c r="T566" s="59" t="str">
        <f>IF(MIN(IF(ISBLANK(R566),Q566,R566),IF(ISBLANK(Q566),R566,Q566))=0,"",MIN(IF(ISBLANK(R566),Q566,R566),IF(ISBLANK(Q566),R566,Q566)))</f>
        <v/>
      </c>
      <c r="U566" s="57"/>
      <c r="V566" s="57"/>
      <c r="W566" s="59" t="str">
        <f>IF(MIN(IF(ISBLANK(U566),T566,U566),IF(ISBLANK(T566),U566,T566))=0,"",MIN(IF(ISBLANK(U566),T566,U566),IF(ISBLANK(T566),U566,T566)))</f>
        <v/>
      </c>
      <c r="X566" s="57"/>
      <c r="Y566" s="57"/>
      <c r="Z566" s="59" t="str">
        <f>IF(MIN(IF(ISBLANK(X566),W566,X566),IF(ISBLANK(W566),X566,W566))=0,"",MIN(IF(ISBLANK(X566),W566,X566),IF(ISBLANK(W566),X566,W566)))</f>
        <v/>
      </c>
      <c r="AA566" s="57"/>
      <c r="AB566" s="57"/>
      <c r="AC566" s="59" t="str">
        <f>IF(MIN(IF(ISBLANK(Z566),AA566,Z566),IF(ISBLANK(AA566),Z566,AA566))=0,"",MIN(IF(ISBLANK(Z566),AA566,Z566),IF(ISBLANK(AA566),Z566,AA566)))</f>
        <v/>
      </c>
      <c r="AD566" s="57"/>
      <c r="AE566" s="57"/>
      <c r="AF566" s="59" t="str">
        <f>IF(MIN(IF(ISBLANK(AC566),AD566,AC566),IF(ISBLANK(AD566),AC566,AD566))=0,"",MIN(IF(ISBLANK(AC566),AD566,AC566),IF(ISBLANK(AD566),AC566,AD566)))</f>
        <v/>
      </c>
      <c r="AG566" s="57"/>
      <c r="AH566" s="57"/>
      <c r="AI566" s="59" t="str">
        <f>IF(MIN(IF(ISBLANK(AF566),AG566,AF566),IF(ISBLANK(AG566),AF566,AG566))=0,"",MIN(IF(ISBLANK(AF566),AG566,AF566),IF(ISBLANK(AG566),AF566,AG566)))</f>
        <v/>
      </c>
      <c r="AJ566" s="57"/>
      <c r="AK566" s="57"/>
      <c r="AL566" s="59" t="str">
        <f>IF(MIN(IF(ISBLANK(AI566),AJ566,AI566),IF(ISBLANK(AJ566),AI566,AJ566))=0,"",MIN(IF(ISBLANK(AI566),AJ566,AI566),IF(ISBLANK(AJ566),AI566,AJ566)))</f>
        <v/>
      </c>
      <c r="AM566" s="57"/>
      <c r="AN566" s="57"/>
      <c r="AO566" s="59" t="str">
        <f t="shared" si="217"/>
        <v/>
      </c>
      <c r="AP566" s="57"/>
      <c r="AQ566" s="59" t="str">
        <f t="shared" si="203"/>
        <v/>
      </c>
      <c r="AR566" s="57"/>
      <c r="AS566" s="57"/>
      <c r="AT566" s="59" t="str">
        <f t="shared" si="204"/>
        <v/>
      </c>
    </row>
    <row r="567" spans="1:46" hidden="1">
      <c r="A567" s="24"/>
      <c r="B567" s="26" t="s">
        <v>192</v>
      </c>
      <c r="C567" s="26"/>
      <c r="D567" s="50">
        <v>14.56</v>
      </c>
      <c r="E567" s="51"/>
      <c r="F567" s="50">
        <v>14.56</v>
      </c>
      <c r="G567" s="52"/>
      <c r="H567" s="50">
        <v>14.56</v>
      </c>
      <c r="I567" s="53"/>
      <c r="J567" s="50">
        <v>14.56</v>
      </c>
      <c r="K567" s="53"/>
      <c r="L567" s="50">
        <v>14.56</v>
      </c>
      <c r="M567" s="57"/>
      <c r="N567" s="55">
        <v>1.037037037037037E-2</v>
      </c>
      <c r="O567" s="57"/>
      <c r="P567" s="57"/>
      <c r="Q567" s="59">
        <f>IF(MIN(IF(ISBLANK(O567),N567,O567),IF(ISBLANK(N567),O567,N567))=0,"",MIN(IF(ISBLANK(O567),N567,O567),IF(ISBLANK(N567),O567,N567)))</f>
        <v>1.037037037037037E-2</v>
      </c>
      <c r="R567" s="57"/>
      <c r="S567" s="57"/>
      <c r="T567" s="59">
        <f>IF(MIN(IF(ISBLANK(R567),Q567,R567),IF(ISBLANK(Q567),R567,Q567))=0,"",MIN(IF(ISBLANK(R567),Q567,R567),IF(ISBLANK(Q567),R567,Q567)))</f>
        <v>1.037037037037037E-2</v>
      </c>
      <c r="U567" s="57"/>
      <c r="V567" s="57"/>
      <c r="W567" s="59">
        <f>IF(MIN(IF(ISBLANK(U567),T567,U567),IF(ISBLANK(T567),U567,T567))=0,"",MIN(IF(ISBLANK(U567),T567,U567),IF(ISBLANK(T567),U567,T567)))</f>
        <v>1.037037037037037E-2</v>
      </c>
      <c r="X567" s="57"/>
      <c r="Y567" s="57"/>
      <c r="Z567" s="59">
        <f>IF(MIN(IF(ISBLANK(X567),W567,X567),IF(ISBLANK(W567),X567,W567))=0,"",MIN(IF(ISBLANK(X567),W567,X567),IF(ISBLANK(W567),X567,W567)))</f>
        <v>1.037037037037037E-2</v>
      </c>
      <c r="AA567" s="57"/>
      <c r="AB567" s="57"/>
      <c r="AC567" s="59">
        <f>IF(MIN(IF(ISBLANK(Z567),AA567,Z567),IF(ISBLANK(AA567),Z567,AA567))=0,"",MIN(IF(ISBLANK(Z567),AA567,Z567),IF(ISBLANK(AA567),Z567,AA567)))</f>
        <v>1.037037037037037E-2</v>
      </c>
      <c r="AD567" s="57"/>
      <c r="AE567" s="57"/>
      <c r="AF567" s="59">
        <f>IF(MIN(IF(ISBLANK(AC567),AD567,AC567),IF(ISBLANK(AD567),AC567,AD567))=0,"",MIN(IF(ISBLANK(AC567),AD567,AC567),IF(ISBLANK(AD567),AC567,AD567)))</f>
        <v>1.037037037037037E-2</v>
      </c>
      <c r="AG567" s="57"/>
      <c r="AH567" s="57"/>
      <c r="AI567" s="59">
        <f>IF(MIN(IF(ISBLANK(AF567),AG567,AF567),IF(ISBLANK(AG567),AF567,AG567))=0,"",MIN(IF(ISBLANK(AF567),AG567,AF567),IF(ISBLANK(AG567),AF567,AG567)))</f>
        <v>1.037037037037037E-2</v>
      </c>
      <c r="AJ567" s="57"/>
      <c r="AK567" s="57"/>
      <c r="AL567" s="59">
        <f>IF(MIN(IF(ISBLANK(AI567),AJ567,AI567),IF(ISBLANK(AJ567),AI567,AJ567))=0,"",MIN(IF(ISBLANK(AI567),AJ567,AI567),IF(ISBLANK(AJ567),AI567,AJ567)))</f>
        <v>1.037037037037037E-2</v>
      </c>
      <c r="AM567" s="57"/>
      <c r="AN567" s="57"/>
      <c r="AO567" s="59">
        <f t="shared" si="217"/>
        <v>1.037037037037037E-2</v>
      </c>
      <c r="AP567" s="57"/>
      <c r="AQ567" s="59">
        <f t="shared" si="203"/>
        <v>1.037037037037037E-2</v>
      </c>
      <c r="AR567" s="57"/>
      <c r="AS567" s="57"/>
      <c r="AT567" s="59">
        <f t="shared" si="204"/>
        <v>1.037037037037037E-2</v>
      </c>
    </row>
    <row r="568" spans="1:46" hidden="1">
      <c r="A568" s="24"/>
      <c r="B568" s="26" t="s">
        <v>695</v>
      </c>
      <c r="C568" s="26"/>
      <c r="D568" s="50"/>
      <c r="E568" s="51"/>
      <c r="F568" s="50"/>
      <c r="G568" s="52"/>
      <c r="H568" s="50"/>
      <c r="I568" s="53"/>
      <c r="J568" s="50"/>
      <c r="K568" s="54"/>
      <c r="L568" s="50"/>
      <c r="M568" s="56"/>
      <c r="N568" s="55"/>
      <c r="O568" s="56"/>
      <c r="P568" s="56"/>
      <c r="Q568" s="59"/>
      <c r="R568" s="56"/>
      <c r="S568" s="56"/>
      <c r="T568" s="59"/>
      <c r="U568" s="56"/>
      <c r="V568" s="56"/>
      <c r="W568" s="59"/>
      <c r="X568" s="56"/>
      <c r="Y568" s="56"/>
      <c r="Z568" s="59"/>
      <c r="AA568" s="56"/>
      <c r="AB568" s="56"/>
      <c r="AC568" s="59" t="str">
        <f>IF(MIN(IF(ISBLANK(Z568),AA568,Z568),IF(ISBLANK(AA568),Z568,AA568))=0,"",MIN(IF(ISBLANK(Z568),AA568,Z568),IF(ISBLANK(AA568),Z568,AA568)))</f>
        <v/>
      </c>
      <c r="AD568" s="56"/>
      <c r="AE568" s="56"/>
      <c r="AF568" s="59" t="str">
        <f>IF(MIN(IF(ISBLANK(AC568),AD568,AC568),IF(ISBLANK(AD568),AC568,AD568))=0,"",MIN(IF(ISBLANK(AC568),AD568,AC568),IF(ISBLANK(AD568),AC568,AD568)))</f>
        <v/>
      </c>
      <c r="AG568" s="56"/>
      <c r="AH568" s="56"/>
      <c r="AI568" s="59" t="str">
        <f>IF(MIN(IF(ISBLANK(AF568),AG568,AF568),IF(ISBLANK(AG568),AF568,AG568))=0,"",MIN(IF(ISBLANK(AF568),AG568,AF568),IF(ISBLANK(AG568),AF568,AG568)))</f>
        <v/>
      </c>
      <c r="AJ568" s="56"/>
      <c r="AK568" s="56"/>
      <c r="AL568" s="59" t="str">
        <f>IF(MIN(IF(ISBLANK(AI568),AJ568,AI568),IF(ISBLANK(AJ568),AI568,AJ568))=0,"",MIN(IF(ISBLANK(AI568),AJ568,AI568),IF(ISBLANK(AJ568),AI568,AJ568)))</f>
        <v/>
      </c>
      <c r="AM568" s="56"/>
      <c r="AN568" s="56"/>
      <c r="AO568" s="59" t="str">
        <f t="shared" si="217"/>
        <v/>
      </c>
      <c r="AP568" s="56"/>
      <c r="AQ568" s="59" t="str">
        <f t="shared" si="203"/>
        <v/>
      </c>
      <c r="AR568" s="56"/>
      <c r="AS568" s="56"/>
      <c r="AT568" s="59" t="str">
        <f t="shared" si="204"/>
        <v/>
      </c>
    </row>
    <row r="569" spans="1:46">
      <c r="A569" s="24" t="s">
        <v>792</v>
      </c>
      <c r="B569" s="26" t="s">
        <v>844</v>
      </c>
      <c r="C569" s="26"/>
      <c r="D569" s="50"/>
      <c r="E569" s="51"/>
      <c r="F569" s="50"/>
      <c r="G569" s="52"/>
      <c r="H569" s="50"/>
      <c r="I569" s="53"/>
      <c r="J569" s="50"/>
      <c r="K569" s="53"/>
      <c r="L569" s="50"/>
      <c r="M569" s="57"/>
      <c r="N569" s="55"/>
      <c r="O569" s="57"/>
      <c r="P569" s="57"/>
      <c r="Q569" s="59"/>
      <c r="R569" s="57"/>
      <c r="S569" s="57"/>
      <c r="T569" s="59"/>
      <c r="U569" s="57"/>
      <c r="V569" s="57"/>
      <c r="W569" s="59"/>
      <c r="X569" s="57"/>
      <c r="Y569" s="57"/>
      <c r="Z569" s="59"/>
      <c r="AA569" s="57"/>
      <c r="AB569" s="57"/>
      <c r="AC569" s="59"/>
      <c r="AD569" s="57"/>
      <c r="AE569" s="57"/>
      <c r="AF569" s="59"/>
      <c r="AG569" s="57"/>
      <c r="AH569" s="57"/>
      <c r="AI569" s="59"/>
      <c r="AJ569" s="57"/>
      <c r="AK569" s="57"/>
      <c r="AL569" s="59"/>
      <c r="AM569" s="57"/>
      <c r="AN569" s="57"/>
      <c r="AO569" s="59"/>
      <c r="AP569" s="57"/>
      <c r="AQ569" s="59" t="str">
        <f t="shared" si="203"/>
        <v/>
      </c>
      <c r="AR569" s="57"/>
      <c r="AS569" s="57"/>
      <c r="AT569" s="59" t="str">
        <f t="shared" si="204"/>
        <v/>
      </c>
    </row>
    <row r="570" spans="1:46" hidden="1">
      <c r="A570" s="24"/>
      <c r="B570" s="26" t="s">
        <v>587</v>
      </c>
      <c r="C570" s="26"/>
      <c r="D570" s="50"/>
      <c r="E570" s="51"/>
      <c r="F570" s="50"/>
      <c r="G570" s="52"/>
      <c r="H570" s="50"/>
      <c r="I570" s="53"/>
      <c r="J570" s="50"/>
      <c r="K570" s="53"/>
      <c r="L570" s="50"/>
      <c r="M570" s="57"/>
      <c r="N570" s="55"/>
      <c r="O570" s="57">
        <v>6.0648148148148145E-3</v>
      </c>
      <c r="P570" s="57"/>
      <c r="Q570" s="59">
        <f>IF(MIN(IF(ISBLANK(O570),N570,O570),IF(ISBLANK(N570),O570,N570))=0,"",MIN(IF(ISBLANK(O570),N570,O570),IF(ISBLANK(N570),O570,N570)))</f>
        <v>6.0648148148148145E-3</v>
      </c>
      <c r="R570" s="57"/>
      <c r="S570" s="57"/>
      <c r="T570" s="59">
        <f>IF(MIN(IF(ISBLANK(R570),Q570,R570),IF(ISBLANK(Q570),R570,Q570))=0,"",MIN(IF(ISBLANK(R570),Q570,R570),IF(ISBLANK(Q570),R570,Q570)))</f>
        <v>6.0648148148148145E-3</v>
      </c>
      <c r="U570" s="57"/>
      <c r="V570" s="57"/>
      <c r="W570" s="59">
        <f>IF(MIN(IF(ISBLANK(U570),T570,U570),IF(ISBLANK(T570),U570,T570))=0,"",MIN(IF(ISBLANK(U570),T570,U570),IF(ISBLANK(T570),U570,T570)))</f>
        <v>6.0648148148148145E-3</v>
      </c>
      <c r="X570" s="57"/>
      <c r="Y570" s="57"/>
      <c r="Z570" s="59">
        <f t="shared" ref="Z570:Z612" si="220">IF(MIN(IF(ISBLANK(X570),W570,X570),IF(ISBLANK(W570),X570,W570))=0,"",MIN(IF(ISBLANK(X570),W570,X570),IF(ISBLANK(W570),X570,W570)))</f>
        <v>6.0648148148148145E-3</v>
      </c>
      <c r="AA570" s="57"/>
      <c r="AB570" s="57"/>
      <c r="AC570" s="59">
        <f t="shared" ref="AC570:AC612" si="221">IF(MIN(IF(ISBLANK(Z570),AA570,Z570),IF(ISBLANK(AA570),Z570,AA570))=0,"",MIN(IF(ISBLANK(Z570),AA570,Z570),IF(ISBLANK(AA570),Z570,AA570)))</f>
        <v>6.0648148148148145E-3</v>
      </c>
      <c r="AD570" s="57"/>
      <c r="AE570" s="57"/>
      <c r="AF570" s="59">
        <f t="shared" ref="AF570:AF612" si="222">IF(MIN(IF(ISBLANK(AC570),AD570,AC570),IF(ISBLANK(AD570),AC570,AD570))=0,"",MIN(IF(ISBLANK(AC570),AD570,AC570),IF(ISBLANK(AD570),AC570,AD570)))</f>
        <v>6.0648148148148145E-3</v>
      </c>
      <c r="AG570" s="57"/>
      <c r="AH570" s="57"/>
      <c r="AI570" s="59">
        <f t="shared" ref="AI570:AI612" si="223">IF(MIN(IF(ISBLANK(AF570),AG570,AF570),IF(ISBLANK(AG570),AF570,AG570))=0,"",MIN(IF(ISBLANK(AF570),AG570,AF570),IF(ISBLANK(AG570),AF570,AG570)))</f>
        <v>6.0648148148148145E-3</v>
      </c>
      <c r="AJ570" s="57"/>
      <c r="AK570" s="57"/>
      <c r="AL570" s="59">
        <f t="shared" ref="AL570:AL612" si="224">IF(MIN(IF(ISBLANK(AI570),AJ570,AI570),IF(ISBLANK(AJ570),AI570,AJ570))=0,"",MIN(IF(ISBLANK(AI570),AJ570,AI570),IF(ISBLANK(AJ570),AI570,AJ570)))</f>
        <v>6.0648148148148145E-3</v>
      </c>
      <c r="AM570" s="57"/>
      <c r="AN570" s="57"/>
      <c r="AO570" s="59">
        <f t="shared" ref="AO570:AO601" si="225">IF(MIN(IF(ISBLANK(AL570),AM570,AL570),IF(ISBLANK(AM570),AL570,AM570))=0,"",MIN(IF(ISBLANK(AL570),AM570,AL570),IF(ISBLANK(AM570),AL570,AM570)))</f>
        <v>6.0648148148148145E-3</v>
      </c>
      <c r="AP570" s="57"/>
      <c r="AQ570" s="59">
        <f t="shared" si="203"/>
        <v>6.0648148148148145E-3</v>
      </c>
      <c r="AR570" s="57"/>
      <c r="AS570" s="57"/>
      <c r="AT570" s="59">
        <f t="shared" si="204"/>
        <v>6.0648148148148145E-3</v>
      </c>
    </row>
    <row r="571" spans="1:46" hidden="1">
      <c r="A571" s="24"/>
      <c r="B571" s="26" t="s">
        <v>204</v>
      </c>
      <c r="C571" s="26" t="s">
        <v>444</v>
      </c>
      <c r="D571" s="50">
        <v>8.5299999999999994</v>
      </c>
      <c r="E571" s="51" t="s">
        <v>309</v>
      </c>
      <c r="F571" s="50">
        <v>8.5299999999999994</v>
      </c>
      <c r="G571" s="52"/>
      <c r="H571" s="50">
        <v>8.5299999999999994</v>
      </c>
      <c r="I571" s="53"/>
      <c r="J571" s="50">
        <v>8.5299999999999994</v>
      </c>
      <c r="K571" s="53">
        <v>9.02</v>
      </c>
      <c r="L571" s="50">
        <v>8.5299999999999994</v>
      </c>
      <c r="M571" s="57"/>
      <c r="N571" s="55">
        <v>6.168981481481481E-3</v>
      </c>
      <c r="O571" s="57">
        <v>6.5393518518518517E-3</v>
      </c>
      <c r="P571" s="57"/>
      <c r="Q571" s="59">
        <f>IF(MIN(IF(ISBLANK(O571),N571,O571),IF(ISBLANK(N571),O571,N571))=0,"",MIN(IF(ISBLANK(O571),N571,O571),IF(ISBLANK(N571),O571,N571)))</f>
        <v>6.168981481481481E-3</v>
      </c>
      <c r="R571" s="57"/>
      <c r="S571" s="57" t="s">
        <v>594</v>
      </c>
      <c r="T571" s="59">
        <f>IF(MIN(IF(ISBLANK(R571),Q571,R571),IF(ISBLANK(Q571),R571,Q571))=0,"",MIN(IF(ISBLANK(R571),Q571,R571),IF(ISBLANK(Q571),R571,Q571)))</f>
        <v>6.168981481481481E-3</v>
      </c>
      <c r="U571" s="57"/>
      <c r="V571" s="57"/>
      <c r="W571" s="59">
        <f>IF(MIN(IF(ISBLANK(U571),T571,U571),IF(ISBLANK(T571),U571,T571))=0,"",MIN(IF(ISBLANK(U571),T571,U571),IF(ISBLANK(T571),U571,T571)))</f>
        <v>6.168981481481481E-3</v>
      </c>
      <c r="X571" s="57"/>
      <c r="Y571" s="57"/>
      <c r="Z571" s="59">
        <f t="shared" si="220"/>
        <v>6.168981481481481E-3</v>
      </c>
      <c r="AA571" s="57"/>
      <c r="AB571" s="57"/>
      <c r="AC571" s="59">
        <f t="shared" si="221"/>
        <v>6.168981481481481E-3</v>
      </c>
      <c r="AD571" s="57"/>
      <c r="AE571" s="57"/>
      <c r="AF571" s="59">
        <f t="shared" si="222"/>
        <v>6.168981481481481E-3</v>
      </c>
      <c r="AG571" s="57"/>
      <c r="AH571" s="57"/>
      <c r="AI571" s="59">
        <f t="shared" si="223"/>
        <v>6.168981481481481E-3</v>
      </c>
      <c r="AJ571" s="57"/>
      <c r="AK571" s="57"/>
      <c r="AL571" s="59">
        <f t="shared" si="224"/>
        <v>6.168981481481481E-3</v>
      </c>
      <c r="AM571" s="57"/>
      <c r="AN571" s="57"/>
      <c r="AO571" s="59">
        <f t="shared" si="225"/>
        <v>6.168981481481481E-3</v>
      </c>
      <c r="AP571" s="57"/>
      <c r="AQ571" s="59">
        <f t="shared" si="203"/>
        <v>6.168981481481481E-3</v>
      </c>
      <c r="AR571" s="57"/>
      <c r="AS571" s="57"/>
      <c r="AT571" s="59">
        <f t="shared" si="204"/>
        <v>6.168981481481481E-3</v>
      </c>
    </row>
    <row r="572" spans="1:46">
      <c r="A572" s="24" t="s">
        <v>792</v>
      </c>
      <c r="B572" s="26" t="s">
        <v>208</v>
      </c>
      <c r="C572" s="26" t="s">
        <v>443</v>
      </c>
      <c r="D572" s="50">
        <v>7.36</v>
      </c>
      <c r="E572" s="51" t="s">
        <v>310</v>
      </c>
      <c r="F572" s="50">
        <v>7.36</v>
      </c>
      <c r="G572" s="52" t="s">
        <v>356</v>
      </c>
      <c r="H572" s="50">
        <v>7.36</v>
      </c>
      <c r="I572" s="53"/>
      <c r="J572" s="50">
        <v>7.36</v>
      </c>
      <c r="K572" s="53">
        <v>7.39</v>
      </c>
      <c r="L572" s="50">
        <v>7.36</v>
      </c>
      <c r="M572" s="57">
        <v>5.8796296296296296E-3</v>
      </c>
      <c r="N572" s="55">
        <v>5.2777777777777771E-3</v>
      </c>
      <c r="O572" s="57"/>
      <c r="P572" s="57"/>
      <c r="Q572" s="59">
        <f>IF(MIN(IF(ISBLANK(O572),N572,O572),IF(ISBLANK(N572),O572,N572))=0,"",MIN(IF(ISBLANK(O572),N572,O572),IF(ISBLANK(N572),O572,N572)))</f>
        <v>5.2777777777777771E-3</v>
      </c>
      <c r="R572" s="57"/>
      <c r="S572" s="57"/>
      <c r="T572" s="59">
        <f>IF(MIN(IF(ISBLANK(R572),Q572,R572),IF(ISBLANK(Q572),R572,Q572))=0,"",MIN(IF(ISBLANK(R572),Q572,R572),IF(ISBLANK(Q572),R572,Q572)))</f>
        <v>5.2777777777777771E-3</v>
      </c>
      <c r="U572" s="57"/>
      <c r="V572" s="57"/>
      <c r="W572" s="59">
        <f>IF(MIN(IF(ISBLANK(U572),T572,U572),IF(ISBLANK(T572),U572,T572))=0,"",MIN(IF(ISBLANK(U572),T572,U572),IF(ISBLANK(T572),U572,T572)))</f>
        <v>5.2777777777777771E-3</v>
      </c>
      <c r="X572" s="57"/>
      <c r="Y572" s="57"/>
      <c r="Z572" s="59">
        <f t="shared" si="220"/>
        <v>5.2777777777777771E-3</v>
      </c>
      <c r="AA572" s="57"/>
      <c r="AB572" s="57"/>
      <c r="AC572" s="59">
        <f t="shared" si="221"/>
        <v>5.2777777777777771E-3</v>
      </c>
      <c r="AD572" s="57"/>
      <c r="AE572" s="57"/>
      <c r="AF572" s="59">
        <f t="shared" si="222"/>
        <v>5.2777777777777771E-3</v>
      </c>
      <c r="AG572" s="57"/>
      <c r="AH572" s="57"/>
      <c r="AI572" s="59">
        <f t="shared" si="223"/>
        <v>5.2777777777777771E-3</v>
      </c>
      <c r="AJ572" s="57"/>
      <c r="AK572" s="57"/>
      <c r="AL572" s="59">
        <f t="shared" si="224"/>
        <v>5.2777777777777771E-3</v>
      </c>
      <c r="AM572" s="57"/>
      <c r="AN572" s="57"/>
      <c r="AO572" s="59">
        <f t="shared" si="225"/>
        <v>5.2777777777777771E-3</v>
      </c>
      <c r="AP572" s="57"/>
      <c r="AQ572" s="59">
        <f t="shared" si="203"/>
        <v>5.2777777777777771E-3</v>
      </c>
      <c r="AR572" s="57"/>
      <c r="AS572" s="57"/>
      <c r="AT572" s="59">
        <f t="shared" si="204"/>
        <v>5.2777777777777771E-3</v>
      </c>
    </row>
    <row r="573" spans="1:46" hidden="1">
      <c r="A573" s="24"/>
      <c r="B573" s="26" t="s">
        <v>664</v>
      </c>
      <c r="C573" s="26"/>
      <c r="D573" s="50"/>
      <c r="E573" s="51"/>
      <c r="F573" s="50"/>
      <c r="G573" s="52"/>
      <c r="H573" s="50"/>
      <c r="I573" s="53"/>
      <c r="J573" s="50"/>
      <c r="K573" s="53"/>
      <c r="L573" s="50"/>
      <c r="M573" s="57"/>
      <c r="N573" s="55"/>
      <c r="O573" s="57"/>
      <c r="P573" s="57"/>
      <c r="Q573" s="59"/>
      <c r="R573" s="57"/>
      <c r="S573" s="57"/>
      <c r="T573" s="59"/>
      <c r="U573" s="57"/>
      <c r="V573" s="57"/>
      <c r="W573" s="59"/>
      <c r="X573" s="57"/>
      <c r="Y573" s="57"/>
      <c r="Z573" s="59" t="str">
        <f t="shared" si="220"/>
        <v/>
      </c>
      <c r="AA573" s="57"/>
      <c r="AB573" s="57"/>
      <c r="AC573" s="59" t="str">
        <f t="shared" si="221"/>
        <v/>
      </c>
      <c r="AD573" s="57"/>
      <c r="AE573" s="57"/>
      <c r="AF573" s="59" t="str">
        <f t="shared" si="222"/>
        <v/>
      </c>
      <c r="AG573" s="57"/>
      <c r="AH573" s="57"/>
      <c r="AI573" s="59" t="str">
        <f t="shared" si="223"/>
        <v/>
      </c>
      <c r="AJ573" s="57"/>
      <c r="AK573" s="57"/>
      <c r="AL573" s="59" t="str">
        <f t="shared" si="224"/>
        <v/>
      </c>
      <c r="AM573" s="57"/>
      <c r="AN573" s="57"/>
      <c r="AO573" s="59" t="str">
        <f t="shared" si="225"/>
        <v/>
      </c>
      <c r="AP573" s="57"/>
      <c r="AQ573" s="59" t="str">
        <f t="shared" si="203"/>
        <v/>
      </c>
      <c r="AR573" s="57"/>
      <c r="AS573" s="57"/>
      <c r="AT573" s="59" t="str">
        <f t="shared" si="204"/>
        <v/>
      </c>
    </row>
    <row r="574" spans="1:46" hidden="1">
      <c r="A574" s="24"/>
      <c r="B574" s="26" t="s">
        <v>665</v>
      </c>
      <c r="C574" s="26"/>
      <c r="D574" s="50"/>
      <c r="E574" s="51"/>
      <c r="F574" s="50"/>
      <c r="G574" s="52"/>
      <c r="H574" s="50"/>
      <c r="I574" s="53"/>
      <c r="J574" s="50"/>
      <c r="K574" s="53"/>
      <c r="L574" s="50"/>
      <c r="M574" s="57"/>
      <c r="N574" s="55"/>
      <c r="O574" s="57"/>
      <c r="P574" s="57"/>
      <c r="Q574" s="59"/>
      <c r="R574" s="57"/>
      <c r="S574" s="57"/>
      <c r="T574" s="59"/>
      <c r="U574" s="57"/>
      <c r="V574" s="57"/>
      <c r="W574" s="59"/>
      <c r="X574" s="57">
        <v>5.2314814814814819E-3</v>
      </c>
      <c r="Y574" s="57"/>
      <c r="Z574" s="59">
        <f t="shared" si="220"/>
        <v>5.2314814814814819E-3</v>
      </c>
      <c r="AA574" s="57">
        <v>5.347222222222222E-3</v>
      </c>
      <c r="AB574" s="57"/>
      <c r="AC574" s="59">
        <f t="shared" si="221"/>
        <v>5.2314814814814819E-3</v>
      </c>
      <c r="AD574" s="57"/>
      <c r="AE574" s="57"/>
      <c r="AF574" s="59">
        <f t="shared" si="222"/>
        <v>5.2314814814814819E-3</v>
      </c>
      <c r="AG574" s="57"/>
      <c r="AH574" s="57"/>
      <c r="AI574" s="59">
        <f t="shared" si="223"/>
        <v>5.2314814814814819E-3</v>
      </c>
      <c r="AJ574" s="57"/>
      <c r="AK574" s="57"/>
      <c r="AL574" s="59">
        <f t="shared" si="224"/>
        <v>5.2314814814814819E-3</v>
      </c>
      <c r="AM574" s="57"/>
      <c r="AN574" s="57"/>
      <c r="AO574" s="59">
        <f t="shared" si="225"/>
        <v>5.2314814814814819E-3</v>
      </c>
      <c r="AP574" s="57"/>
      <c r="AQ574" s="59">
        <f t="shared" si="203"/>
        <v>5.2314814814814819E-3</v>
      </c>
      <c r="AR574" s="57"/>
      <c r="AS574" s="57"/>
      <c r="AT574" s="59">
        <f t="shared" si="204"/>
        <v>5.2314814814814819E-3</v>
      </c>
    </row>
    <row r="575" spans="1:46" hidden="1">
      <c r="A575" s="24"/>
      <c r="B575" s="26" t="s">
        <v>666</v>
      </c>
      <c r="C575" s="26"/>
      <c r="D575" s="50"/>
      <c r="E575" s="51"/>
      <c r="F575" s="50"/>
      <c r="G575" s="52"/>
      <c r="H575" s="50"/>
      <c r="I575" s="53"/>
      <c r="J575" s="50"/>
      <c r="K575" s="53"/>
      <c r="L575" s="50"/>
      <c r="M575" s="57"/>
      <c r="N575" s="55"/>
      <c r="O575" s="57"/>
      <c r="P575" s="57"/>
      <c r="Q575" s="59"/>
      <c r="R575" s="57"/>
      <c r="S575" s="57"/>
      <c r="T575" s="59"/>
      <c r="U575" s="57"/>
      <c r="V575" s="57"/>
      <c r="W575" s="59"/>
      <c r="X575" s="57"/>
      <c r="Y575" s="57"/>
      <c r="Z575" s="59" t="str">
        <f t="shared" si="220"/>
        <v/>
      </c>
      <c r="AA575" s="57"/>
      <c r="AB575" s="57"/>
      <c r="AC575" s="59" t="str">
        <f t="shared" si="221"/>
        <v/>
      </c>
      <c r="AD575" s="57"/>
      <c r="AE575" s="57"/>
      <c r="AF575" s="59" t="str">
        <f t="shared" si="222"/>
        <v/>
      </c>
      <c r="AG575" s="57"/>
      <c r="AH575" s="57"/>
      <c r="AI575" s="59" t="str">
        <f t="shared" si="223"/>
        <v/>
      </c>
      <c r="AJ575" s="57"/>
      <c r="AK575" s="57"/>
      <c r="AL575" s="59" t="str">
        <f t="shared" si="224"/>
        <v/>
      </c>
      <c r="AM575" s="57"/>
      <c r="AN575" s="57"/>
      <c r="AO575" s="59" t="str">
        <f t="shared" si="225"/>
        <v/>
      </c>
      <c r="AP575" s="57"/>
      <c r="AQ575" s="59" t="str">
        <f t="shared" si="203"/>
        <v/>
      </c>
      <c r="AR575" s="57"/>
      <c r="AS575" s="57"/>
      <c r="AT575" s="59" t="str">
        <f t="shared" si="204"/>
        <v/>
      </c>
    </row>
    <row r="576" spans="1:46" hidden="1">
      <c r="A576" s="24"/>
      <c r="B576" s="26" t="s">
        <v>520</v>
      </c>
      <c r="C576" s="26"/>
      <c r="D576" s="50"/>
      <c r="E576" s="51"/>
      <c r="F576" s="50"/>
      <c r="G576" s="52"/>
      <c r="H576" s="50"/>
      <c r="I576" s="53"/>
      <c r="J576" s="50"/>
      <c r="K576" s="53"/>
      <c r="L576" s="50"/>
      <c r="M576" s="57">
        <v>5.8449074074074072E-3</v>
      </c>
      <c r="N576" s="55">
        <v>5.8449074074074072E-3</v>
      </c>
      <c r="O576" s="57">
        <v>5.5324074074074069E-3</v>
      </c>
      <c r="P576" s="57"/>
      <c r="Q576" s="59">
        <f t="shared" ref="Q576:Q581" si="226">IF(MIN(IF(ISBLANK(O576),N576,O576),IF(ISBLANK(N576),O576,N576))=0,"",MIN(IF(ISBLANK(O576),N576,O576),IF(ISBLANK(N576),O576,N576)))</f>
        <v>5.5324074074074069E-3</v>
      </c>
      <c r="R576" s="57">
        <v>6.4699074074074069E-3</v>
      </c>
      <c r="S576" s="57"/>
      <c r="T576" s="59">
        <f t="shared" ref="T576:T581" si="227">IF(MIN(IF(ISBLANK(R576),Q576,R576),IF(ISBLANK(Q576),R576,Q576))=0,"",MIN(IF(ISBLANK(R576),Q576,R576),IF(ISBLANK(Q576),R576,Q576)))</f>
        <v>5.5324074074074069E-3</v>
      </c>
      <c r="U576" s="57"/>
      <c r="V576" s="57"/>
      <c r="W576" s="59">
        <f t="shared" ref="W576:W581" si="228">IF(MIN(IF(ISBLANK(U576),T576,U576),IF(ISBLANK(T576),U576,T576))=0,"",MIN(IF(ISBLANK(U576),T576,U576),IF(ISBLANK(T576),U576,T576)))</f>
        <v>5.5324074074074069E-3</v>
      </c>
      <c r="X576" s="57"/>
      <c r="Y576" s="57"/>
      <c r="Z576" s="59">
        <f t="shared" si="220"/>
        <v>5.5324074074074069E-3</v>
      </c>
      <c r="AA576" s="57"/>
      <c r="AB576" s="57"/>
      <c r="AC576" s="59">
        <f t="shared" si="221"/>
        <v>5.5324074074074069E-3</v>
      </c>
      <c r="AD576" s="57"/>
      <c r="AE576" s="57"/>
      <c r="AF576" s="59">
        <f t="shared" si="222"/>
        <v>5.5324074074074069E-3</v>
      </c>
      <c r="AG576" s="57"/>
      <c r="AH576" s="57"/>
      <c r="AI576" s="59">
        <f t="shared" si="223"/>
        <v>5.5324074074074069E-3</v>
      </c>
      <c r="AJ576" s="57"/>
      <c r="AK576" s="57"/>
      <c r="AL576" s="59">
        <f t="shared" si="224"/>
        <v>5.5324074074074069E-3</v>
      </c>
      <c r="AM576" s="57"/>
      <c r="AN576" s="57"/>
      <c r="AO576" s="59">
        <f t="shared" si="225"/>
        <v>5.5324074074074069E-3</v>
      </c>
      <c r="AP576" s="57"/>
      <c r="AQ576" s="59">
        <f t="shared" si="203"/>
        <v>5.5324074074074069E-3</v>
      </c>
      <c r="AR576" s="57"/>
      <c r="AS576" s="57"/>
      <c r="AT576" s="59">
        <f t="shared" si="204"/>
        <v>5.5324074074074069E-3</v>
      </c>
    </row>
    <row r="577" spans="1:46" hidden="1">
      <c r="A577" s="24"/>
      <c r="B577" s="26" t="s">
        <v>214</v>
      </c>
      <c r="C577" s="26" t="s">
        <v>443</v>
      </c>
      <c r="D577" s="50">
        <v>7.19</v>
      </c>
      <c r="E577" s="51"/>
      <c r="F577" s="50">
        <v>7.19</v>
      </c>
      <c r="G577" s="52"/>
      <c r="H577" s="50">
        <v>7.19</v>
      </c>
      <c r="I577" s="53"/>
      <c r="J577" s="50">
        <v>7.19</v>
      </c>
      <c r="K577" s="53"/>
      <c r="L577" s="50">
        <v>7.19</v>
      </c>
      <c r="M577" s="57"/>
      <c r="N577" s="55">
        <v>5.0810185185185186E-3</v>
      </c>
      <c r="O577" s="57"/>
      <c r="P577" s="57"/>
      <c r="Q577" s="59">
        <f t="shared" si="226"/>
        <v>5.0810185185185186E-3</v>
      </c>
      <c r="R577" s="57"/>
      <c r="S577" s="57"/>
      <c r="T577" s="59">
        <f t="shared" si="227"/>
        <v>5.0810185185185186E-3</v>
      </c>
      <c r="U577" s="57"/>
      <c r="V577" s="57"/>
      <c r="W577" s="59">
        <f t="shared" si="228"/>
        <v>5.0810185185185186E-3</v>
      </c>
      <c r="X577" s="57"/>
      <c r="Y577" s="57"/>
      <c r="Z577" s="59">
        <f t="shared" si="220"/>
        <v>5.0810185185185186E-3</v>
      </c>
      <c r="AA577" s="57"/>
      <c r="AB577" s="57"/>
      <c r="AC577" s="59">
        <f t="shared" si="221"/>
        <v>5.0810185185185186E-3</v>
      </c>
      <c r="AD577" s="57"/>
      <c r="AE577" s="57"/>
      <c r="AF577" s="59">
        <f t="shared" si="222"/>
        <v>5.0810185185185186E-3</v>
      </c>
      <c r="AG577" s="57"/>
      <c r="AH577" s="57"/>
      <c r="AI577" s="59">
        <f t="shared" si="223"/>
        <v>5.0810185185185186E-3</v>
      </c>
      <c r="AJ577" s="57"/>
      <c r="AK577" s="57"/>
      <c r="AL577" s="59">
        <f t="shared" si="224"/>
        <v>5.0810185185185186E-3</v>
      </c>
      <c r="AM577" s="57"/>
      <c r="AN577" s="57"/>
      <c r="AO577" s="59">
        <f t="shared" si="225"/>
        <v>5.0810185185185186E-3</v>
      </c>
      <c r="AP577" s="57"/>
      <c r="AQ577" s="59">
        <f t="shared" si="203"/>
        <v>5.0810185185185186E-3</v>
      </c>
      <c r="AR577" s="57"/>
      <c r="AS577" s="57"/>
      <c r="AT577" s="59">
        <f t="shared" si="204"/>
        <v>5.0810185185185186E-3</v>
      </c>
    </row>
    <row r="578" spans="1:46">
      <c r="A578" s="24" t="s">
        <v>792</v>
      </c>
      <c r="B578" s="26" t="s">
        <v>218</v>
      </c>
      <c r="C578" s="26" t="s">
        <v>443</v>
      </c>
      <c r="D578" s="50">
        <v>8.14</v>
      </c>
      <c r="E578" s="51" t="s">
        <v>311</v>
      </c>
      <c r="F578" s="50">
        <v>8.14</v>
      </c>
      <c r="G578" s="52">
        <v>7.51</v>
      </c>
      <c r="H578" s="50">
        <v>7.51</v>
      </c>
      <c r="I578" s="53">
        <v>7.41</v>
      </c>
      <c r="J578" s="50">
        <v>7.41</v>
      </c>
      <c r="K578" s="53">
        <v>7.4</v>
      </c>
      <c r="L578" s="50" t="s">
        <v>349</v>
      </c>
      <c r="M578" s="57">
        <v>5.5671296296296302E-3</v>
      </c>
      <c r="N578" s="55">
        <v>5.3240740740740748E-3</v>
      </c>
      <c r="O578" s="57"/>
      <c r="P578" s="57"/>
      <c r="Q578" s="59">
        <f t="shared" si="226"/>
        <v>5.3240740740740748E-3</v>
      </c>
      <c r="R578" s="57">
        <v>5.162037037037037E-3</v>
      </c>
      <c r="S578" s="57"/>
      <c r="T578" s="59">
        <f t="shared" si="227"/>
        <v>5.162037037037037E-3</v>
      </c>
      <c r="U578" s="57">
        <v>5.2777777777777771E-3</v>
      </c>
      <c r="V578" s="57"/>
      <c r="W578" s="59">
        <f t="shared" si="228"/>
        <v>5.162037037037037E-3</v>
      </c>
      <c r="X578" s="57">
        <v>5.1041666666666666E-3</v>
      </c>
      <c r="Y578" s="57"/>
      <c r="Z578" s="59">
        <f t="shared" si="220"/>
        <v>5.1041666666666666E-3</v>
      </c>
      <c r="AA578" s="57">
        <v>5.138888888888889E-3</v>
      </c>
      <c r="AB578" s="57"/>
      <c r="AC578" s="59">
        <f t="shared" si="221"/>
        <v>5.1041666666666666E-3</v>
      </c>
      <c r="AD578" s="57">
        <v>5.208333333333333E-3</v>
      </c>
      <c r="AE578" s="57"/>
      <c r="AF578" s="59">
        <f t="shared" si="222"/>
        <v>5.1041666666666666E-3</v>
      </c>
      <c r="AG578" s="57">
        <v>5.1041666666666666E-3</v>
      </c>
      <c r="AH578" s="57"/>
      <c r="AI578" s="59">
        <f t="shared" si="223"/>
        <v>5.1041666666666666E-3</v>
      </c>
      <c r="AJ578" s="57"/>
      <c r="AK578" s="57"/>
      <c r="AL578" s="59">
        <f t="shared" si="224"/>
        <v>5.1041666666666666E-3</v>
      </c>
      <c r="AM578" s="57">
        <v>5.6134259259259271E-3</v>
      </c>
      <c r="AN578" s="57"/>
      <c r="AO578" s="59">
        <f t="shared" si="225"/>
        <v>5.1041666666666666E-3</v>
      </c>
      <c r="AP578" s="57"/>
      <c r="AQ578" s="59">
        <f t="shared" si="203"/>
        <v>5.1041666666666666E-3</v>
      </c>
      <c r="AR578" s="57">
        <v>5.0347222222222225E-3</v>
      </c>
      <c r="AS578" s="57"/>
      <c r="AT578" s="59">
        <f t="shared" si="204"/>
        <v>5.0347222222222225E-3</v>
      </c>
    </row>
    <row r="579" spans="1:46" hidden="1">
      <c r="A579" s="24"/>
      <c r="B579" s="26" t="s">
        <v>5</v>
      </c>
      <c r="C579" s="26" t="s">
        <v>443</v>
      </c>
      <c r="D579" s="50">
        <v>7.04</v>
      </c>
      <c r="E579" s="51"/>
      <c r="F579" s="50">
        <v>7.04</v>
      </c>
      <c r="G579" s="52"/>
      <c r="H579" s="50">
        <v>7.04</v>
      </c>
      <c r="I579" s="53"/>
      <c r="J579" s="50">
        <v>7.04</v>
      </c>
      <c r="K579" s="53"/>
      <c r="L579" s="50">
        <v>7.04</v>
      </c>
      <c r="M579" s="57"/>
      <c r="N579" s="55">
        <v>4.9074074074074072E-3</v>
      </c>
      <c r="O579" s="57"/>
      <c r="P579" s="57"/>
      <c r="Q579" s="59">
        <f t="shared" si="226"/>
        <v>4.9074074074074072E-3</v>
      </c>
      <c r="R579" s="57"/>
      <c r="S579" s="57"/>
      <c r="T579" s="59">
        <f t="shared" si="227"/>
        <v>4.9074074074074072E-3</v>
      </c>
      <c r="U579" s="57"/>
      <c r="V579" s="57"/>
      <c r="W579" s="59">
        <f t="shared" si="228"/>
        <v>4.9074074074074072E-3</v>
      </c>
      <c r="X579" s="57"/>
      <c r="Y579" s="57"/>
      <c r="Z579" s="59">
        <f t="shared" si="220"/>
        <v>4.9074074074074072E-3</v>
      </c>
      <c r="AA579" s="57"/>
      <c r="AB579" s="57"/>
      <c r="AC579" s="59">
        <f t="shared" si="221"/>
        <v>4.9074074074074072E-3</v>
      </c>
      <c r="AD579" s="57"/>
      <c r="AE579" s="57"/>
      <c r="AF579" s="59">
        <f t="shared" si="222"/>
        <v>4.9074074074074072E-3</v>
      </c>
      <c r="AG579" s="57"/>
      <c r="AH579" s="57"/>
      <c r="AI579" s="59">
        <f t="shared" si="223"/>
        <v>4.9074074074074072E-3</v>
      </c>
      <c r="AJ579" s="57"/>
      <c r="AK579" s="57"/>
      <c r="AL579" s="59">
        <f t="shared" si="224"/>
        <v>4.9074074074074072E-3</v>
      </c>
      <c r="AM579" s="57"/>
      <c r="AN579" s="57"/>
      <c r="AO579" s="59">
        <f t="shared" si="225"/>
        <v>4.9074074074074072E-3</v>
      </c>
      <c r="AP579" s="57"/>
      <c r="AQ579" s="59">
        <f t="shared" si="203"/>
        <v>4.9074074074074072E-3</v>
      </c>
      <c r="AR579" s="57"/>
      <c r="AS579" s="57"/>
      <c r="AT579" s="59">
        <f t="shared" si="204"/>
        <v>4.9074074074074072E-3</v>
      </c>
    </row>
    <row r="580" spans="1:46" hidden="1">
      <c r="A580" s="24"/>
      <c r="B580" s="26" t="s">
        <v>416</v>
      </c>
      <c r="C580" s="26" t="s">
        <v>443</v>
      </c>
      <c r="D580" s="50"/>
      <c r="E580" s="51"/>
      <c r="F580" s="50"/>
      <c r="G580" s="52"/>
      <c r="H580" s="50"/>
      <c r="I580" s="53"/>
      <c r="J580" s="50" t="s">
        <v>448</v>
      </c>
      <c r="K580" s="53"/>
      <c r="L580" s="50"/>
      <c r="M580" s="57"/>
      <c r="N580" s="55"/>
      <c r="O580" s="57"/>
      <c r="P580" s="57"/>
      <c r="Q580" s="59" t="str">
        <f t="shared" si="226"/>
        <v/>
      </c>
      <c r="R580" s="57"/>
      <c r="S580" s="57"/>
      <c r="T580" s="59" t="str">
        <f t="shared" si="227"/>
        <v/>
      </c>
      <c r="U580" s="57"/>
      <c r="V580" s="57"/>
      <c r="W580" s="59" t="str">
        <f t="shared" si="228"/>
        <v/>
      </c>
      <c r="X580" s="57"/>
      <c r="Y580" s="57"/>
      <c r="Z580" s="59" t="str">
        <f t="shared" si="220"/>
        <v/>
      </c>
      <c r="AA580" s="57"/>
      <c r="AB580" s="57"/>
      <c r="AC580" s="59" t="str">
        <f t="shared" si="221"/>
        <v/>
      </c>
      <c r="AD580" s="57"/>
      <c r="AE580" s="57"/>
      <c r="AF580" s="59" t="str">
        <f t="shared" si="222"/>
        <v/>
      </c>
      <c r="AG580" s="57"/>
      <c r="AH580" s="57"/>
      <c r="AI580" s="59" t="str">
        <f t="shared" si="223"/>
        <v/>
      </c>
      <c r="AJ580" s="57"/>
      <c r="AK580" s="57"/>
      <c r="AL580" s="59" t="str">
        <f t="shared" si="224"/>
        <v/>
      </c>
      <c r="AM580" s="57"/>
      <c r="AN580" s="57"/>
      <c r="AO580" s="59" t="str">
        <f t="shared" si="225"/>
        <v/>
      </c>
      <c r="AP580" s="57"/>
      <c r="AQ580" s="59" t="str">
        <f t="shared" si="203"/>
        <v/>
      </c>
      <c r="AR580" s="57"/>
      <c r="AS580" s="57"/>
      <c r="AT580" s="59" t="str">
        <f t="shared" si="204"/>
        <v/>
      </c>
    </row>
    <row r="581" spans="1:46" hidden="1">
      <c r="A581" s="24"/>
      <c r="B581" s="26" t="s">
        <v>275</v>
      </c>
      <c r="C581" s="26" t="s">
        <v>443</v>
      </c>
      <c r="D581" s="50" t="s">
        <v>312</v>
      </c>
      <c r="E581" s="51" t="s">
        <v>313</v>
      </c>
      <c r="F581" s="50">
        <v>9.1199999999999992</v>
      </c>
      <c r="G581" s="52"/>
      <c r="H581" s="50">
        <v>9.1199999999999992</v>
      </c>
      <c r="I581" s="53"/>
      <c r="J581" s="50">
        <v>9.1199999999999992</v>
      </c>
      <c r="K581" s="53"/>
      <c r="L581" s="50">
        <v>9.1199999999999992</v>
      </c>
      <c r="M581" s="57"/>
      <c r="N581" s="55">
        <v>6.3888888888888884E-3</v>
      </c>
      <c r="O581" s="57"/>
      <c r="P581" s="57"/>
      <c r="Q581" s="59">
        <f t="shared" si="226"/>
        <v>6.3888888888888884E-3</v>
      </c>
      <c r="R581" s="57"/>
      <c r="S581" s="57"/>
      <c r="T581" s="59">
        <f t="shared" si="227"/>
        <v>6.3888888888888884E-3</v>
      </c>
      <c r="U581" s="57"/>
      <c r="V581" s="57"/>
      <c r="W581" s="59">
        <f t="shared" si="228"/>
        <v>6.3888888888888884E-3</v>
      </c>
      <c r="X581" s="57"/>
      <c r="Y581" s="57"/>
      <c r="Z581" s="59">
        <f t="shared" si="220"/>
        <v>6.3888888888888884E-3</v>
      </c>
      <c r="AA581" s="57"/>
      <c r="AB581" s="57"/>
      <c r="AC581" s="59">
        <f t="shared" si="221"/>
        <v>6.3888888888888884E-3</v>
      </c>
      <c r="AD581" s="57"/>
      <c r="AE581" s="57"/>
      <c r="AF581" s="59">
        <f t="shared" si="222"/>
        <v>6.3888888888888884E-3</v>
      </c>
      <c r="AG581" s="57"/>
      <c r="AH581" s="57"/>
      <c r="AI581" s="59">
        <f t="shared" si="223"/>
        <v>6.3888888888888884E-3</v>
      </c>
      <c r="AJ581" s="57"/>
      <c r="AK581" s="57"/>
      <c r="AL581" s="59">
        <f t="shared" si="224"/>
        <v>6.3888888888888884E-3</v>
      </c>
      <c r="AM581" s="57"/>
      <c r="AN581" s="57"/>
      <c r="AO581" s="59">
        <f t="shared" si="225"/>
        <v>6.3888888888888884E-3</v>
      </c>
      <c r="AP581" s="57"/>
      <c r="AQ581" s="59">
        <f t="shared" si="203"/>
        <v>6.3888888888888884E-3</v>
      </c>
      <c r="AR581" s="57"/>
      <c r="AS581" s="57"/>
      <c r="AT581" s="59">
        <f t="shared" si="204"/>
        <v>6.3888888888888884E-3</v>
      </c>
    </row>
    <row r="582" spans="1:46" hidden="1">
      <c r="A582" s="24"/>
      <c r="B582" s="26" t="s">
        <v>667</v>
      </c>
      <c r="C582" s="26"/>
      <c r="D582" s="50"/>
      <c r="E582" s="51"/>
      <c r="F582" s="50"/>
      <c r="G582" s="52"/>
      <c r="H582" s="50"/>
      <c r="I582" s="53"/>
      <c r="J582" s="50"/>
      <c r="K582" s="53"/>
      <c r="L582" s="50"/>
      <c r="M582" s="57"/>
      <c r="N582" s="55"/>
      <c r="O582" s="57"/>
      <c r="P582" s="57"/>
      <c r="Q582" s="59"/>
      <c r="R582" s="57"/>
      <c r="S582" s="57"/>
      <c r="T582" s="59"/>
      <c r="U582" s="57"/>
      <c r="V582" s="57"/>
      <c r="W582" s="59"/>
      <c r="X582" s="57"/>
      <c r="Y582" s="57"/>
      <c r="Z582" s="59" t="str">
        <f t="shared" si="220"/>
        <v/>
      </c>
      <c r="AA582" s="57"/>
      <c r="AB582" s="57"/>
      <c r="AC582" s="59" t="str">
        <f t="shared" si="221"/>
        <v/>
      </c>
      <c r="AD582" s="57"/>
      <c r="AE582" s="57"/>
      <c r="AF582" s="59" t="str">
        <f t="shared" si="222"/>
        <v/>
      </c>
      <c r="AG582" s="57"/>
      <c r="AH582" s="57"/>
      <c r="AI582" s="59" t="str">
        <f t="shared" si="223"/>
        <v/>
      </c>
      <c r="AJ582" s="57"/>
      <c r="AK582" s="57"/>
      <c r="AL582" s="59" t="str">
        <f t="shared" si="224"/>
        <v/>
      </c>
      <c r="AM582" s="57"/>
      <c r="AN582" s="57"/>
      <c r="AO582" s="59" t="str">
        <f t="shared" si="225"/>
        <v/>
      </c>
      <c r="AP582" s="57"/>
      <c r="AQ582" s="59" t="str">
        <f t="shared" si="203"/>
        <v/>
      </c>
      <c r="AR582" s="57"/>
      <c r="AS582" s="57"/>
      <c r="AT582" s="59" t="str">
        <f t="shared" si="204"/>
        <v/>
      </c>
    </row>
    <row r="583" spans="1:46">
      <c r="A583" s="24" t="s">
        <v>792</v>
      </c>
      <c r="B583" s="26" t="s">
        <v>668</v>
      </c>
      <c r="C583" s="26"/>
      <c r="D583" s="50"/>
      <c r="E583" s="51"/>
      <c r="F583" s="50"/>
      <c r="G583" s="52"/>
      <c r="H583" s="50"/>
      <c r="I583" s="53"/>
      <c r="J583" s="50"/>
      <c r="K583" s="53"/>
      <c r="L583" s="50"/>
      <c r="M583" s="57"/>
      <c r="N583" s="55"/>
      <c r="O583" s="57"/>
      <c r="P583" s="57"/>
      <c r="Q583" s="59"/>
      <c r="R583" s="57"/>
      <c r="S583" s="57"/>
      <c r="T583" s="59"/>
      <c r="U583" s="57"/>
      <c r="V583" s="57"/>
      <c r="W583" s="59"/>
      <c r="X583" s="57">
        <v>6.5162037037037037E-3</v>
      </c>
      <c r="Y583" s="57"/>
      <c r="Z583" s="59">
        <f t="shared" si="220"/>
        <v>6.5162037037037037E-3</v>
      </c>
      <c r="AA583" s="57"/>
      <c r="AB583" s="57"/>
      <c r="AC583" s="59">
        <f t="shared" si="221"/>
        <v>6.5162037037037037E-3</v>
      </c>
      <c r="AD583" s="57">
        <v>7.3842592592592597E-3</v>
      </c>
      <c r="AE583" s="57"/>
      <c r="AF583" s="59">
        <f t="shared" si="222"/>
        <v>6.5162037037037037E-3</v>
      </c>
      <c r="AG583" s="57"/>
      <c r="AH583" s="57"/>
      <c r="AI583" s="59">
        <f t="shared" si="223"/>
        <v>6.5162037037037037E-3</v>
      </c>
      <c r="AJ583" s="57"/>
      <c r="AK583" s="57"/>
      <c r="AL583" s="59">
        <f t="shared" si="224"/>
        <v>6.5162037037037037E-3</v>
      </c>
      <c r="AM583" s="57"/>
      <c r="AN583" s="57"/>
      <c r="AO583" s="59">
        <f t="shared" si="225"/>
        <v>6.5162037037037037E-3</v>
      </c>
      <c r="AP583" s="57"/>
      <c r="AQ583" s="59">
        <f t="shared" si="203"/>
        <v>6.5162037037037037E-3</v>
      </c>
      <c r="AR583" s="57"/>
      <c r="AS583" s="57"/>
      <c r="AT583" s="59">
        <f t="shared" si="204"/>
        <v>6.5162037037037037E-3</v>
      </c>
    </row>
    <row r="584" spans="1:46" hidden="1">
      <c r="A584" s="24"/>
      <c r="B584" s="26" t="s">
        <v>10</v>
      </c>
      <c r="C584" s="26" t="s">
        <v>444</v>
      </c>
      <c r="D584" s="50"/>
      <c r="E584" s="51"/>
      <c r="F584" s="50" t="s">
        <v>448</v>
      </c>
      <c r="G584" s="52"/>
      <c r="H584" s="50"/>
      <c r="I584" s="53"/>
      <c r="J584" s="50" t="s">
        <v>448</v>
      </c>
      <c r="K584" s="53"/>
      <c r="L584" s="50"/>
      <c r="M584" s="57"/>
      <c r="N584" s="55"/>
      <c r="O584" s="57"/>
      <c r="P584" s="57"/>
      <c r="Q584" s="59" t="str">
        <f>IF(MIN(IF(ISBLANK(O584),N584,O584),IF(ISBLANK(N584),O584,N584))=0,"",MIN(IF(ISBLANK(O584),N584,O584),IF(ISBLANK(N584),O584,N584)))</f>
        <v/>
      </c>
      <c r="R584" s="57"/>
      <c r="S584" s="57"/>
      <c r="T584" s="59" t="str">
        <f>IF(MIN(IF(ISBLANK(R584),Q584,R584),IF(ISBLANK(Q584),R584,Q584))=0,"",MIN(IF(ISBLANK(R584),Q584,R584),IF(ISBLANK(Q584),R584,Q584)))</f>
        <v/>
      </c>
      <c r="U584" s="57"/>
      <c r="V584" s="57"/>
      <c r="W584" s="59" t="str">
        <f>IF(MIN(IF(ISBLANK(U584),T584,U584),IF(ISBLANK(T584),U584,T584))=0,"",MIN(IF(ISBLANK(U584),T584,U584),IF(ISBLANK(T584),U584,T584)))</f>
        <v/>
      </c>
      <c r="X584" s="57"/>
      <c r="Y584" s="57"/>
      <c r="Z584" s="59" t="str">
        <f t="shared" si="220"/>
        <v/>
      </c>
      <c r="AA584" s="57"/>
      <c r="AB584" s="57"/>
      <c r="AC584" s="59" t="str">
        <f t="shared" si="221"/>
        <v/>
      </c>
      <c r="AD584" s="57"/>
      <c r="AE584" s="57"/>
      <c r="AF584" s="59" t="str">
        <f t="shared" si="222"/>
        <v/>
      </c>
      <c r="AG584" s="57"/>
      <c r="AH584" s="57"/>
      <c r="AI584" s="59" t="str">
        <f t="shared" si="223"/>
        <v/>
      </c>
      <c r="AJ584" s="57"/>
      <c r="AK584" s="57"/>
      <c r="AL584" s="59" t="str">
        <f t="shared" si="224"/>
        <v/>
      </c>
      <c r="AM584" s="57"/>
      <c r="AN584" s="57"/>
      <c r="AO584" s="59" t="str">
        <f t="shared" si="225"/>
        <v/>
      </c>
      <c r="AP584" s="57"/>
      <c r="AQ584" s="59" t="str">
        <f t="shared" si="203"/>
        <v/>
      </c>
      <c r="AR584" s="57"/>
      <c r="AS584" s="57"/>
      <c r="AT584" s="59" t="str">
        <f t="shared" si="204"/>
        <v/>
      </c>
    </row>
    <row r="585" spans="1:46" hidden="1">
      <c r="A585" s="24"/>
      <c r="B585" s="26" t="s">
        <v>17</v>
      </c>
      <c r="C585" s="26" t="s">
        <v>443</v>
      </c>
      <c r="D585" s="50">
        <v>8.16</v>
      </c>
      <c r="E585" s="51"/>
      <c r="F585" s="50">
        <v>8.16</v>
      </c>
      <c r="G585" s="52"/>
      <c r="H585" s="50">
        <v>8.16</v>
      </c>
      <c r="I585" s="53"/>
      <c r="J585" s="50">
        <v>8.16</v>
      </c>
      <c r="K585" s="53"/>
      <c r="L585" s="50">
        <v>8.16</v>
      </c>
      <c r="M585" s="57"/>
      <c r="N585" s="55">
        <v>5.7407407407407416E-3</v>
      </c>
      <c r="O585" s="57"/>
      <c r="P585" s="57"/>
      <c r="Q585" s="59">
        <f>IF(MIN(IF(ISBLANK(O585),N585,O585),IF(ISBLANK(N585),O585,N585))=0,"",MIN(IF(ISBLANK(O585),N585,O585),IF(ISBLANK(N585),O585,N585)))</f>
        <v>5.7407407407407416E-3</v>
      </c>
      <c r="R585" s="57"/>
      <c r="S585" s="57"/>
      <c r="T585" s="59">
        <f>IF(MIN(IF(ISBLANK(R585),Q585,R585),IF(ISBLANK(Q585),R585,Q585))=0,"",MIN(IF(ISBLANK(R585),Q585,R585),IF(ISBLANK(Q585),R585,Q585)))</f>
        <v>5.7407407407407416E-3</v>
      </c>
      <c r="U585" s="57"/>
      <c r="V585" s="57"/>
      <c r="W585" s="59">
        <f>IF(MIN(IF(ISBLANK(U585),T585,U585),IF(ISBLANK(T585),U585,T585))=0,"",MIN(IF(ISBLANK(U585),T585,U585),IF(ISBLANK(T585),U585,T585)))</f>
        <v>5.7407407407407416E-3</v>
      </c>
      <c r="X585" s="57"/>
      <c r="Y585" s="57"/>
      <c r="Z585" s="59">
        <f t="shared" si="220"/>
        <v>5.7407407407407416E-3</v>
      </c>
      <c r="AA585" s="57"/>
      <c r="AB585" s="57"/>
      <c r="AC585" s="59">
        <f t="shared" si="221"/>
        <v>5.7407407407407416E-3</v>
      </c>
      <c r="AD585" s="57"/>
      <c r="AE585" s="57"/>
      <c r="AF585" s="59">
        <f t="shared" si="222"/>
        <v>5.7407407407407416E-3</v>
      </c>
      <c r="AG585" s="57"/>
      <c r="AH585" s="57"/>
      <c r="AI585" s="59">
        <f t="shared" si="223"/>
        <v>5.7407407407407416E-3</v>
      </c>
      <c r="AJ585" s="57"/>
      <c r="AK585" s="57"/>
      <c r="AL585" s="59">
        <f t="shared" si="224"/>
        <v>5.7407407407407416E-3</v>
      </c>
      <c r="AM585" s="57"/>
      <c r="AN585" s="57"/>
      <c r="AO585" s="59">
        <f t="shared" si="225"/>
        <v>5.7407407407407416E-3</v>
      </c>
      <c r="AP585" s="57"/>
      <c r="AQ585" s="59">
        <f t="shared" si="203"/>
        <v>5.7407407407407416E-3</v>
      </c>
      <c r="AR585" s="57"/>
      <c r="AS585" s="57"/>
      <c r="AT585" s="59">
        <f t="shared" si="204"/>
        <v>5.7407407407407416E-3</v>
      </c>
    </row>
    <row r="586" spans="1:46" hidden="1">
      <c r="A586" s="24"/>
      <c r="B586" s="26" t="s">
        <v>680</v>
      </c>
      <c r="C586" s="26"/>
      <c r="D586" s="50"/>
      <c r="E586" s="51"/>
      <c r="F586" s="50"/>
      <c r="G586" s="52"/>
      <c r="H586" s="50"/>
      <c r="I586" s="53"/>
      <c r="J586" s="50"/>
      <c r="K586" s="53"/>
      <c r="L586" s="50"/>
      <c r="M586" s="57"/>
      <c r="N586" s="55"/>
      <c r="O586" s="57"/>
      <c r="P586" s="57"/>
      <c r="Q586" s="59"/>
      <c r="R586" s="57"/>
      <c r="S586" s="57"/>
      <c r="T586" s="59"/>
      <c r="U586" s="57"/>
      <c r="V586" s="57"/>
      <c r="W586" s="59"/>
      <c r="X586" s="57">
        <v>8.726851851851852E-3</v>
      </c>
      <c r="Y586" s="57"/>
      <c r="Z586" s="59">
        <f t="shared" si="220"/>
        <v>8.726851851851852E-3</v>
      </c>
      <c r="AA586" s="57"/>
      <c r="AB586" s="57"/>
      <c r="AC586" s="59">
        <f t="shared" si="221"/>
        <v>8.726851851851852E-3</v>
      </c>
      <c r="AD586" s="57"/>
      <c r="AE586" s="57"/>
      <c r="AF586" s="59">
        <f t="shared" si="222"/>
        <v>8.726851851851852E-3</v>
      </c>
      <c r="AG586" s="57"/>
      <c r="AH586" s="57"/>
      <c r="AI586" s="59">
        <f t="shared" si="223"/>
        <v>8.726851851851852E-3</v>
      </c>
      <c r="AJ586" s="57"/>
      <c r="AK586" s="57"/>
      <c r="AL586" s="59">
        <f t="shared" si="224"/>
        <v>8.726851851851852E-3</v>
      </c>
      <c r="AM586" s="57"/>
      <c r="AN586" s="57"/>
      <c r="AO586" s="59">
        <f t="shared" si="225"/>
        <v>8.726851851851852E-3</v>
      </c>
      <c r="AP586" s="57"/>
      <c r="AQ586" s="59">
        <f t="shared" si="203"/>
        <v>8.726851851851852E-3</v>
      </c>
      <c r="AR586" s="57"/>
      <c r="AS586" s="57"/>
      <c r="AT586" s="59">
        <f t="shared" si="204"/>
        <v>8.726851851851852E-3</v>
      </c>
    </row>
    <row r="587" spans="1:46">
      <c r="A587" s="24" t="s">
        <v>792</v>
      </c>
      <c r="B587" s="26" t="s">
        <v>776</v>
      </c>
      <c r="C587" s="26" t="s">
        <v>444</v>
      </c>
      <c r="D587" s="50">
        <v>10.25</v>
      </c>
      <c r="E587" s="51"/>
      <c r="F587" s="50">
        <v>10.25</v>
      </c>
      <c r="G587" s="52"/>
      <c r="H587" s="50">
        <v>10.25</v>
      </c>
      <c r="I587" s="53"/>
      <c r="J587" s="50">
        <v>10.25</v>
      </c>
      <c r="K587" s="53"/>
      <c r="L587" s="50">
        <v>10.25</v>
      </c>
      <c r="M587" s="57"/>
      <c r="N587" s="55">
        <v>7.2337962962962963E-3</v>
      </c>
      <c r="O587" s="57"/>
      <c r="P587" s="57"/>
      <c r="Q587" s="59">
        <f t="shared" ref="Q587:Q602" si="229">IF(MIN(IF(ISBLANK(O587),N587,O587),IF(ISBLANK(N587),O587,N587))=0,"",MIN(IF(ISBLANK(O587),N587,O587),IF(ISBLANK(N587),O587,N587)))</f>
        <v>7.2337962962962963E-3</v>
      </c>
      <c r="R587" s="57"/>
      <c r="S587" s="57"/>
      <c r="T587" s="59">
        <f t="shared" ref="T587:T602" si="230">IF(MIN(IF(ISBLANK(R587),Q587,R587),IF(ISBLANK(Q587),R587,Q587))=0,"",MIN(IF(ISBLANK(R587),Q587,R587),IF(ISBLANK(Q587),R587,Q587)))</f>
        <v>7.2337962962962963E-3</v>
      </c>
      <c r="U587" s="57"/>
      <c r="V587" s="57"/>
      <c r="W587" s="59">
        <f t="shared" ref="W587:W602" si="231">IF(MIN(IF(ISBLANK(U587),T587,U587),IF(ISBLANK(T587),U587,T587))=0,"",MIN(IF(ISBLANK(U587),T587,U587),IF(ISBLANK(T587),U587,T587)))</f>
        <v>7.2337962962962963E-3</v>
      </c>
      <c r="X587" s="57"/>
      <c r="Y587" s="57"/>
      <c r="Z587" s="59">
        <f t="shared" si="220"/>
        <v>7.2337962962962963E-3</v>
      </c>
      <c r="AA587" s="57"/>
      <c r="AB587" s="57"/>
      <c r="AC587" s="59">
        <f t="shared" si="221"/>
        <v>7.2337962962962963E-3</v>
      </c>
      <c r="AD587" s="57"/>
      <c r="AE587" s="57"/>
      <c r="AF587" s="59">
        <f t="shared" si="222"/>
        <v>7.2337962962962963E-3</v>
      </c>
      <c r="AG587" s="57"/>
      <c r="AH587" s="57"/>
      <c r="AI587" s="59">
        <f t="shared" si="223"/>
        <v>7.2337962962962963E-3</v>
      </c>
      <c r="AJ587" s="57"/>
      <c r="AK587" s="57"/>
      <c r="AL587" s="59">
        <f t="shared" si="224"/>
        <v>7.2337962962962963E-3</v>
      </c>
      <c r="AM587" s="57"/>
      <c r="AN587" s="57"/>
      <c r="AO587" s="59">
        <f t="shared" si="225"/>
        <v>7.2337962962962963E-3</v>
      </c>
      <c r="AP587" s="57"/>
      <c r="AQ587" s="59">
        <f t="shared" ref="AQ587:AQ650" si="232">IF(MIN(IF(ISBLANK(AO587),AP587,AO587),IF(ISBLANK(AP587),AO587,AP587))=0,"",MIN(IF(ISBLANK(AO587),AP587,AO587),IF(ISBLANK(AP587),AO587,AP587)))</f>
        <v>7.2337962962962963E-3</v>
      </c>
      <c r="AR587" s="57"/>
      <c r="AS587" s="57"/>
      <c r="AT587" s="59">
        <f t="shared" ref="AT587:AT650" si="233">IF(MIN(IF(ISBLANK(AQ587),AR587,AQ587),IF(ISBLANK(AR587),AQ587,AR587))=0,"",MIN(IF(ISBLANK(AQ587),AR587,AQ587),IF(ISBLANK(AR587),AQ587,AR587)))</f>
        <v>7.2337962962962963E-3</v>
      </c>
    </row>
    <row r="588" spans="1:46" hidden="1">
      <c r="A588" s="24"/>
      <c r="B588" s="26" t="s">
        <v>22</v>
      </c>
      <c r="C588" s="26" t="s">
        <v>444</v>
      </c>
      <c r="D588" s="50"/>
      <c r="E588" s="51"/>
      <c r="F588" s="50" t="s">
        <v>448</v>
      </c>
      <c r="G588" s="52"/>
      <c r="H588" s="50"/>
      <c r="I588" s="53"/>
      <c r="J588" s="50" t="s">
        <v>448</v>
      </c>
      <c r="K588" s="53"/>
      <c r="L588" s="50"/>
      <c r="M588" s="57"/>
      <c r="N588" s="55"/>
      <c r="O588" s="57"/>
      <c r="P588" s="57"/>
      <c r="Q588" s="59" t="str">
        <f t="shared" si="229"/>
        <v/>
      </c>
      <c r="R588" s="57"/>
      <c r="S588" s="57"/>
      <c r="T588" s="59" t="str">
        <f t="shared" si="230"/>
        <v/>
      </c>
      <c r="U588" s="57"/>
      <c r="V588" s="57"/>
      <c r="W588" s="59" t="str">
        <f t="shared" si="231"/>
        <v/>
      </c>
      <c r="X588" s="57"/>
      <c r="Y588" s="57"/>
      <c r="Z588" s="59" t="str">
        <f t="shared" si="220"/>
        <v/>
      </c>
      <c r="AA588" s="57"/>
      <c r="AB588" s="57"/>
      <c r="AC588" s="59" t="str">
        <f t="shared" si="221"/>
        <v/>
      </c>
      <c r="AD588" s="57"/>
      <c r="AE588" s="57"/>
      <c r="AF588" s="59" t="str">
        <f t="shared" si="222"/>
        <v/>
      </c>
      <c r="AG588" s="57"/>
      <c r="AH588" s="57"/>
      <c r="AI588" s="59" t="str">
        <f t="shared" si="223"/>
        <v/>
      </c>
      <c r="AJ588" s="57"/>
      <c r="AK588" s="57"/>
      <c r="AL588" s="59" t="str">
        <f t="shared" si="224"/>
        <v/>
      </c>
      <c r="AM588" s="57"/>
      <c r="AN588" s="57"/>
      <c r="AO588" s="59" t="str">
        <f t="shared" si="225"/>
        <v/>
      </c>
      <c r="AP588" s="57"/>
      <c r="AQ588" s="59" t="str">
        <f t="shared" si="232"/>
        <v/>
      </c>
      <c r="AR588" s="57"/>
      <c r="AS588" s="57"/>
      <c r="AT588" s="59" t="str">
        <f t="shared" si="233"/>
        <v/>
      </c>
    </row>
    <row r="589" spans="1:46" hidden="1">
      <c r="A589" s="24"/>
      <c r="B589" s="26" t="s">
        <v>32</v>
      </c>
      <c r="C589" s="26" t="s">
        <v>444</v>
      </c>
      <c r="D589" s="50">
        <v>11.25</v>
      </c>
      <c r="E589" s="51"/>
      <c r="F589" s="50">
        <v>11.25</v>
      </c>
      <c r="G589" s="52"/>
      <c r="H589" s="50">
        <v>11.25</v>
      </c>
      <c r="I589" s="53"/>
      <c r="J589" s="50">
        <v>11.25</v>
      </c>
      <c r="K589" s="53"/>
      <c r="L589" s="50">
        <v>11.25</v>
      </c>
      <c r="M589" s="57"/>
      <c r="N589" s="55">
        <v>7.9282407407407409E-3</v>
      </c>
      <c r="O589" s="57"/>
      <c r="P589" s="57"/>
      <c r="Q589" s="59">
        <f t="shared" si="229"/>
        <v>7.9282407407407409E-3</v>
      </c>
      <c r="R589" s="57"/>
      <c r="S589" s="57"/>
      <c r="T589" s="59">
        <f t="shared" si="230"/>
        <v>7.9282407407407409E-3</v>
      </c>
      <c r="U589" s="57"/>
      <c r="V589" s="57"/>
      <c r="W589" s="59">
        <f t="shared" si="231"/>
        <v>7.9282407407407409E-3</v>
      </c>
      <c r="X589" s="57"/>
      <c r="Y589" s="57"/>
      <c r="Z589" s="59">
        <f t="shared" si="220"/>
        <v>7.9282407407407409E-3</v>
      </c>
      <c r="AA589" s="57"/>
      <c r="AB589" s="57"/>
      <c r="AC589" s="59">
        <f t="shared" si="221"/>
        <v>7.9282407407407409E-3</v>
      </c>
      <c r="AD589" s="57"/>
      <c r="AE589" s="57"/>
      <c r="AF589" s="59">
        <f t="shared" si="222"/>
        <v>7.9282407407407409E-3</v>
      </c>
      <c r="AG589" s="57"/>
      <c r="AH589" s="57"/>
      <c r="AI589" s="59">
        <f t="shared" si="223"/>
        <v>7.9282407407407409E-3</v>
      </c>
      <c r="AJ589" s="57"/>
      <c r="AK589" s="57"/>
      <c r="AL589" s="59">
        <f t="shared" si="224"/>
        <v>7.9282407407407409E-3</v>
      </c>
      <c r="AM589" s="57"/>
      <c r="AN589" s="57"/>
      <c r="AO589" s="59">
        <f t="shared" si="225"/>
        <v>7.9282407407407409E-3</v>
      </c>
      <c r="AP589" s="57"/>
      <c r="AQ589" s="59">
        <f t="shared" si="232"/>
        <v>7.9282407407407409E-3</v>
      </c>
      <c r="AR589" s="57"/>
      <c r="AS589" s="57"/>
      <c r="AT589" s="59">
        <f t="shared" si="233"/>
        <v>7.9282407407407409E-3</v>
      </c>
    </row>
    <row r="590" spans="1:46" hidden="1">
      <c r="A590" s="24"/>
      <c r="B590" s="26" t="s">
        <v>588</v>
      </c>
      <c r="C590" s="26"/>
      <c r="D590" s="50"/>
      <c r="E590" s="51"/>
      <c r="F590" s="50"/>
      <c r="G590" s="52"/>
      <c r="H590" s="50"/>
      <c r="I590" s="53"/>
      <c r="J590" s="50"/>
      <c r="K590" s="53"/>
      <c r="L590" s="50"/>
      <c r="M590" s="57"/>
      <c r="N590" s="55"/>
      <c r="O590" s="57">
        <v>7.6851851851851847E-3</v>
      </c>
      <c r="P590" s="57"/>
      <c r="Q590" s="59">
        <f t="shared" si="229"/>
        <v>7.6851851851851847E-3</v>
      </c>
      <c r="R590" s="57"/>
      <c r="S590" s="57"/>
      <c r="T590" s="59">
        <f t="shared" si="230"/>
        <v>7.6851851851851847E-3</v>
      </c>
      <c r="U590" s="57"/>
      <c r="V590" s="57"/>
      <c r="W590" s="59">
        <f t="shared" si="231"/>
        <v>7.6851851851851847E-3</v>
      </c>
      <c r="X590" s="57"/>
      <c r="Y590" s="57"/>
      <c r="Z590" s="59">
        <f t="shared" si="220"/>
        <v>7.6851851851851847E-3</v>
      </c>
      <c r="AA590" s="57"/>
      <c r="AB590" s="57"/>
      <c r="AC590" s="59">
        <f t="shared" si="221"/>
        <v>7.6851851851851847E-3</v>
      </c>
      <c r="AD590" s="57"/>
      <c r="AE590" s="57"/>
      <c r="AF590" s="59">
        <f t="shared" si="222"/>
        <v>7.6851851851851847E-3</v>
      </c>
      <c r="AG590" s="57"/>
      <c r="AH590" s="57"/>
      <c r="AI590" s="59">
        <f t="shared" si="223"/>
        <v>7.6851851851851847E-3</v>
      </c>
      <c r="AJ590" s="57"/>
      <c r="AK590" s="57"/>
      <c r="AL590" s="59">
        <f t="shared" si="224"/>
        <v>7.6851851851851847E-3</v>
      </c>
      <c r="AM590" s="57"/>
      <c r="AN590" s="57"/>
      <c r="AO590" s="59">
        <f t="shared" si="225"/>
        <v>7.6851851851851847E-3</v>
      </c>
      <c r="AP590" s="57"/>
      <c r="AQ590" s="59">
        <f t="shared" si="232"/>
        <v>7.6851851851851847E-3</v>
      </c>
      <c r="AR590" s="57"/>
      <c r="AS590" s="57"/>
      <c r="AT590" s="59">
        <f t="shared" si="233"/>
        <v>7.6851851851851847E-3</v>
      </c>
    </row>
    <row r="591" spans="1:46" hidden="1">
      <c r="A591" s="24"/>
      <c r="B591" s="26" t="s">
        <v>38</v>
      </c>
      <c r="C591" s="26" t="s">
        <v>444</v>
      </c>
      <c r="D591" s="50">
        <v>11.02</v>
      </c>
      <c r="E591" s="51"/>
      <c r="F591" s="50">
        <v>11.02</v>
      </c>
      <c r="G591" s="52"/>
      <c r="H591" s="50">
        <v>11.02</v>
      </c>
      <c r="I591" s="53"/>
      <c r="J591" s="50">
        <v>11.02</v>
      </c>
      <c r="K591" s="53"/>
      <c r="L591" s="50">
        <v>11.02</v>
      </c>
      <c r="M591" s="57"/>
      <c r="N591" s="55">
        <v>7.6620370370370366E-3</v>
      </c>
      <c r="O591" s="57"/>
      <c r="P591" s="57"/>
      <c r="Q591" s="59">
        <f t="shared" si="229"/>
        <v>7.6620370370370366E-3</v>
      </c>
      <c r="R591" s="57"/>
      <c r="S591" s="57"/>
      <c r="T591" s="59">
        <f t="shared" si="230"/>
        <v>7.6620370370370366E-3</v>
      </c>
      <c r="U591" s="57"/>
      <c r="V591" s="57"/>
      <c r="W591" s="59">
        <f t="shared" si="231"/>
        <v>7.6620370370370366E-3</v>
      </c>
      <c r="X591" s="57"/>
      <c r="Y591" s="57"/>
      <c r="Z591" s="59">
        <f t="shared" si="220"/>
        <v>7.6620370370370366E-3</v>
      </c>
      <c r="AA591" s="57"/>
      <c r="AB591" s="57"/>
      <c r="AC591" s="59">
        <f t="shared" si="221"/>
        <v>7.6620370370370366E-3</v>
      </c>
      <c r="AD591" s="57"/>
      <c r="AE591" s="57"/>
      <c r="AF591" s="59">
        <f t="shared" si="222"/>
        <v>7.6620370370370366E-3</v>
      </c>
      <c r="AG591" s="57"/>
      <c r="AH591" s="57"/>
      <c r="AI591" s="59">
        <f t="shared" si="223"/>
        <v>7.6620370370370366E-3</v>
      </c>
      <c r="AJ591" s="57"/>
      <c r="AK591" s="57"/>
      <c r="AL591" s="59">
        <f t="shared" si="224"/>
        <v>7.6620370370370366E-3</v>
      </c>
      <c r="AM591" s="57"/>
      <c r="AN591" s="57"/>
      <c r="AO591" s="59">
        <f t="shared" si="225"/>
        <v>7.6620370370370366E-3</v>
      </c>
      <c r="AP591" s="57"/>
      <c r="AQ591" s="59">
        <f t="shared" si="232"/>
        <v>7.6620370370370366E-3</v>
      </c>
      <c r="AR591" s="57"/>
      <c r="AS591" s="57"/>
      <c r="AT591" s="59">
        <f t="shared" si="233"/>
        <v>7.6620370370370366E-3</v>
      </c>
    </row>
    <row r="592" spans="1:46" hidden="1">
      <c r="A592" s="24"/>
      <c r="B592" s="26" t="s">
        <v>556</v>
      </c>
      <c r="C592" s="26"/>
      <c r="D592" s="50"/>
      <c r="E592" s="51"/>
      <c r="F592" s="50"/>
      <c r="G592" s="52"/>
      <c r="H592" s="50"/>
      <c r="I592" s="53"/>
      <c r="J592" s="50"/>
      <c r="K592" s="53"/>
      <c r="L592" s="50"/>
      <c r="M592" s="57"/>
      <c r="N592" s="55"/>
      <c r="O592" s="57"/>
      <c r="P592" s="57"/>
      <c r="Q592" s="59" t="str">
        <f t="shared" si="229"/>
        <v/>
      </c>
      <c r="R592" s="57"/>
      <c r="S592" s="57"/>
      <c r="T592" s="59" t="str">
        <f t="shared" si="230"/>
        <v/>
      </c>
      <c r="U592" s="57"/>
      <c r="V592" s="57"/>
      <c r="W592" s="59" t="str">
        <f t="shared" si="231"/>
        <v/>
      </c>
      <c r="X592" s="57"/>
      <c r="Y592" s="57"/>
      <c r="Z592" s="59" t="str">
        <f t="shared" si="220"/>
        <v/>
      </c>
      <c r="AA592" s="57"/>
      <c r="AB592" s="57"/>
      <c r="AC592" s="59" t="str">
        <f t="shared" si="221"/>
        <v/>
      </c>
      <c r="AD592" s="57"/>
      <c r="AE592" s="57"/>
      <c r="AF592" s="59" t="str">
        <f t="shared" si="222"/>
        <v/>
      </c>
      <c r="AG592" s="57"/>
      <c r="AH592" s="57"/>
      <c r="AI592" s="59" t="str">
        <f t="shared" si="223"/>
        <v/>
      </c>
      <c r="AJ592" s="57"/>
      <c r="AK592" s="57"/>
      <c r="AL592" s="59" t="str">
        <f t="shared" si="224"/>
        <v/>
      </c>
      <c r="AM592" s="57"/>
      <c r="AN592" s="57"/>
      <c r="AO592" s="59" t="str">
        <f t="shared" si="225"/>
        <v/>
      </c>
      <c r="AP592" s="57"/>
      <c r="AQ592" s="59" t="str">
        <f t="shared" si="232"/>
        <v/>
      </c>
      <c r="AR592" s="57"/>
      <c r="AS592" s="57"/>
      <c r="AT592" s="59" t="str">
        <f t="shared" si="233"/>
        <v/>
      </c>
    </row>
    <row r="593" spans="1:46" hidden="1">
      <c r="A593" s="24"/>
      <c r="B593" s="26" t="s">
        <v>544</v>
      </c>
      <c r="C593" s="26"/>
      <c r="D593" s="50"/>
      <c r="E593" s="51"/>
      <c r="F593" s="50"/>
      <c r="G593" s="52"/>
      <c r="H593" s="50"/>
      <c r="I593" s="53"/>
      <c r="J593" s="50"/>
      <c r="K593" s="53"/>
      <c r="L593" s="50"/>
      <c r="M593" s="57"/>
      <c r="N593" s="55"/>
      <c r="O593" s="57"/>
      <c r="P593" s="57"/>
      <c r="Q593" s="59" t="str">
        <f t="shared" si="229"/>
        <v/>
      </c>
      <c r="R593" s="57"/>
      <c r="S593" s="57"/>
      <c r="T593" s="59" t="str">
        <f t="shared" si="230"/>
        <v/>
      </c>
      <c r="U593" s="57"/>
      <c r="V593" s="57"/>
      <c r="W593" s="59" t="str">
        <f t="shared" si="231"/>
        <v/>
      </c>
      <c r="X593" s="57"/>
      <c r="Y593" s="57"/>
      <c r="Z593" s="59" t="str">
        <f t="shared" si="220"/>
        <v/>
      </c>
      <c r="AA593" s="57"/>
      <c r="AB593" s="57"/>
      <c r="AC593" s="59" t="str">
        <f t="shared" si="221"/>
        <v/>
      </c>
      <c r="AD593" s="57"/>
      <c r="AE593" s="57"/>
      <c r="AF593" s="59" t="str">
        <f t="shared" si="222"/>
        <v/>
      </c>
      <c r="AG593" s="57"/>
      <c r="AH593" s="57"/>
      <c r="AI593" s="59" t="str">
        <f t="shared" si="223"/>
        <v/>
      </c>
      <c r="AJ593" s="57"/>
      <c r="AK593" s="57"/>
      <c r="AL593" s="59" t="str">
        <f t="shared" si="224"/>
        <v/>
      </c>
      <c r="AM593" s="57"/>
      <c r="AN593" s="57"/>
      <c r="AO593" s="59" t="str">
        <f t="shared" si="225"/>
        <v/>
      </c>
      <c r="AP593" s="57"/>
      <c r="AQ593" s="59" t="str">
        <f t="shared" si="232"/>
        <v/>
      </c>
      <c r="AR593" s="57"/>
      <c r="AS593" s="57"/>
      <c r="AT593" s="59" t="str">
        <f t="shared" si="233"/>
        <v/>
      </c>
    </row>
    <row r="594" spans="1:46" hidden="1">
      <c r="A594" s="24"/>
      <c r="B594" s="26" t="s">
        <v>230</v>
      </c>
      <c r="C594" s="26" t="s">
        <v>444</v>
      </c>
      <c r="D594" s="50">
        <v>9.27</v>
      </c>
      <c r="E594" s="51"/>
      <c r="F594" s="50">
        <v>9.27</v>
      </c>
      <c r="G594" s="52"/>
      <c r="H594" s="50">
        <v>9.27</v>
      </c>
      <c r="I594" s="53"/>
      <c r="J594" s="50">
        <v>9.27</v>
      </c>
      <c r="K594" s="53"/>
      <c r="L594" s="50">
        <v>9.27</v>
      </c>
      <c r="M594" s="57"/>
      <c r="N594" s="55">
        <v>6.5624999999999998E-3</v>
      </c>
      <c r="O594" s="57"/>
      <c r="P594" s="57"/>
      <c r="Q594" s="59">
        <f t="shared" si="229"/>
        <v>6.5624999999999998E-3</v>
      </c>
      <c r="R594" s="57"/>
      <c r="S594" s="57"/>
      <c r="T594" s="59">
        <f t="shared" si="230"/>
        <v>6.5624999999999998E-3</v>
      </c>
      <c r="U594" s="57"/>
      <c r="V594" s="57"/>
      <c r="W594" s="59">
        <f t="shared" si="231"/>
        <v>6.5624999999999998E-3</v>
      </c>
      <c r="X594" s="57"/>
      <c r="Y594" s="57"/>
      <c r="Z594" s="59">
        <f t="shared" si="220"/>
        <v>6.5624999999999998E-3</v>
      </c>
      <c r="AA594" s="57"/>
      <c r="AB594" s="57"/>
      <c r="AC594" s="59">
        <f t="shared" si="221"/>
        <v>6.5624999999999998E-3</v>
      </c>
      <c r="AD594" s="57"/>
      <c r="AE594" s="57"/>
      <c r="AF594" s="59">
        <f t="shared" si="222"/>
        <v>6.5624999999999998E-3</v>
      </c>
      <c r="AG594" s="57"/>
      <c r="AH594" s="57"/>
      <c r="AI594" s="59">
        <f t="shared" si="223"/>
        <v>6.5624999999999998E-3</v>
      </c>
      <c r="AJ594" s="57"/>
      <c r="AK594" s="57"/>
      <c r="AL594" s="59">
        <f t="shared" si="224"/>
        <v>6.5624999999999998E-3</v>
      </c>
      <c r="AM594" s="57"/>
      <c r="AN594" s="57"/>
      <c r="AO594" s="59">
        <f t="shared" si="225"/>
        <v>6.5624999999999998E-3</v>
      </c>
      <c r="AP594" s="57"/>
      <c r="AQ594" s="59">
        <f t="shared" si="232"/>
        <v>6.5624999999999998E-3</v>
      </c>
      <c r="AR594" s="57"/>
      <c r="AS594" s="57"/>
      <c r="AT594" s="59">
        <f t="shared" si="233"/>
        <v>6.5624999999999998E-3</v>
      </c>
    </row>
    <row r="595" spans="1:46" hidden="1">
      <c r="A595" s="24"/>
      <c r="B595" s="26" t="s">
        <v>45</v>
      </c>
      <c r="C595" s="26" t="s">
        <v>444</v>
      </c>
      <c r="D595" s="50">
        <v>7.56</v>
      </c>
      <c r="E595" s="51" t="s">
        <v>310</v>
      </c>
      <c r="F595" s="50">
        <v>7.56</v>
      </c>
      <c r="G595" s="52" t="s">
        <v>357</v>
      </c>
      <c r="H595" s="50">
        <v>7.56</v>
      </c>
      <c r="I595" s="53"/>
      <c r="J595" s="50">
        <v>7.56</v>
      </c>
      <c r="K595" s="53">
        <v>10.01</v>
      </c>
      <c r="L595" s="50">
        <v>7.56</v>
      </c>
      <c r="M595" s="57"/>
      <c r="N595" s="55">
        <v>5.5092592592592589E-3</v>
      </c>
      <c r="O595" s="57"/>
      <c r="P595" s="57"/>
      <c r="Q595" s="59">
        <f t="shared" si="229"/>
        <v>5.5092592592592589E-3</v>
      </c>
      <c r="R595" s="57"/>
      <c r="S595" s="57"/>
      <c r="T595" s="59">
        <f t="shared" si="230"/>
        <v>5.5092592592592589E-3</v>
      </c>
      <c r="U595" s="57"/>
      <c r="V595" s="57"/>
      <c r="W595" s="59">
        <f t="shared" si="231"/>
        <v>5.5092592592592589E-3</v>
      </c>
      <c r="X595" s="57"/>
      <c r="Y595" s="57"/>
      <c r="Z595" s="59">
        <f t="shared" si="220"/>
        <v>5.5092592592592589E-3</v>
      </c>
      <c r="AA595" s="57"/>
      <c r="AB595" s="57"/>
      <c r="AC595" s="59">
        <f t="shared" si="221"/>
        <v>5.5092592592592589E-3</v>
      </c>
      <c r="AD595" s="57"/>
      <c r="AE595" s="57"/>
      <c r="AF595" s="59">
        <f t="shared" si="222"/>
        <v>5.5092592592592589E-3</v>
      </c>
      <c r="AG595" s="57"/>
      <c r="AH595" s="57"/>
      <c r="AI595" s="59">
        <f t="shared" si="223"/>
        <v>5.5092592592592589E-3</v>
      </c>
      <c r="AJ595" s="57"/>
      <c r="AK595" s="57"/>
      <c r="AL595" s="59">
        <f t="shared" si="224"/>
        <v>5.5092592592592589E-3</v>
      </c>
      <c r="AM595" s="57"/>
      <c r="AN595" s="57"/>
      <c r="AO595" s="59">
        <f t="shared" si="225"/>
        <v>5.5092592592592589E-3</v>
      </c>
      <c r="AP595" s="57"/>
      <c r="AQ595" s="59">
        <f t="shared" si="232"/>
        <v>5.5092592592592589E-3</v>
      </c>
      <c r="AR595" s="57"/>
      <c r="AS595" s="57"/>
      <c r="AT595" s="59">
        <f t="shared" si="233"/>
        <v>5.5092592592592589E-3</v>
      </c>
    </row>
    <row r="596" spans="1:46" hidden="1">
      <c r="A596" s="24"/>
      <c r="B596" s="26" t="s">
        <v>528</v>
      </c>
      <c r="C596" s="26" t="s">
        <v>444</v>
      </c>
      <c r="D596" s="50"/>
      <c r="E596" s="51"/>
      <c r="F596" s="50"/>
      <c r="G596" s="52"/>
      <c r="H596" s="50"/>
      <c r="I596" s="53"/>
      <c r="J596" s="50"/>
      <c r="K596" s="53"/>
      <c r="L596" s="50"/>
      <c r="M596" s="57"/>
      <c r="N596" s="55"/>
      <c r="O596" s="57"/>
      <c r="P596" s="57"/>
      <c r="Q596" s="59" t="str">
        <f t="shared" si="229"/>
        <v/>
      </c>
      <c r="R596" s="57"/>
      <c r="S596" s="57"/>
      <c r="T596" s="59" t="str">
        <f t="shared" si="230"/>
        <v/>
      </c>
      <c r="U596" s="57"/>
      <c r="V596" s="57"/>
      <c r="W596" s="59" t="str">
        <f t="shared" si="231"/>
        <v/>
      </c>
      <c r="X596" s="57"/>
      <c r="Y596" s="57"/>
      <c r="Z596" s="59" t="str">
        <f t="shared" si="220"/>
        <v/>
      </c>
      <c r="AA596" s="57"/>
      <c r="AB596" s="57"/>
      <c r="AC596" s="59" t="str">
        <f t="shared" si="221"/>
        <v/>
      </c>
      <c r="AD596" s="57"/>
      <c r="AE596" s="57"/>
      <c r="AF596" s="59" t="str">
        <f t="shared" si="222"/>
        <v/>
      </c>
      <c r="AG596" s="57"/>
      <c r="AH596" s="57"/>
      <c r="AI596" s="59" t="str">
        <f t="shared" si="223"/>
        <v/>
      </c>
      <c r="AJ596" s="57"/>
      <c r="AK596" s="57"/>
      <c r="AL596" s="59" t="str">
        <f t="shared" si="224"/>
        <v/>
      </c>
      <c r="AM596" s="57"/>
      <c r="AN596" s="57"/>
      <c r="AO596" s="59" t="str">
        <f t="shared" si="225"/>
        <v/>
      </c>
      <c r="AP596" s="57"/>
      <c r="AQ596" s="59" t="str">
        <f t="shared" si="232"/>
        <v/>
      </c>
      <c r="AR596" s="57"/>
      <c r="AS596" s="57"/>
      <c r="AT596" s="59" t="str">
        <f t="shared" si="233"/>
        <v/>
      </c>
    </row>
    <row r="597" spans="1:46" hidden="1">
      <c r="A597" s="24"/>
      <c r="B597" s="26" t="s">
        <v>484</v>
      </c>
      <c r="C597" s="26" t="s">
        <v>444</v>
      </c>
      <c r="D597" s="50"/>
      <c r="E597" s="51"/>
      <c r="F597" s="50"/>
      <c r="G597" s="52"/>
      <c r="H597" s="50"/>
      <c r="I597" s="53"/>
      <c r="J597" s="50"/>
      <c r="K597" s="53">
        <v>8.56</v>
      </c>
      <c r="L597" s="50">
        <v>8.56</v>
      </c>
      <c r="M597" s="57"/>
      <c r="N597" s="55">
        <v>6.2037037037037043E-3</v>
      </c>
      <c r="O597" s="57"/>
      <c r="P597" s="57"/>
      <c r="Q597" s="59">
        <f t="shared" si="229"/>
        <v>6.2037037037037043E-3</v>
      </c>
      <c r="R597" s="57"/>
      <c r="S597" s="57"/>
      <c r="T597" s="59">
        <f t="shared" si="230"/>
        <v>6.2037037037037043E-3</v>
      </c>
      <c r="U597" s="57"/>
      <c r="V597" s="57"/>
      <c r="W597" s="59">
        <f t="shared" si="231"/>
        <v>6.2037037037037043E-3</v>
      </c>
      <c r="X597" s="57"/>
      <c r="Y597" s="57"/>
      <c r="Z597" s="59">
        <f t="shared" si="220"/>
        <v>6.2037037037037043E-3</v>
      </c>
      <c r="AA597" s="57"/>
      <c r="AB597" s="57"/>
      <c r="AC597" s="59">
        <f t="shared" si="221"/>
        <v>6.2037037037037043E-3</v>
      </c>
      <c r="AD597" s="57"/>
      <c r="AE597" s="57"/>
      <c r="AF597" s="59">
        <f t="shared" si="222"/>
        <v>6.2037037037037043E-3</v>
      </c>
      <c r="AG597" s="57"/>
      <c r="AH597" s="57"/>
      <c r="AI597" s="59">
        <f t="shared" si="223"/>
        <v>6.2037037037037043E-3</v>
      </c>
      <c r="AJ597" s="57"/>
      <c r="AK597" s="57"/>
      <c r="AL597" s="59">
        <f t="shared" si="224"/>
        <v>6.2037037037037043E-3</v>
      </c>
      <c r="AM597" s="57"/>
      <c r="AN597" s="57"/>
      <c r="AO597" s="59">
        <f t="shared" si="225"/>
        <v>6.2037037037037043E-3</v>
      </c>
      <c r="AP597" s="57"/>
      <c r="AQ597" s="59">
        <f t="shared" si="232"/>
        <v>6.2037037037037043E-3</v>
      </c>
      <c r="AR597" s="57"/>
      <c r="AS597" s="57"/>
      <c r="AT597" s="59">
        <f t="shared" si="233"/>
        <v>6.2037037037037043E-3</v>
      </c>
    </row>
    <row r="598" spans="1:46" hidden="1">
      <c r="A598" s="24"/>
      <c r="B598" s="26" t="s">
        <v>67</v>
      </c>
      <c r="C598" s="26" t="s">
        <v>444</v>
      </c>
      <c r="D598" s="50">
        <v>10.34</v>
      </c>
      <c r="E598" s="51"/>
      <c r="F598" s="50">
        <v>10.34</v>
      </c>
      <c r="G598" s="52"/>
      <c r="H598" s="50">
        <v>10.34</v>
      </c>
      <c r="I598" s="53"/>
      <c r="J598" s="50">
        <v>10.34</v>
      </c>
      <c r="K598" s="53"/>
      <c r="L598" s="50">
        <v>10.34</v>
      </c>
      <c r="M598" s="57"/>
      <c r="N598" s="55">
        <v>7.3379629629629628E-3</v>
      </c>
      <c r="O598" s="57"/>
      <c r="P598" s="57"/>
      <c r="Q598" s="59">
        <f t="shared" si="229"/>
        <v>7.3379629629629628E-3</v>
      </c>
      <c r="R598" s="57"/>
      <c r="S598" s="57"/>
      <c r="T598" s="59">
        <f t="shared" si="230"/>
        <v>7.3379629629629628E-3</v>
      </c>
      <c r="U598" s="57"/>
      <c r="V598" s="57"/>
      <c r="W598" s="59">
        <f t="shared" si="231"/>
        <v>7.3379629629629628E-3</v>
      </c>
      <c r="X598" s="57"/>
      <c r="Y598" s="57"/>
      <c r="Z598" s="59">
        <f t="shared" si="220"/>
        <v>7.3379629629629628E-3</v>
      </c>
      <c r="AA598" s="57"/>
      <c r="AB598" s="57"/>
      <c r="AC598" s="59">
        <f t="shared" si="221"/>
        <v>7.3379629629629628E-3</v>
      </c>
      <c r="AD598" s="57"/>
      <c r="AE598" s="57"/>
      <c r="AF598" s="59">
        <f t="shared" si="222"/>
        <v>7.3379629629629628E-3</v>
      </c>
      <c r="AG598" s="57"/>
      <c r="AH598" s="57"/>
      <c r="AI598" s="59">
        <f t="shared" si="223"/>
        <v>7.3379629629629628E-3</v>
      </c>
      <c r="AJ598" s="57"/>
      <c r="AK598" s="57"/>
      <c r="AL598" s="59">
        <f t="shared" si="224"/>
        <v>7.3379629629629628E-3</v>
      </c>
      <c r="AM598" s="57"/>
      <c r="AN598" s="57"/>
      <c r="AO598" s="59">
        <f t="shared" si="225"/>
        <v>7.3379629629629628E-3</v>
      </c>
      <c r="AP598" s="57"/>
      <c r="AQ598" s="59">
        <f t="shared" si="232"/>
        <v>7.3379629629629628E-3</v>
      </c>
      <c r="AR598" s="57"/>
      <c r="AS598" s="57"/>
      <c r="AT598" s="59">
        <f t="shared" si="233"/>
        <v>7.3379629629629628E-3</v>
      </c>
    </row>
    <row r="599" spans="1:46">
      <c r="A599" s="24" t="s">
        <v>792</v>
      </c>
      <c r="B599" s="26" t="s">
        <v>436</v>
      </c>
      <c r="C599" s="26" t="s">
        <v>444</v>
      </c>
      <c r="D599" s="50"/>
      <c r="E599" s="51"/>
      <c r="F599" s="50"/>
      <c r="G599" s="52"/>
      <c r="H599" s="50"/>
      <c r="I599" s="53">
        <v>9.4700000000000006</v>
      </c>
      <c r="J599" s="50">
        <v>9.4700000000000006</v>
      </c>
      <c r="K599" s="53"/>
      <c r="L599" s="50">
        <v>9.4700000000000006</v>
      </c>
      <c r="M599" s="57"/>
      <c r="N599" s="55">
        <v>6.7939814814814816E-3</v>
      </c>
      <c r="O599" s="57"/>
      <c r="P599" s="57"/>
      <c r="Q599" s="59">
        <f t="shared" si="229"/>
        <v>6.7939814814814816E-3</v>
      </c>
      <c r="R599" s="57"/>
      <c r="S599" s="57"/>
      <c r="T599" s="59">
        <f t="shared" si="230"/>
        <v>6.7939814814814816E-3</v>
      </c>
      <c r="U599" s="57">
        <v>6.851851851851852E-3</v>
      </c>
      <c r="V599" s="57"/>
      <c r="W599" s="59">
        <f t="shared" si="231"/>
        <v>6.7939814814814816E-3</v>
      </c>
      <c r="X599" s="57"/>
      <c r="Y599" s="57"/>
      <c r="Z599" s="59">
        <f t="shared" si="220"/>
        <v>6.7939814814814816E-3</v>
      </c>
      <c r="AA599" s="57"/>
      <c r="AB599" s="57"/>
      <c r="AC599" s="59">
        <f t="shared" si="221"/>
        <v>6.7939814814814816E-3</v>
      </c>
      <c r="AD599" s="57"/>
      <c r="AE599" s="57"/>
      <c r="AF599" s="59">
        <f t="shared" si="222"/>
        <v>6.7939814814814816E-3</v>
      </c>
      <c r="AG599" s="57"/>
      <c r="AH599" s="57"/>
      <c r="AI599" s="59">
        <f t="shared" si="223"/>
        <v>6.7939814814814816E-3</v>
      </c>
      <c r="AJ599" s="57"/>
      <c r="AK599" s="57"/>
      <c r="AL599" s="59">
        <f t="shared" si="224"/>
        <v>6.7939814814814816E-3</v>
      </c>
      <c r="AM599" s="57"/>
      <c r="AN599" s="57"/>
      <c r="AO599" s="59">
        <f t="shared" si="225"/>
        <v>6.7939814814814816E-3</v>
      </c>
      <c r="AP599" s="57"/>
      <c r="AQ599" s="59">
        <f t="shared" si="232"/>
        <v>6.7939814814814816E-3</v>
      </c>
      <c r="AR599" s="57"/>
      <c r="AS599" s="57"/>
      <c r="AT599" s="59">
        <f t="shared" si="233"/>
        <v>6.7939814814814816E-3</v>
      </c>
    </row>
    <row r="600" spans="1:46" hidden="1">
      <c r="A600" s="24"/>
      <c r="B600" s="26" t="s">
        <v>72</v>
      </c>
      <c r="C600" s="26"/>
      <c r="D600" s="50">
        <v>10.58</v>
      </c>
      <c r="E600" s="51"/>
      <c r="F600" s="50">
        <v>10.58</v>
      </c>
      <c r="G600" s="52"/>
      <c r="H600" s="50">
        <v>10.58</v>
      </c>
      <c r="I600" s="53"/>
      <c r="J600" s="50">
        <v>10.58</v>
      </c>
      <c r="K600" s="53"/>
      <c r="L600" s="50">
        <v>10.58</v>
      </c>
      <c r="M600" s="57"/>
      <c r="N600" s="55">
        <v>7.6157407407407415E-3</v>
      </c>
      <c r="O600" s="57"/>
      <c r="P600" s="57"/>
      <c r="Q600" s="59">
        <f t="shared" si="229"/>
        <v>7.6157407407407415E-3</v>
      </c>
      <c r="R600" s="57"/>
      <c r="S600" s="57"/>
      <c r="T600" s="59">
        <f t="shared" si="230"/>
        <v>7.6157407407407415E-3</v>
      </c>
      <c r="U600" s="57"/>
      <c r="V600" s="57"/>
      <c r="W600" s="59">
        <f t="shared" si="231"/>
        <v>7.6157407407407415E-3</v>
      </c>
      <c r="X600" s="57"/>
      <c r="Y600" s="57"/>
      <c r="Z600" s="59">
        <f t="shared" si="220"/>
        <v>7.6157407407407415E-3</v>
      </c>
      <c r="AA600" s="57"/>
      <c r="AB600" s="57"/>
      <c r="AC600" s="59">
        <f t="shared" si="221"/>
        <v>7.6157407407407415E-3</v>
      </c>
      <c r="AD600" s="57"/>
      <c r="AE600" s="57"/>
      <c r="AF600" s="59">
        <f t="shared" si="222"/>
        <v>7.6157407407407415E-3</v>
      </c>
      <c r="AG600" s="57"/>
      <c r="AH600" s="57"/>
      <c r="AI600" s="59">
        <f t="shared" si="223"/>
        <v>7.6157407407407415E-3</v>
      </c>
      <c r="AJ600" s="57"/>
      <c r="AK600" s="57"/>
      <c r="AL600" s="59">
        <f t="shared" si="224"/>
        <v>7.6157407407407415E-3</v>
      </c>
      <c r="AM600" s="57"/>
      <c r="AN600" s="57"/>
      <c r="AO600" s="59">
        <f t="shared" si="225"/>
        <v>7.6157407407407415E-3</v>
      </c>
      <c r="AP600" s="57"/>
      <c r="AQ600" s="59">
        <f t="shared" si="232"/>
        <v>7.6157407407407415E-3</v>
      </c>
      <c r="AR600" s="57"/>
      <c r="AS600" s="57"/>
      <c r="AT600" s="59">
        <f t="shared" si="233"/>
        <v>7.6157407407407415E-3</v>
      </c>
    </row>
    <row r="601" spans="1:46">
      <c r="A601" s="24" t="s">
        <v>792</v>
      </c>
      <c r="B601" s="26" t="s">
        <v>79</v>
      </c>
      <c r="C601" s="26"/>
      <c r="D601" s="50"/>
      <c r="E601" s="51"/>
      <c r="F601" s="50" t="s">
        <v>448</v>
      </c>
      <c r="G601" s="52"/>
      <c r="H601" s="50"/>
      <c r="I601" s="53"/>
      <c r="J601" s="50" t="s">
        <v>448</v>
      </c>
      <c r="K601" s="53"/>
      <c r="L601" s="50"/>
      <c r="M601" s="57"/>
      <c r="N601" s="55"/>
      <c r="O601" s="57"/>
      <c r="P601" s="57"/>
      <c r="Q601" s="59" t="str">
        <f t="shared" si="229"/>
        <v/>
      </c>
      <c r="R601" s="57"/>
      <c r="S601" s="57"/>
      <c r="T601" s="59" t="str">
        <f t="shared" si="230"/>
        <v/>
      </c>
      <c r="U601" s="57">
        <v>7.2916666666666659E-3</v>
      </c>
      <c r="V601" s="57"/>
      <c r="W601" s="59">
        <f t="shared" si="231"/>
        <v>7.2916666666666659E-3</v>
      </c>
      <c r="X601" s="57"/>
      <c r="Y601" s="57"/>
      <c r="Z601" s="59">
        <f t="shared" si="220"/>
        <v>7.2916666666666659E-3</v>
      </c>
      <c r="AA601" s="57">
        <v>7.9629629629629634E-3</v>
      </c>
      <c r="AB601" s="57"/>
      <c r="AC601" s="59">
        <f t="shared" si="221"/>
        <v>7.2916666666666659E-3</v>
      </c>
      <c r="AD601" s="57">
        <v>6.8171296296296287E-3</v>
      </c>
      <c r="AE601" s="57"/>
      <c r="AF601" s="59">
        <f t="shared" si="222"/>
        <v>6.8171296296296287E-3</v>
      </c>
      <c r="AG601" s="57">
        <v>6.4120370370370364E-3</v>
      </c>
      <c r="AH601" s="57"/>
      <c r="AI601" s="59">
        <f t="shared" si="223"/>
        <v>6.4120370370370364E-3</v>
      </c>
      <c r="AJ601" s="57">
        <v>7.9282407407407409E-3</v>
      </c>
      <c r="AK601" s="57"/>
      <c r="AL601" s="59">
        <f t="shared" si="224"/>
        <v>6.4120370370370364E-3</v>
      </c>
      <c r="AM601" s="57">
        <v>7.083333333333333E-3</v>
      </c>
      <c r="AN601" s="57"/>
      <c r="AO601" s="59">
        <f t="shared" si="225"/>
        <v>6.4120370370370364E-3</v>
      </c>
      <c r="AP601" s="57"/>
      <c r="AQ601" s="59">
        <f t="shared" si="232"/>
        <v>6.4120370370370364E-3</v>
      </c>
      <c r="AR601" s="57"/>
      <c r="AS601" s="57"/>
      <c r="AT601" s="59">
        <f t="shared" si="233"/>
        <v>6.4120370370370364E-3</v>
      </c>
    </row>
    <row r="602" spans="1:46" hidden="1">
      <c r="A602" s="24"/>
      <c r="B602" s="26" t="s">
        <v>417</v>
      </c>
      <c r="C602" s="26" t="s">
        <v>444</v>
      </c>
      <c r="D602" s="50"/>
      <c r="E602" s="51"/>
      <c r="F602" s="50"/>
      <c r="G602" s="52"/>
      <c r="H602" s="50"/>
      <c r="I602" s="53"/>
      <c r="J602" s="50" t="s">
        <v>448</v>
      </c>
      <c r="K602" s="53"/>
      <c r="L602" s="50"/>
      <c r="M602" s="57"/>
      <c r="N602" s="55"/>
      <c r="O602" s="57"/>
      <c r="P602" s="57"/>
      <c r="Q602" s="59" t="str">
        <f t="shared" si="229"/>
        <v/>
      </c>
      <c r="R602" s="57"/>
      <c r="S602" s="57"/>
      <c r="T602" s="59" t="str">
        <f t="shared" si="230"/>
        <v/>
      </c>
      <c r="U602" s="57"/>
      <c r="V602" s="57"/>
      <c r="W602" s="59" t="str">
        <f t="shared" si="231"/>
        <v/>
      </c>
      <c r="X602" s="57"/>
      <c r="Y602" s="57"/>
      <c r="Z602" s="59" t="str">
        <f t="shared" si="220"/>
        <v/>
      </c>
      <c r="AA602" s="57"/>
      <c r="AB602" s="57"/>
      <c r="AC602" s="59" t="str">
        <f t="shared" si="221"/>
        <v/>
      </c>
      <c r="AD602" s="57"/>
      <c r="AE602" s="57"/>
      <c r="AF602" s="59" t="str">
        <f t="shared" si="222"/>
        <v/>
      </c>
      <c r="AG602" s="57"/>
      <c r="AH602" s="57"/>
      <c r="AI602" s="59" t="str">
        <f t="shared" si="223"/>
        <v/>
      </c>
      <c r="AJ602" s="57"/>
      <c r="AK602" s="57"/>
      <c r="AL602" s="59" t="str">
        <f t="shared" si="224"/>
        <v/>
      </c>
      <c r="AM602" s="57"/>
      <c r="AN602" s="57"/>
      <c r="AO602" s="59" t="str">
        <f t="shared" ref="AO602:AO624" si="234">IF(MIN(IF(ISBLANK(AL602),AM602,AL602),IF(ISBLANK(AM602),AL602,AM602))=0,"",MIN(IF(ISBLANK(AL602),AM602,AL602),IF(ISBLANK(AM602),AL602,AM602)))</f>
        <v/>
      </c>
      <c r="AP602" s="57"/>
      <c r="AQ602" s="59" t="str">
        <f t="shared" si="232"/>
        <v/>
      </c>
      <c r="AR602" s="57"/>
      <c r="AS602" s="57"/>
      <c r="AT602" s="59" t="str">
        <f t="shared" si="233"/>
        <v/>
      </c>
    </row>
    <row r="603" spans="1:46">
      <c r="A603" s="24" t="s">
        <v>792</v>
      </c>
      <c r="B603" s="26" t="s">
        <v>669</v>
      </c>
      <c r="C603" s="26"/>
      <c r="D603" s="50"/>
      <c r="E603" s="51"/>
      <c r="F603" s="50"/>
      <c r="G603" s="52"/>
      <c r="H603" s="50"/>
      <c r="I603" s="53"/>
      <c r="J603" s="50"/>
      <c r="K603" s="53"/>
      <c r="L603" s="50"/>
      <c r="M603" s="57"/>
      <c r="N603" s="55"/>
      <c r="O603" s="57"/>
      <c r="P603" s="57"/>
      <c r="Q603" s="59"/>
      <c r="R603" s="57"/>
      <c r="S603" s="57"/>
      <c r="T603" s="59"/>
      <c r="U603" s="57"/>
      <c r="V603" s="57"/>
      <c r="W603" s="59"/>
      <c r="X603" s="57"/>
      <c r="Y603" s="57"/>
      <c r="Z603" s="59" t="str">
        <f t="shared" si="220"/>
        <v/>
      </c>
      <c r="AA603" s="57"/>
      <c r="AB603" s="57"/>
      <c r="AC603" s="59" t="str">
        <f t="shared" si="221"/>
        <v/>
      </c>
      <c r="AD603" s="57"/>
      <c r="AE603" s="57"/>
      <c r="AF603" s="59" t="str">
        <f t="shared" si="222"/>
        <v/>
      </c>
      <c r="AG603" s="57"/>
      <c r="AH603" s="57"/>
      <c r="AI603" s="59" t="str">
        <f t="shared" si="223"/>
        <v/>
      </c>
      <c r="AJ603" s="57"/>
      <c r="AK603" s="57"/>
      <c r="AL603" s="59" t="str">
        <f t="shared" si="224"/>
        <v/>
      </c>
      <c r="AM603" s="57"/>
      <c r="AN603" s="57"/>
      <c r="AO603" s="59" t="str">
        <f t="shared" si="234"/>
        <v/>
      </c>
      <c r="AP603" s="57"/>
      <c r="AQ603" s="59" t="str">
        <f t="shared" si="232"/>
        <v/>
      </c>
      <c r="AR603" s="57"/>
      <c r="AS603" s="57"/>
      <c r="AT603" s="59" t="str">
        <f t="shared" si="233"/>
        <v/>
      </c>
    </row>
    <row r="604" spans="1:46" hidden="1">
      <c r="A604" s="24"/>
      <c r="B604" s="26" t="s">
        <v>83</v>
      </c>
      <c r="C604" s="26" t="s">
        <v>444</v>
      </c>
      <c r="D604" s="50">
        <v>7.31</v>
      </c>
      <c r="E604" s="51"/>
      <c r="F604" s="50">
        <v>7.31</v>
      </c>
      <c r="G604" s="52"/>
      <c r="H604" s="50">
        <v>7.31</v>
      </c>
      <c r="I604" s="53"/>
      <c r="J604" s="50">
        <v>7.31</v>
      </c>
      <c r="K604" s="53"/>
      <c r="L604" s="50">
        <v>7.31</v>
      </c>
      <c r="M604" s="57"/>
      <c r="N604" s="55">
        <v>5.2199074074074066E-3</v>
      </c>
      <c r="O604" s="57"/>
      <c r="P604" s="57"/>
      <c r="Q604" s="59">
        <f>IF(MIN(IF(ISBLANK(O604),N604,O604),IF(ISBLANK(N604),O604,N604))=0,"",MIN(IF(ISBLANK(O604),N604,O604),IF(ISBLANK(N604),O604,N604)))</f>
        <v>5.2199074074074066E-3</v>
      </c>
      <c r="R604" s="57"/>
      <c r="S604" s="57"/>
      <c r="T604" s="59">
        <f>IF(MIN(IF(ISBLANK(R604),Q604,R604),IF(ISBLANK(Q604),R604,Q604))=0,"",MIN(IF(ISBLANK(R604),Q604,R604),IF(ISBLANK(Q604),R604,Q604)))</f>
        <v>5.2199074074074066E-3</v>
      </c>
      <c r="U604" s="57"/>
      <c r="V604" s="57"/>
      <c r="W604" s="59">
        <f>IF(MIN(IF(ISBLANK(U604),T604,U604),IF(ISBLANK(T604),U604,T604))=0,"",MIN(IF(ISBLANK(U604),T604,U604),IF(ISBLANK(T604),U604,T604)))</f>
        <v>5.2199074074074066E-3</v>
      </c>
      <c r="X604" s="57"/>
      <c r="Y604" s="57"/>
      <c r="Z604" s="59">
        <f t="shared" si="220"/>
        <v>5.2199074074074066E-3</v>
      </c>
      <c r="AA604" s="57"/>
      <c r="AB604" s="57"/>
      <c r="AC604" s="59">
        <f t="shared" si="221"/>
        <v>5.2199074074074066E-3</v>
      </c>
      <c r="AD604" s="57"/>
      <c r="AE604" s="57"/>
      <c r="AF604" s="59">
        <f t="shared" si="222"/>
        <v>5.2199074074074066E-3</v>
      </c>
      <c r="AG604" s="57"/>
      <c r="AH604" s="57"/>
      <c r="AI604" s="59">
        <f t="shared" si="223"/>
        <v>5.2199074074074066E-3</v>
      </c>
      <c r="AJ604" s="57"/>
      <c r="AK604" s="57"/>
      <c r="AL604" s="59">
        <f t="shared" si="224"/>
        <v>5.2199074074074066E-3</v>
      </c>
      <c r="AM604" s="57"/>
      <c r="AN604" s="57"/>
      <c r="AO604" s="59">
        <f t="shared" si="234"/>
        <v>5.2199074074074066E-3</v>
      </c>
      <c r="AP604" s="57"/>
      <c r="AQ604" s="59">
        <f t="shared" si="232"/>
        <v>5.2199074074074066E-3</v>
      </c>
      <c r="AR604" s="57"/>
      <c r="AS604" s="57"/>
      <c r="AT604" s="59">
        <f t="shared" si="233"/>
        <v>5.2199074074074066E-3</v>
      </c>
    </row>
    <row r="605" spans="1:46" hidden="1">
      <c r="A605" s="24"/>
      <c r="B605" s="26" t="s">
        <v>545</v>
      </c>
      <c r="C605" s="26"/>
      <c r="D605" s="50"/>
      <c r="E605" s="51"/>
      <c r="F605" s="50"/>
      <c r="G605" s="52"/>
      <c r="H605" s="50"/>
      <c r="I605" s="53"/>
      <c r="J605" s="50"/>
      <c r="K605" s="53"/>
      <c r="L605" s="50"/>
      <c r="M605" s="57"/>
      <c r="N605" s="55"/>
      <c r="O605" s="57"/>
      <c r="P605" s="57"/>
      <c r="Q605" s="59" t="str">
        <f>IF(MIN(IF(ISBLANK(O605),N605,O605),IF(ISBLANK(N605),O605,N605))=0,"",MIN(IF(ISBLANK(O605),N605,O605),IF(ISBLANK(N605),O605,N605)))</f>
        <v/>
      </c>
      <c r="R605" s="57"/>
      <c r="S605" s="57"/>
      <c r="T605" s="59" t="str">
        <f>IF(MIN(IF(ISBLANK(R605),Q605,R605),IF(ISBLANK(Q605),R605,Q605))=0,"",MIN(IF(ISBLANK(R605),Q605,R605),IF(ISBLANK(Q605),R605,Q605)))</f>
        <v/>
      </c>
      <c r="U605" s="57"/>
      <c r="V605" s="57"/>
      <c r="W605" s="59" t="str">
        <f>IF(MIN(IF(ISBLANK(U605),T605,U605),IF(ISBLANK(T605),U605,T605))=0,"",MIN(IF(ISBLANK(U605),T605,U605),IF(ISBLANK(T605),U605,T605)))</f>
        <v/>
      </c>
      <c r="X605" s="57"/>
      <c r="Y605" s="57"/>
      <c r="Z605" s="59" t="str">
        <f t="shared" si="220"/>
        <v/>
      </c>
      <c r="AA605" s="57"/>
      <c r="AB605" s="57"/>
      <c r="AC605" s="59" t="str">
        <f t="shared" si="221"/>
        <v/>
      </c>
      <c r="AD605" s="57"/>
      <c r="AE605" s="57"/>
      <c r="AF605" s="59" t="str">
        <f t="shared" si="222"/>
        <v/>
      </c>
      <c r="AG605" s="57"/>
      <c r="AH605" s="57"/>
      <c r="AI605" s="59" t="str">
        <f t="shared" si="223"/>
        <v/>
      </c>
      <c r="AJ605" s="57"/>
      <c r="AK605" s="57"/>
      <c r="AL605" s="59" t="str">
        <f t="shared" si="224"/>
        <v/>
      </c>
      <c r="AM605" s="57"/>
      <c r="AN605" s="57"/>
      <c r="AO605" s="59" t="str">
        <f t="shared" si="234"/>
        <v/>
      </c>
      <c r="AP605" s="57"/>
      <c r="AQ605" s="59" t="str">
        <f t="shared" si="232"/>
        <v/>
      </c>
      <c r="AR605" s="57"/>
      <c r="AS605" s="57"/>
      <c r="AT605" s="59" t="str">
        <f t="shared" si="233"/>
        <v/>
      </c>
    </row>
    <row r="606" spans="1:46" hidden="1">
      <c r="A606" s="24"/>
      <c r="B606" s="26" t="s">
        <v>89</v>
      </c>
      <c r="C606" s="26" t="s">
        <v>444</v>
      </c>
      <c r="D606" s="50"/>
      <c r="E606" s="51"/>
      <c r="F606" s="50" t="s">
        <v>448</v>
      </c>
      <c r="G606" s="52"/>
      <c r="H606" s="50"/>
      <c r="I606" s="53"/>
      <c r="J606" s="50" t="s">
        <v>448</v>
      </c>
      <c r="K606" s="53"/>
      <c r="L606" s="50"/>
      <c r="M606" s="57"/>
      <c r="N606" s="55"/>
      <c r="O606" s="57"/>
      <c r="P606" s="57"/>
      <c r="Q606" s="59" t="str">
        <f>IF(MIN(IF(ISBLANK(O606),N606,O606),IF(ISBLANK(N606),O606,N606))=0,"",MIN(IF(ISBLANK(O606),N606,O606),IF(ISBLANK(N606),O606,N606)))</f>
        <v/>
      </c>
      <c r="R606" s="57"/>
      <c r="S606" s="57"/>
      <c r="T606" s="59" t="str">
        <f>IF(MIN(IF(ISBLANK(R606),Q606,R606),IF(ISBLANK(Q606),R606,Q606))=0,"",MIN(IF(ISBLANK(R606),Q606,R606),IF(ISBLANK(Q606),R606,Q606)))</f>
        <v/>
      </c>
      <c r="U606" s="57"/>
      <c r="V606" s="57"/>
      <c r="W606" s="59" t="str">
        <f>IF(MIN(IF(ISBLANK(U606),T606,U606),IF(ISBLANK(T606),U606,T606))=0,"",MIN(IF(ISBLANK(U606),T606,U606),IF(ISBLANK(T606),U606,T606)))</f>
        <v/>
      </c>
      <c r="X606" s="57"/>
      <c r="Y606" s="57"/>
      <c r="Z606" s="59" t="str">
        <f t="shared" si="220"/>
        <v/>
      </c>
      <c r="AA606" s="57"/>
      <c r="AB606" s="57"/>
      <c r="AC606" s="59" t="str">
        <f t="shared" si="221"/>
        <v/>
      </c>
      <c r="AD606" s="57"/>
      <c r="AE606" s="57"/>
      <c r="AF606" s="59" t="str">
        <f t="shared" si="222"/>
        <v/>
      </c>
      <c r="AG606" s="57"/>
      <c r="AH606" s="57"/>
      <c r="AI606" s="59" t="str">
        <f t="shared" si="223"/>
        <v/>
      </c>
      <c r="AJ606" s="57"/>
      <c r="AK606" s="57"/>
      <c r="AL606" s="59" t="str">
        <f t="shared" si="224"/>
        <v/>
      </c>
      <c r="AM606" s="57"/>
      <c r="AN606" s="57"/>
      <c r="AO606" s="59" t="str">
        <f t="shared" si="234"/>
        <v/>
      </c>
      <c r="AP606" s="57"/>
      <c r="AQ606" s="59" t="str">
        <f t="shared" si="232"/>
        <v/>
      </c>
      <c r="AR606" s="57"/>
      <c r="AS606" s="57"/>
      <c r="AT606" s="59" t="str">
        <f t="shared" si="233"/>
        <v/>
      </c>
    </row>
    <row r="607" spans="1:46">
      <c r="A607" s="24" t="s">
        <v>792</v>
      </c>
      <c r="B607" s="26" t="s">
        <v>670</v>
      </c>
      <c r="C607" s="26"/>
      <c r="D607" s="50"/>
      <c r="E607" s="51"/>
      <c r="F607" s="50"/>
      <c r="G607" s="52"/>
      <c r="H607" s="50"/>
      <c r="I607" s="53"/>
      <c r="J607" s="50"/>
      <c r="K607" s="53"/>
      <c r="L607" s="50"/>
      <c r="M607" s="57"/>
      <c r="N607" s="55"/>
      <c r="O607" s="57"/>
      <c r="P607" s="57"/>
      <c r="Q607" s="59"/>
      <c r="R607" s="57"/>
      <c r="S607" s="57"/>
      <c r="T607" s="59"/>
      <c r="U607" s="57"/>
      <c r="V607" s="57"/>
      <c r="W607" s="59"/>
      <c r="X607" s="57"/>
      <c r="Y607" s="57"/>
      <c r="Z607" s="59" t="str">
        <f t="shared" si="220"/>
        <v/>
      </c>
      <c r="AA607" s="57"/>
      <c r="AB607" s="57"/>
      <c r="AC607" s="59" t="str">
        <f t="shared" si="221"/>
        <v/>
      </c>
      <c r="AD607" s="57"/>
      <c r="AE607" s="57"/>
      <c r="AF607" s="59" t="str">
        <f t="shared" si="222"/>
        <v/>
      </c>
      <c r="AG607" s="57">
        <v>7.2569444444444443E-3</v>
      </c>
      <c r="AH607" s="57"/>
      <c r="AI607" s="59">
        <f t="shared" si="223"/>
        <v>7.2569444444444443E-3</v>
      </c>
      <c r="AJ607" s="57"/>
      <c r="AK607" s="57"/>
      <c r="AL607" s="59">
        <f t="shared" si="224"/>
        <v>7.2569444444444443E-3</v>
      </c>
      <c r="AM607" s="57"/>
      <c r="AN607" s="57"/>
      <c r="AO607" s="59">
        <f t="shared" si="234"/>
        <v>7.2569444444444443E-3</v>
      </c>
      <c r="AP607" s="57">
        <v>7.1759259259259259E-3</v>
      </c>
      <c r="AQ607" s="59">
        <f t="shared" si="232"/>
        <v>7.1759259259259259E-3</v>
      </c>
      <c r="AR607" s="57">
        <v>6.9444444444444441E-3</v>
      </c>
      <c r="AS607" s="57"/>
      <c r="AT607" s="59">
        <f t="shared" si="233"/>
        <v>6.9444444444444441E-3</v>
      </c>
    </row>
    <row r="608" spans="1:46">
      <c r="A608" s="24" t="s">
        <v>792</v>
      </c>
      <c r="B608" s="26" t="s">
        <v>418</v>
      </c>
      <c r="C608" s="26" t="s">
        <v>444</v>
      </c>
      <c r="D608" s="50"/>
      <c r="E608" s="51"/>
      <c r="F608" s="50"/>
      <c r="G608" s="52"/>
      <c r="H608" s="50"/>
      <c r="I608" s="53">
        <v>8.51</v>
      </c>
      <c r="J608" s="50">
        <v>8.51</v>
      </c>
      <c r="K608" s="53">
        <v>8.1999999999999993</v>
      </c>
      <c r="L608" s="50" t="s">
        <v>221</v>
      </c>
      <c r="M608" s="57"/>
      <c r="N608" s="55">
        <v>5.7870370370370376E-3</v>
      </c>
      <c r="O608" s="57"/>
      <c r="P608" s="57"/>
      <c r="Q608" s="59">
        <f>IF(MIN(IF(ISBLANK(O608),N608,O608),IF(ISBLANK(N608),O608,N608))=0,"",MIN(IF(ISBLANK(O608),N608,O608),IF(ISBLANK(N608),O608,N608)))</f>
        <v>5.7870370370370376E-3</v>
      </c>
      <c r="R608" s="57">
        <v>5.9027777777777776E-3</v>
      </c>
      <c r="S608" s="57"/>
      <c r="T608" s="59">
        <f>IF(MIN(IF(ISBLANK(R608),Q608,R608),IF(ISBLANK(Q608),R608,Q608))=0,"",MIN(IF(ISBLANK(R608),Q608,R608),IF(ISBLANK(Q608),R608,Q608)))</f>
        <v>5.7870370370370376E-3</v>
      </c>
      <c r="U608" s="57">
        <v>5.6249999999999989E-3</v>
      </c>
      <c r="V608" s="57"/>
      <c r="W608" s="59">
        <f>IF(MIN(IF(ISBLANK(U608),T608,U608),IF(ISBLANK(T608),U608,T608))=0,"",MIN(IF(ISBLANK(U608),T608,U608),IF(ISBLANK(T608),U608,T608)))</f>
        <v>5.6249999999999989E-3</v>
      </c>
      <c r="X608" s="57"/>
      <c r="Y608" s="57"/>
      <c r="Z608" s="59">
        <f t="shared" si="220"/>
        <v>5.6249999999999989E-3</v>
      </c>
      <c r="AA608" s="57">
        <v>5.7754629629629623E-3</v>
      </c>
      <c r="AB608" s="57"/>
      <c r="AC608" s="59">
        <f t="shared" si="221"/>
        <v>5.6249999999999989E-3</v>
      </c>
      <c r="AD608" s="57">
        <v>5.5208333333333333E-3</v>
      </c>
      <c r="AE608" s="57"/>
      <c r="AF608" s="59">
        <f t="shared" si="222"/>
        <v>5.5208333333333333E-3</v>
      </c>
      <c r="AG608" s="57">
        <v>5.6365740740740742E-3</v>
      </c>
      <c r="AH608" s="57"/>
      <c r="AI608" s="59">
        <f t="shared" si="223"/>
        <v>5.5208333333333333E-3</v>
      </c>
      <c r="AJ608" s="57"/>
      <c r="AK608" s="57"/>
      <c r="AL608" s="59">
        <f t="shared" si="224"/>
        <v>5.5208333333333333E-3</v>
      </c>
      <c r="AM608" s="57">
        <v>5.347222222222222E-3</v>
      </c>
      <c r="AN608" s="57"/>
      <c r="AO608" s="59">
        <f t="shared" si="234"/>
        <v>5.347222222222222E-3</v>
      </c>
      <c r="AP608" s="57"/>
      <c r="AQ608" s="59">
        <f t="shared" si="232"/>
        <v>5.347222222222222E-3</v>
      </c>
      <c r="AR608" s="57"/>
      <c r="AS608" s="57"/>
      <c r="AT608" s="59">
        <f t="shared" si="233"/>
        <v>5.347222222222222E-3</v>
      </c>
    </row>
    <row r="609" spans="1:46" hidden="1">
      <c r="A609" s="24"/>
      <c r="B609" s="26" t="s">
        <v>94</v>
      </c>
      <c r="C609" s="26" t="s">
        <v>444</v>
      </c>
      <c r="D609" s="50">
        <v>9.3800000000000008</v>
      </c>
      <c r="E609" s="51"/>
      <c r="F609" s="50">
        <v>9.3800000000000008</v>
      </c>
      <c r="G609" s="52"/>
      <c r="H609" s="50">
        <v>9.3800000000000008</v>
      </c>
      <c r="I609" s="53"/>
      <c r="J609" s="50">
        <v>9.3800000000000008</v>
      </c>
      <c r="K609" s="53">
        <v>9.0299999999999994</v>
      </c>
      <c r="L609" s="50">
        <v>9.0299999999999994</v>
      </c>
      <c r="M609" s="57"/>
      <c r="N609" s="55">
        <v>6.2847222222222228E-3</v>
      </c>
      <c r="O609" s="57"/>
      <c r="P609" s="57"/>
      <c r="Q609" s="59">
        <f>IF(MIN(IF(ISBLANK(O609),N609,O609),IF(ISBLANK(N609),O609,N609))=0,"",MIN(IF(ISBLANK(O609),N609,O609),IF(ISBLANK(N609),O609,N609)))</f>
        <v>6.2847222222222228E-3</v>
      </c>
      <c r="R609" s="57"/>
      <c r="S609" s="57"/>
      <c r="T609" s="59">
        <f>IF(MIN(IF(ISBLANK(R609),Q609,R609),IF(ISBLANK(Q609),R609,Q609))=0,"",MIN(IF(ISBLANK(R609),Q609,R609),IF(ISBLANK(Q609),R609,Q609)))</f>
        <v>6.2847222222222228E-3</v>
      </c>
      <c r="U609" s="57"/>
      <c r="V609" s="57"/>
      <c r="W609" s="59">
        <f>IF(MIN(IF(ISBLANK(U609),T609,U609),IF(ISBLANK(T609),U609,T609))=0,"",MIN(IF(ISBLANK(U609),T609,U609),IF(ISBLANK(T609),U609,T609)))</f>
        <v>6.2847222222222228E-3</v>
      </c>
      <c r="X609" s="57"/>
      <c r="Y609" s="57"/>
      <c r="Z609" s="59">
        <f t="shared" si="220"/>
        <v>6.2847222222222228E-3</v>
      </c>
      <c r="AA609" s="57"/>
      <c r="AB609" s="57"/>
      <c r="AC609" s="59">
        <f t="shared" si="221"/>
        <v>6.2847222222222228E-3</v>
      </c>
      <c r="AD609" s="57"/>
      <c r="AE609" s="57"/>
      <c r="AF609" s="59">
        <f t="shared" si="222"/>
        <v>6.2847222222222228E-3</v>
      </c>
      <c r="AG609" s="57"/>
      <c r="AH609" s="57"/>
      <c r="AI609" s="59">
        <f t="shared" si="223"/>
        <v>6.2847222222222228E-3</v>
      </c>
      <c r="AJ609" s="57"/>
      <c r="AK609" s="57"/>
      <c r="AL609" s="59">
        <f t="shared" si="224"/>
        <v>6.2847222222222228E-3</v>
      </c>
      <c r="AM609" s="57"/>
      <c r="AN609" s="57"/>
      <c r="AO609" s="59">
        <f t="shared" si="234"/>
        <v>6.2847222222222228E-3</v>
      </c>
      <c r="AP609" s="57"/>
      <c r="AQ609" s="59">
        <f t="shared" si="232"/>
        <v>6.2847222222222228E-3</v>
      </c>
      <c r="AR609" s="57"/>
      <c r="AS609" s="57"/>
      <c r="AT609" s="59">
        <f t="shared" si="233"/>
        <v>6.2847222222222228E-3</v>
      </c>
    </row>
    <row r="610" spans="1:46" hidden="1">
      <c r="A610" s="24"/>
      <c r="B610" s="26" t="s">
        <v>419</v>
      </c>
      <c r="C610" s="26" t="s">
        <v>444</v>
      </c>
      <c r="D610" s="50"/>
      <c r="E610" s="51"/>
      <c r="F610" s="50"/>
      <c r="G610" s="52"/>
      <c r="H610" s="50"/>
      <c r="I610" s="53"/>
      <c r="J610" s="50" t="s">
        <v>448</v>
      </c>
      <c r="K610" s="53"/>
      <c r="L610" s="50"/>
      <c r="M610" s="57"/>
      <c r="N610" s="55"/>
      <c r="O610" s="57"/>
      <c r="P610" s="57"/>
      <c r="Q610" s="59" t="str">
        <f>IF(MIN(IF(ISBLANK(O610),N610,O610),IF(ISBLANK(N610),O610,N610))=0,"",MIN(IF(ISBLANK(O610),N610,O610),IF(ISBLANK(N610),O610,N610)))</f>
        <v/>
      </c>
      <c r="R610" s="57"/>
      <c r="S610" s="57"/>
      <c r="T610" s="59" t="str">
        <f>IF(MIN(IF(ISBLANK(R610),Q610,R610),IF(ISBLANK(Q610),R610,Q610))=0,"",MIN(IF(ISBLANK(R610),Q610,R610),IF(ISBLANK(Q610),R610,Q610)))</f>
        <v/>
      </c>
      <c r="U610" s="57"/>
      <c r="V610" s="57"/>
      <c r="W610" s="59" t="str">
        <f>IF(MIN(IF(ISBLANK(U610),T610,U610),IF(ISBLANK(T610),U610,T610))=0,"",MIN(IF(ISBLANK(U610),T610,U610),IF(ISBLANK(T610),U610,T610)))</f>
        <v/>
      </c>
      <c r="X610" s="57"/>
      <c r="Y610" s="57"/>
      <c r="Z610" s="59" t="str">
        <f t="shared" si="220"/>
        <v/>
      </c>
      <c r="AA610" s="57"/>
      <c r="AB610" s="57"/>
      <c r="AC610" s="59" t="str">
        <f t="shared" si="221"/>
        <v/>
      </c>
      <c r="AD610" s="57"/>
      <c r="AE610" s="57"/>
      <c r="AF610" s="59" t="str">
        <f t="shared" si="222"/>
        <v/>
      </c>
      <c r="AG610" s="57"/>
      <c r="AH610" s="57"/>
      <c r="AI610" s="59" t="str">
        <f t="shared" si="223"/>
        <v/>
      </c>
      <c r="AJ610" s="57"/>
      <c r="AK610" s="57"/>
      <c r="AL610" s="59" t="str">
        <f t="shared" si="224"/>
        <v/>
      </c>
      <c r="AM610" s="57"/>
      <c r="AN610" s="57"/>
      <c r="AO610" s="59" t="str">
        <f t="shared" si="234"/>
        <v/>
      </c>
      <c r="AP610" s="57"/>
      <c r="AQ610" s="59" t="str">
        <f t="shared" si="232"/>
        <v/>
      </c>
      <c r="AR610" s="57"/>
      <c r="AS610" s="57"/>
      <c r="AT610" s="59" t="str">
        <f t="shared" si="233"/>
        <v/>
      </c>
    </row>
    <row r="611" spans="1:46" hidden="1">
      <c r="A611" s="24"/>
      <c r="B611" s="26" t="s">
        <v>100</v>
      </c>
      <c r="C611" s="26" t="s">
        <v>444</v>
      </c>
      <c r="D611" s="50"/>
      <c r="E611" s="51"/>
      <c r="F611" s="50" t="s">
        <v>448</v>
      </c>
      <c r="G611" s="52"/>
      <c r="H611" s="50"/>
      <c r="I611" s="53"/>
      <c r="J611" s="50" t="s">
        <v>448</v>
      </c>
      <c r="K611" s="53"/>
      <c r="L611" s="50"/>
      <c r="M611" s="57"/>
      <c r="N611" s="55"/>
      <c r="O611" s="57"/>
      <c r="P611" s="57"/>
      <c r="Q611" s="59" t="str">
        <f>IF(MIN(IF(ISBLANK(O611),N611,O611),IF(ISBLANK(N611),O611,N611))=0,"",MIN(IF(ISBLANK(O611),N611,O611),IF(ISBLANK(N611),O611,N611)))</f>
        <v/>
      </c>
      <c r="R611" s="57"/>
      <c r="S611" s="57"/>
      <c r="T611" s="59" t="str">
        <f>IF(MIN(IF(ISBLANK(R611),Q611,R611),IF(ISBLANK(Q611),R611,Q611))=0,"",MIN(IF(ISBLANK(R611),Q611,R611),IF(ISBLANK(Q611),R611,Q611)))</f>
        <v/>
      </c>
      <c r="U611" s="57"/>
      <c r="V611" s="57"/>
      <c r="W611" s="59" t="str">
        <f>IF(MIN(IF(ISBLANK(U611),T611,U611),IF(ISBLANK(T611),U611,T611))=0,"",MIN(IF(ISBLANK(U611),T611,U611),IF(ISBLANK(T611),U611,T611)))</f>
        <v/>
      </c>
      <c r="X611" s="57"/>
      <c r="Y611" s="57"/>
      <c r="Z611" s="59" t="str">
        <f t="shared" si="220"/>
        <v/>
      </c>
      <c r="AA611" s="57"/>
      <c r="AB611" s="57"/>
      <c r="AC611" s="59" t="str">
        <f t="shared" si="221"/>
        <v/>
      </c>
      <c r="AD611" s="57"/>
      <c r="AE611" s="57"/>
      <c r="AF611" s="59" t="str">
        <f t="shared" si="222"/>
        <v/>
      </c>
      <c r="AG611" s="57"/>
      <c r="AH611" s="57"/>
      <c r="AI611" s="59" t="str">
        <f t="shared" si="223"/>
        <v/>
      </c>
      <c r="AJ611" s="57"/>
      <c r="AK611" s="57"/>
      <c r="AL611" s="59" t="str">
        <f t="shared" si="224"/>
        <v/>
      </c>
      <c r="AM611" s="57"/>
      <c r="AN611" s="57"/>
      <c r="AO611" s="59" t="str">
        <f t="shared" si="234"/>
        <v/>
      </c>
      <c r="AP611" s="57"/>
      <c r="AQ611" s="59" t="str">
        <f t="shared" si="232"/>
        <v/>
      </c>
      <c r="AR611" s="57"/>
      <c r="AS611" s="57"/>
      <c r="AT611" s="59" t="str">
        <f t="shared" si="233"/>
        <v/>
      </c>
    </row>
    <row r="612" spans="1:46" hidden="1">
      <c r="A612" s="24"/>
      <c r="B612" s="26" t="s">
        <v>271</v>
      </c>
      <c r="C612" s="26" t="s">
        <v>444</v>
      </c>
      <c r="D612" s="50"/>
      <c r="E612" s="51"/>
      <c r="F612" s="50" t="s">
        <v>448</v>
      </c>
      <c r="G612" s="52"/>
      <c r="H612" s="50"/>
      <c r="I612" s="53"/>
      <c r="J612" s="50" t="s">
        <v>448</v>
      </c>
      <c r="K612" s="53"/>
      <c r="L612" s="50"/>
      <c r="M612" s="57"/>
      <c r="N612" s="55"/>
      <c r="O612" s="57"/>
      <c r="P612" s="57"/>
      <c r="Q612" s="59" t="str">
        <f>IF(MIN(IF(ISBLANK(O612),N612,O612),IF(ISBLANK(N612),O612,N612))=0,"",MIN(IF(ISBLANK(O612),N612,O612),IF(ISBLANK(N612),O612,N612)))</f>
        <v/>
      </c>
      <c r="R612" s="57"/>
      <c r="S612" s="57"/>
      <c r="T612" s="59" t="str">
        <f>IF(MIN(IF(ISBLANK(R612),Q612,R612),IF(ISBLANK(Q612),R612,Q612))=0,"",MIN(IF(ISBLANK(R612),Q612,R612),IF(ISBLANK(Q612),R612,Q612)))</f>
        <v/>
      </c>
      <c r="U612" s="57"/>
      <c r="V612" s="57"/>
      <c r="W612" s="59" t="str">
        <f>IF(MIN(IF(ISBLANK(U612),T612,U612),IF(ISBLANK(T612),U612,T612))=0,"",MIN(IF(ISBLANK(U612),T612,U612),IF(ISBLANK(T612),U612,T612)))</f>
        <v/>
      </c>
      <c r="X612" s="57"/>
      <c r="Y612" s="57"/>
      <c r="Z612" s="59" t="str">
        <f t="shared" si="220"/>
        <v/>
      </c>
      <c r="AA612" s="57"/>
      <c r="AB612" s="57"/>
      <c r="AC612" s="59" t="str">
        <f t="shared" si="221"/>
        <v/>
      </c>
      <c r="AD612" s="57"/>
      <c r="AE612" s="57"/>
      <c r="AF612" s="59" t="str">
        <f t="shared" si="222"/>
        <v/>
      </c>
      <c r="AG612" s="57"/>
      <c r="AH612" s="57"/>
      <c r="AI612" s="59" t="str">
        <f t="shared" si="223"/>
        <v/>
      </c>
      <c r="AJ612" s="57"/>
      <c r="AK612" s="57"/>
      <c r="AL612" s="59" t="str">
        <f t="shared" si="224"/>
        <v/>
      </c>
      <c r="AM612" s="57"/>
      <c r="AN612" s="57"/>
      <c r="AO612" s="59" t="str">
        <f t="shared" si="234"/>
        <v/>
      </c>
      <c r="AP612" s="57"/>
      <c r="AQ612" s="59" t="str">
        <f t="shared" si="232"/>
        <v/>
      </c>
      <c r="AR612" s="57"/>
      <c r="AS612" s="57"/>
      <c r="AT612" s="59" t="str">
        <f t="shared" si="233"/>
        <v/>
      </c>
    </row>
    <row r="613" spans="1:46" hidden="1">
      <c r="A613" s="24"/>
      <c r="B613" s="26" t="s">
        <v>807</v>
      </c>
      <c r="C613" s="26"/>
      <c r="D613" s="50"/>
      <c r="E613" s="51"/>
      <c r="F613" s="50"/>
      <c r="G613" s="52"/>
      <c r="H613" s="50"/>
      <c r="I613" s="53"/>
      <c r="J613" s="50"/>
      <c r="K613" s="53"/>
      <c r="L613" s="50"/>
      <c r="M613" s="57"/>
      <c r="N613" s="55"/>
      <c r="O613" s="57"/>
      <c r="P613" s="57"/>
      <c r="Q613" s="59"/>
      <c r="R613" s="57"/>
      <c r="S613" s="57"/>
      <c r="T613" s="59"/>
      <c r="U613" s="57"/>
      <c r="V613" s="57"/>
      <c r="W613" s="59"/>
      <c r="X613" s="57"/>
      <c r="Y613" s="57"/>
      <c r="Z613" s="59"/>
      <c r="AA613" s="57"/>
      <c r="AB613" s="57"/>
      <c r="AC613" s="59"/>
      <c r="AD613" s="57"/>
      <c r="AE613" s="57"/>
      <c r="AF613" s="59"/>
      <c r="AG613" s="57"/>
      <c r="AH613" s="57"/>
      <c r="AI613" s="59"/>
      <c r="AJ613" s="57"/>
      <c r="AK613" s="57"/>
      <c r="AL613" s="59"/>
      <c r="AM613" s="57"/>
      <c r="AN613" s="57"/>
      <c r="AO613" s="59" t="str">
        <f t="shared" si="234"/>
        <v/>
      </c>
      <c r="AP613" s="57">
        <v>6.168981481481481E-3</v>
      </c>
      <c r="AQ613" s="59">
        <f t="shared" si="232"/>
        <v>6.168981481481481E-3</v>
      </c>
      <c r="AR613" s="57"/>
      <c r="AS613" s="57"/>
      <c r="AT613" s="59">
        <f t="shared" si="233"/>
        <v>6.168981481481481E-3</v>
      </c>
    </row>
    <row r="614" spans="1:46" hidden="1">
      <c r="A614" s="24"/>
      <c r="B614" s="26" t="s">
        <v>365</v>
      </c>
      <c r="C614" s="26" t="s">
        <v>444</v>
      </c>
      <c r="D614" s="50"/>
      <c r="E614" s="51"/>
      <c r="F614" s="50"/>
      <c r="G614" s="52" t="s">
        <v>356</v>
      </c>
      <c r="H614" s="50">
        <v>7.46</v>
      </c>
      <c r="I614" s="53"/>
      <c r="J614" s="50">
        <v>7.46</v>
      </c>
      <c r="K614" s="53"/>
      <c r="L614" s="50">
        <v>7.46</v>
      </c>
      <c r="M614" s="57"/>
      <c r="N614" s="55">
        <v>5.3935185185185188E-3</v>
      </c>
      <c r="O614" s="57"/>
      <c r="P614" s="57"/>
      <c r="Q614" s="59">
        <f>IF(MIN(IF(ISBLANK(O614),N614,O614),IF(ISBLANK(N614),O614,N614))=0,"",MIN(IF(ISBLANK(O614),N614,O614),IF(ISBLANK(N614),O614,N614)))</f>
        <v>5.3935185185185188E-3</v>
      </c>
      <c r="R614" s="57"/>
      <c r="S614" s="57"/>
      <c r="T614" s="59">
        <f>IF(MIN(IF(ISBLANK(R614),Q614,R614),IF(ISBLANK(Q614),R614,Q614))=0,"",MIN(IF(ISBLANK(R614),Q614,R614),IF(ISBLANK(Q614),R614,Q614)))</f>
        <v>5.3935185185185188E-3</v>
      </c>
      <c r="U614" s="57"/>
      <c r="V614" s="57"/>
      <c r="W614" s="59">
        <f>IF(MIN(IF(ISBLANK(U614),T614,U614),IF(ISBLANK(T614),U614,T614))=0,"",MIN(IF(ISBLANK(U614),T614,U614),IF(ISBLANK(T614),U614,T614)))</f>
        <v>5.3935185185185188E-3</v>
      </c>
      <c r="X614" s="57"/>
      <c r="Y614" s="57"/>
      <c r="Z614" s="59">
        <f>IF(MIN(IF(ISBLANK(X614),W614,X614),IF(ISBLANK(W614),X614,W614))=0,"",MIN(IF(ISBLANK(X614),W614,X614),IF(ISBLANK(W614),X614,W614)))</f>
        <v>5.3935185185185188E-3</v>
      </c>
      <c r="AA614" s="57"/>
      <c r="AB614" s="57"/>
      <c r="AC614" s="59">
        <f t="shared" ref="AC614:AC619" si="235">IF(MIN(IF(ISBLANK(Z614),AA614,Z614),IF(ISBLANK(AA614),Z614,AA614))=0,"",MIN(IF(ISBLANK(Z614),AA614,Z614),IF(ISBLANK(AA614),Z614,AA614)))</f>
        <v>5.3935185185185188E-3</v>
      </c>
      <c r="AD614" s="57"/>
      <c r="AE614" s="57"/>
      <c r="AF614" s="59">
        <f t="shared" ref="AF614:AF624" si="236">IF(MIN(IF(ISBLANK(AC614),AD614,AC614),IF(ISBLANK(AD614),AC614,AD614))=0,"",MIN(IF(ISBLANK(AC614),AD614,AC614),IF(ISBLANK(AD614),AC614,AD614)))</f>
        <v>5.3935185185185188E-3</v>
      </c>
      <c r="AG614" s="57"/>
      <c r="AH614" s="57"/>
      <c r="AI614" s="59">
        <f t="shared" ref="AI614:AI624" si="237">IF(MIN(IF(ISBLANK(AF614),AG614,AF614),IF(ISBLANK(AG614),AF614,AG614))=0,"",MIN(IF(ISBLANK(AF614),AG614,AF614),IF(ISBLANK(AG614),AF614,AG614)))</f>
        <v>5.3935185185185188E-3</v>
      </c>
      <c r="AJ614" s="57"/>
      <c r="AK614" s="57"/>
      <c r="AL614" s="59">
        <f t="shared" ref="AL614:AL624" si="238">IF(MIN(IF(ISBLANK(AI614),AJ614,AI614),IF(ISBLANK(AJ614),AI614,AJ614))=0,"",MIN(IF(ISBLANK(AI614),AJ614,AI614),IF(ISBLANK(AJ614),AI614,AJ614)))</f>
        <v>5.3935185185185188E-3</v>
      </c>
      <c r="AM614" s="57"/>
      <c r="AN614" s="57"/>
      <c r="AO614" s="59">
        <f t="shared" si="234"/>
        <v>5.3935185185185188E-3</v>
      </c>
      <c r="AP614" s="57"/>
      <c r="AQ614" s="59">
        <f t="shared" si="232"/>
        <v>5.3935185185185188E-3</v>
      </c>
      <c r="AR614" s="57"/>
      <c r="AS614" s="57"/>
      <c r="AT614" s="59">
        <f t="shared" si="233"/>
        <v>5.3935185185185188E-3</v>
      </c>
    </row>
    <row r="615" spans="1:46">
      <c r="A615" s="24" t="s">
        <v>792</v>
      </c>
      <c r="B615" s="26" t="s">
        <v>698</v>
      </c>
      <c r="C615" s="26"/>
      <c r="D615" s="50"/>
      <c r="E615" s="51"/>
      <c r="F615" s="50"/>
      <c r="G615" s="52"/>
      <c r="H615" s="50"/>
      <c r="I615" s="53"/>
      <c r="J615" s="50"/>
      <c r="K615" s="54"/>
      <c r="L615" s="50"/>
      <c r="M615" s="56"/>
      <c r="N615" s="55"/>
      <c r="O615" s="56"/>
      <c r="P615" s="56"/>
      <c r="Q615" s="59"/>
      <c r="R615" s="56"/>
      <c r="S615" s="56"/>
      <c r="T615" s="59"/>
      <c r="U615" s="56"/>
      <c r="V615" s="56"/>
      <c r="W615" s="59"/>
      <c r="X615" s="56"/>
      <c r="Y615" s="56"/>
      <c r="Z615" s="59"/>
      <c r="AA615" s="57">
        <v>4.9537037037037041E-3</v>
      </c>
      <c r="AB615" s="56"/>
      <c r="AC615" s="59">
        <f t="shared" si="235"/>
        <v>4.9537037037037041E-3</v>
      </c>
      <c r="AD615" s="57"/>
      <c r="AE615" s="56"/>
      <c r="AF615" s="59">
        <f t="shared" si="236"/>
        <v>4.9537037037037041E-3</v>
      </c>
      <c r="AG615" s="57"/>
      <c r="AH615" s="56"/>
      <c r="AI615" s="59">
        <f t="shared" si="237"/>
        <v>4.9537037037037041E-3</v>
      </c>
      <c r="AJ615" s="57"/>
      <c r="AK615" s="56"/>
      <c r="AL615" s="59">
        <f t="shared" si="238"/>
        <v>4.9537037037037041E-3</v>
      </c>
      <c r="AM615" s="57"/>
      <c r="AN615" s="56"/>
      <c r="AO615" s="59">
        <f t="shared" si="234"/>
        <v>4.9537037037037041E-3</v>
      </c>
      <c r="AP615" s="57"/>
      <c r="AQ615" s="59">
        <f t="shared" si="232"/>
        <v>4.9537037037037041E-3</v>
      </c>
      <c r="AR615" s="57"/>
      <c r="AS615" s="57"/>
      <c r="AT615" s="59">
        <f t="shared" si="233"/>
        <v>4.9537037037037041E-3</v>
      </c>
    </row>
    <row r="616" spans="1:46" hidden="1">
      <c r="A616" s="24"/>
      <c r="B616" s="26" t="s">
        <v>107</v>
      </c>
      <c r="C616" s="26" t="s">
        <v>444</v>
      </c>
      <c r="D616" s="50">
        <v>9.32</v>
      </c>
      <c r="E616" s="51"/>
      <c r="F616" s="50">
        <v>9.32</v>
      </c>
      <c r="G616" s="52"/>
      <c r="H616" s="50">
        <v>9.32</v>
      </c>
      <c r="I616" s="53"/>
      <c r="J616" s="50">
        <v>9.32</v>
      </c>
      <c r="K616" s="53"/>
      <c r="L616" s="50">
        <v>9.32</v>
      </c>
      <c r="M616" s="57"/>
      <c r="N616" s="55">
        <v>6.6203703703703702E-3</v>
      </c>
      <c r="O616" s="57"/>
      <c r="P616" s="57"/>
      <c r="Q616" s="59">
        <f>IF(MIN(IF(ISBLANK(O616),N616,O616),IF(ISBLANK(N616),O616,N616))=0,"",MIN(IF(ISBLANK(O616),N616,O616),IF(ISBLANK(N616),O616,N616)))</f>
        <v>6.6203703703703702E-3</v>
      </c>
      <c r="R616" s="57"/>
      <c r="S616" s="57"/>
      <c r="T616" s="59">
        <f>IF(MIN(IF(ISBLANK(R616),Q616,R616),IF(ISBLANK(Q616),R616,Q616))=0,"",MIN(IF(ISBLANK(R616),Q616,R616),IF(ISBLANK(Q616),R616,Q616)))</f>
        <v>6.6203703703703702E-3</v>
      </c>
      <c r="U616" s="57"/>
      <c r="V616" s="57"/>
      <c r="W616" s="59">
        <f>IF(MIN(IF(ISBLANK(U616),T616,U616),IF(ISBLANK(T616),U616,T616))=0,"",MIN(IF(ISBLANK(U616),T616,U616),IF(ISBLANK(T616),U616,T616)))</f>
        <v>6.6203703703703702E-3</v>
      </c>
      <c r="X616" s="57"/>
      <c r="Y616" s="57"/>
      <c r="Z616" s="59">
        <f>IF(MIN(IF(ISBLANK(X616),W616,X616),IF(ISBLANK(W616),X616,W616))=0,"",MIN(IF(ISBLANK(X616),W616,X616),IF(ISBLANK(W616),X616,W616)))</f>
        <v>6.6203703703703702E-3</v>
      </c>
      <c r="AA616" s="57"/>
      <c r="AB616" s="57"/>
      <c r="AC616" s="59">
        <f t="shared" si="235"/>
        <v>6.6203703703703702E-3</v>
      </c>
      <c r="AD616" s="57"/>
      <c r="AE616" s="57"/>
      <c r="AF616" s="59">
        <f t="shared" si="236"/>
        <v>6.6203703703703702E-3</v>
      </c>
      <c r="AG616" s="57"/>
      <c r="AH616" s="57"/>
      <c r="AI616" s="59">
        <f t="shared" si="237"/>
        <v>6.6203703703703702E-3</v>
      </c>
      <c r="AJ616" s="57"/>
      <c r="AK616" s="57"/>
      <c r="AL616" s="59">
        <f t="shared" si="238"/>
        <v>6.6203703703703702E-3</v>
      </c>
      <c r="AM616" s="57"/>
      <c r="AN616" s="57"/>
      <c r="AO616" s="59">
        <f t="shared" si="234"/>
        <v>6.6203703703703702E-3</v>
      </c>
      <c r="AP616" s="57"/>
      <c r="AQ616" s="59">
        <f t="shared" si="232"/>
        <v>6.6203703703703702E-3</v>
      </c>
      <c r="AR616" s="57"/>
      <c r="AS616" s="57"/>
      <c r="AT616" s="59">
        <f t="shared" si="233"/>
        <v>6.6203703703703702E-3</v>
      </c>
    </row>
    <row r="617" spans="1:46" hidden="1">
      <c r="A617" s="24"/>
      <c r="B617" s="26" t="s">
        <v>113</v>
      </c>
      <c r="C617" s="26" t="s">
        <v>443</v>
      </c>
      <c r="D617" s="50"/>
      <c r="E617" s="51"/>
      <c r="F617" s="50" t="s">
        <v>448</v>
      </c>
      <c r="G617" s="52"/>
      <c r="H617" s="50"/>
      <c r="I617" s="53"/>
      <c r="J617" s="50" t="s">
        <v>448</v>
      </c>
      <c r="K617" s="53"/>
      <c r="L617" s="50"/>
      <c r="M617" s="57"/>
      <c r="N617" s="55"/>
      <c r="O617" s="57"/>
      <c r="P617" s="57"/>
      <c r="Q617" s="59" t="str">
        <f>IF(MIN(IF(ISBLANK(O617),N617,O617),IF(ISBLANK(N617),O617,N617))=0,"",MIN(IF(ISBLANK(O617),N617,O617),IF(ISBLANK(N617),O617,N617)))</f>
        <v/>
      </c>
      <c r="R617" s="57"/>
      <c r="S617" s="57"/>
      <c r="T617" s="59" t="str">
        <f>IF(MIN(IF(ISBLANK(R617),Q617,R617),IF(ISBLANK(Q617),R617,Q617))=0,"",MIN(IF(ISBLANK(R617),Q617,R617),IF(ISBLANK(Q617),R617,Q617)))</f>
        <v/>
      </c>
      <c r="U617" s="57"/>
      <c r="V617" s="57"/>
      <c r="W617" s="59" t="str">
        <f>IF(MIN(IF(ISBLANK(U617),T617,U617),IF(ISBLANK(T617),U617,T617))=0,"",MIN(IF(ISBLANK(U617),T617,U617),IF(ISBLANK(T617),U617,T617)))</f>
        <v/>
      </c>
      <c r="X617" s="57"/>
      <c r="Y617" s="57"/>
      <c r="Z617" s="59" t="str">
        <f>IF(MIN(IF(ISBLANK(X617),W617,X617),IF(ISBLANK(W617),X617,W617))=0,"",MIN(IF(ISBLANK(X617),W617,X617),IF(ISBLANK(W617),X617,W617)))</f>
        <v/>
      </c>
      <c r="AA617" s="57"/>
      <c r="AB617" s="57"/>
      <c r="AC617" s="59" t="str">
        <f t="shared" si="235"/>
        <v/>
      </c>
      <c r="AD617" s="57"/>
      <c r="AE617" s="57"/>
      <c r="AF617" s="59" t="str">
        <f t="shared" si="236"/>
        <v/>
      </c>
      <c r="AG617" s="57"/>
      <c r="AH617" s="57"/>
      <c r="AI617" s="59" t="str">
        <f t="shared" si="237"/>
        <v/>
      </c>
      <c r="AJ617" s="57"/>
      <c r="AK617" s="57"/>
      <c r="AL617" s="59" t="str">
        <f t="shared" si="238"/>
        <v/>
      </c>
      <c r="AM617" s="57"/>
      <c r="AN617" s="57"/>
      <c r="AO617" s="59" t="str">
        <f t="shared" si="234"/>
        <v/>
      </c>
      <c r="AP617" s="57"/>
      <c r="AQ617" s="59" t="str">
        <f t="shared" si="232"/>
        <v/>
      </c>
      <c r="AR617" s="57"/>
      <c r="AS617" s="57"/>
      <c r="AT617" s="59" t="str">
        <f t="shared" si="233"/>
        <v/>
      </c>
    </row>
    <row r="618" spans="1:46" hidden="1">
      <c r="A618" s="24"/>
      <c r="B618" s="26" t="s">
        <v>340</v>
      </c>
      <c r="C618" s="26" t="s">
        <v>443</v>
      </c>
      <c r="D618" s="50"/>
      <c r="E618" s="51"/>
      <c r="F618" s="50" t="s">
        <v>448</v>
      </c>
      <c r="G618" s="52"/>
      <c r="H618" s="50"/>
      <c r="I618" s="53"/>
      <c r="J618" s="50" t="s">
        <v>448</v>
      </c>
      <c r="K618" s="53"/>
      <c r="L618" s="50"/>
      <c r="M618" s="57"/>
      <c r="N618" s="55"/>
      <c r="O618" s="57"/>
      <c r="P618" s="57"/>
      <c r="Q618" s="59" t="str">
        <f>IF(MIN(IF(ISBLANK(O618),N618,O618),IF(ISBLANK(N618),O618,N618))=0,"",MIN(IF(ISBLANK(O618),N618,O618),IF(ISBLANK(N618),O618,N618)))</f>
        <v/>
      </c>
      <c r="R618" s="57"/>
      <c r="S618" s="57"/>
      <c r="T618" s="59" t="str">
        <f>IF(MIN(IF(ISBLANK(R618),Q618,R618),IF(ISBLANK(Q618),R618,Q618))=0,"",MIN(IF(ISBLANK(R618),Q618,R618),IF(ISBLANK(Q618),R618,Q618)))</f>
        <v/>
      </c>
      <c r="U618" s="57"/>
      <c r="V618" s="57"/>
      <c r="W618" s="59" t="str">
        <f>IF(MIN(IF(ISBLANK(U618),T618,U618),IF(ISBLANK(T618),U618,T618))=0,"",MIN(IF(ISBLANK(U618),T618,U618),IF(ISBLANK(T618),U618,T618)))</f>
        <v/>
      </c>
      <c r="X618" s="57"/>
      <c r="Y618" s="57"/>
      <c r="Z618" s="59" t="str">
        <f>IF(MIN(IF(ISBLANK(X618),W618,X618),IF(ISBLANK(W618),X618,W618))=0,"",MIN(IF(ISBLANK(X618),W618,X618),IF(ISBLANK(W618),X618,W618)))</f>
        <v/>
      </c>
      <c r="AA618" s="57"/>
      <c r="AB618" s="57"/>
      <c r="AC618" s="59" t="str">
        <f t="shared" si="235"/>
        <v/>
      </c>
      <c r="AD618" s="57"/>
      <c r="AE618" s="57"/>
      <c r="AF618" s="59" t="str">
        <f t="shared" si="236"/>
        <v/>
      </c>
      <c r="AG618" s="57"/>
      <c r="AH618" s="57"/>
      <c r="AI618" s="59" t="str">
        <f t="shared" si="237"/>
        <v/>
      </c>
      <c r="AJ618" s="57"/>
      <c r="AK618" s="57"/>
      <c r="AL618" s="59" t="str">
        <f t="shared" si="238"/>
        <v/>
      </c>
      <c r="AM618" s="57"/>
      <c r="AN618" s="57"/>
      <c r="AO618" s="59" t="str">
        <f t="shared" si="234"/>
        <v/>
      </c>
      <c r="AP618" s="57"/>
      <c r="AQ618" s="59" t="str">
        <f t="shared" si="232"/>
        <v/>
      </c>
      <c r="AR618" s="57"/>
      <c r="AS618" s="57"/>
      <c r="AT618" s="59" t="str">
        <f t="shared" si="233"/>
        <v/>
      </c>
    </row>
    <row r="619" spans="1:46" hidden="1">
      <c r="A619" s="24"/>
      <c r="B619" s="26" t="s">
        <v>120</v>
      </c>
      <c r="C619" s="26" t="s">
        <v>443</v>
      </c>
      <c r="D619" s="50">
        <v>8.17</v>
      </c>
      <c r="E619" s="51"/>
      <c r="F619" s="50">
        <v>8.17</v>
      </c>
      <c r="G619" s="52"/>
      <c r="H619" s="50">
        <v>8.17</v>
      </c>
      <c r="I619" s="53"/>
      <c r="J619" s="50">
        <v>8.17</v>
      </c>
      <c r="K619" s="53"/>
      <c r="L619" s="50">
        <v>8.17</v>
      </c>
      <c r="M619" s="57"/>
      <c r="N619" s="55">
        <v>5.7523148148148143E-3</v>
      </c>
      <c r="O619" s="57"/>
      <c r="P619" s="57"/>
      <c r="Q619" s="59">
        <f>IF(MIN(IF(ISBLANK(O619),N619,O619),IF(ISBLANK(N619),O619,N619))=0,"",MIN(IF(ISBLANK(O619),N619,O619),IF(ISBLANK(N619),O619,N619)))</f>
        <v>5.7523148148148143E-3</v>
      </c>
      <c r="R619" s="57"/>
      <c r="S619" s="57"/>
      <c r="T619" s="59">
        <f>IF(MIN(IF(ISBLANK(R619),Q619,R619),IF(ISBLANK(Q619),R619,Q619))=0,"",MIN(IF(ISBLANK(R619),Q619,R619),IF(ISBLANK(Q619),R619,Q619)))</f>
        <v>5.7523148148148143E-3</v>
      </c>
      <c r="U619" s="57"/>
      <c r="V619" s="57"/>
      <c r="W619" s="59">
        <f>IF(MIN(IF(ISBLANK(U619),T619,U619),IF(ISBLANK(T619),U619,T619))=0,"",MIN(IF(ISBLANK(U619),T619,U619),IF(ISBLANK(T619),U619,T619)))</f>
        <v>5.7523148148148143E-3</v>
      </c>
      <c r="X619" s="57"/>
      <c r="Y619" s="57"/>
      <c r="Z619" s="59">
        <f>IF(MIN(IF(ISBLANK(X619),W619,X619),IF(ISBLANK(W619),X619,W619))=0,"",MIN(IF(ISBLANK(X619),W619,X619),IF(ISBLANK(W619),X619,W619)))</f>
        <v>5.7523148148148143E-3</v>
      </c>
      <c r="AA619" s="57"/>
      <c r="AB619" s="57"/>
      <c r="AC619" s="59">
        <f t="shared" si="235"/>
        <v>5.7523148148148143E-3</v>
      </c>
      <c r="AD619" s="57"/>
      <c r="AE619" s="57"/>
      <c r="AF619" s="59">
        <f t="shared" si="236"/>
        <v>5.7523148148148143E-3</v>
      </c>
      <c r="AG619" s="57"/>
      <c r="AH619" s="57"/>
      <c r="AI619" s="59">
        <f t="shared" si="237"/>
        <v>5.7523148148148143E-3</v>
      </c>
      <c r="AJ619" s="57"/>
      <c r="AK619" s="57"/>
      <c r="AL619" s="59">
        <f t="shared" si="238"/>
        <v>5.7523148148148143E-3</v>
      </c>
      <c r="AM619" s="57"/>
      <c r="AN619" s="57"/>
      <c r="AO619" s="59">
        <f t="shared" si="234"/>
        <v>5.7523148148148143E-3</v>
      </c>
      <c r="AP619" s="57"/>
      <c r="AQ619" s="59">
        <f t="shared" si="232"/>
        <v>5.7523148148148143E-3</v>
      </c>
      <c r="AR619" s="57"/>
      <c r="AS619" s="57"/>
      <c r="AT619" s="59">
        <f t="shared" si="233"/>
        <v>5.7523148148148143E-3</v>
      </c>
    </row>
    <row r="620" spans="1:46" hidden="1">
      <c r="A620" s="24"/>
      <c r="B620" s="26" t="s">
        <v>721</v>
      </c>
      <c r="C620" s="26"/>
      <c r="D620" s="50"/>
      <c r="E620" s="51"/>
      <c r="F620" s="50"/>
      <c r="G620" s="52"/>
      <c r="H620" s="50"/>
      <c r="I620" s="53"/>
      <c r="J620" s="50"/>
      <c r="K620" s="53"/>
      <c r="L620" s="50"/>
      <c r="M620" s="57"/>
      <c r="N620" s="55"/>
      <c r="O620" s="57"/>
      <c r="P620" s="57"/>
      <c r="Q620" s="59"/>
      <c r="R620" s="57"/>
      <c r="S620" s="57"/>
      <c r="T620" s="59"/>
      <c r="U620" s="57"/>
      <c r="V620" s="57"/>
      <c r="W620" s="59"/>
      <c r="X620" s="57"/>
      <c r="Y620" s="57"/>
      <c r="Z620" s="59"/>
      <c r="AA620" s="57"/>
      <c r="AB620" s="57"/>
      <c r="AC620" s="59"/>
      <c r="AD620" s="57">
        <v>5.8449074074074072E-3</v>
      </c>
      <c r="AE620" s="57"/>
      <c r="AF620" s="59">
        <f t="shared" si="236"/>
        <v>5.8449074074074072E-3</v>
      </c>
      <c r="AG620" s="57">
        <v>5.6249999999999989E-3</v>
      </c>
      <c r="AH620" s="57"/>
      <c r="AI620" s="59">
        <f t="shared" si="237"/>
        <v>5.6249999999999989E-3</v>
      </c>
      <c r="AJ620" s="57"/>
      <c r="AK620" s="57"/>
      <c r="AL620" s="59">
        <f t="shared" si="238"/>
        <v>5.6249999999999989E-3</v>
      </c>
      <c r="AM620" s="57"/>
      <c r="AN620" s="57"/>
      <c r="AO620" s="59">
        <f t="shared" si="234"/>
        <v>5.6249999999999989E-3</v>
      </c>
      <c r="AP620" s="57"/>
      <c r="AQ620" s="59">
        <f t="shared" si="232"/>
        <v>5.6249999999999989E-3</v>
      </c>
      <c r="AR620" s="57"/>
      <c r="AS620" s="57"/>
      <c r="AT620" s="59">
        <f t="shared" si="233"/>
        <v>5.6249999999999989E-3</v>
      </c>
    </row>
    <row r="621" spans="1:46" hidden="1">
      <c r="A621" s="24"/>
      <c r="B621" s="26" t="s">
        <v>479</v>
      </c>
      <c r="C621" s="26" t="s">
        <v>443</v>
      </c>
      <c r="D621" s="50"/>
      <c r="E621" s="51"/>
      <c r="F621" s="50"/>
      <c r="G621" s="52"/>
      <c r="H621" s="50"/>
      <c r="I621" s="53"/>
      <c r="J621" s="50"/>
      <c r="K621" s="53">
        <v>8.49</v>
      </c>
      <c r="L621" s="50">
        <v>8.49</v>
      </c>
      <c r="M621" s="57"/>
      <c r="N621" s="55">
        <v>6.122685185185185E-3</v>
      </c>
      <c r="O621" s="57"/>
      <c r="P621" s="57"/>
      <c r="Q621" s="59">
        <f>IF(MIN(IF(ISBLANK(O621),N621,O621),IF(ISBLANK(N621),O621,N621))=0,"",MIN(IF(ISBLANK(O621),N621,O621),IF(ISBLANK(N621),O621,N621)))</f>
        <v>6.122685185185185E-3</v>
      </c>
      <c r="R621" s="57"/>
      <c r="S621" s="57"/>
      <c r="T621" s="59">
        <f>IF(MIN(IF(ISBLANK(R621),Q621,R621),IF(ISBLANK(Q621),R621,Q621))=0,"",MIN(IF(ISBLANK(R621),Q621,R621),IF(ISBLANK(Q621),R621,Q621)))</f>
        <v>6.122685185185185E-3</v>
      </c>
      <c r="U621" s="57"/>
      <c r="V621" s="57"/>
      <c r="W621" s="59">
        <f>IF(MIN(IF(ISBLANK(U621),T621,U621),IF(ISBLANK(T621),U621,T621))=0,"",MIN(IF(ISBLANK(U621),T621,U621),IF(ISBLANK(T621),U621,T621)))</f>
        <v>6.122685185185185E-3</v>
      </c>
      <c r="X621" s="57"/>
      <c r="Y621" s="57"/>
      <c r="Z621" s="59">
        <f>IF(MIN(IF(ISBLANK(X621),W621,X621),IF(ISBLANK(W621),X621,W621))=0,"",MIN(IF(ISBLANK(X621),W621,X621),IF(ISBLANK(W621),X621,W621)))</f>
        <v>6.122685185185185E-3</v>
      </c>
      <c r="AA621" s="57"/>
      <c r="AB621" s="57"/>
      <c r="AC621" s="59">
        <f>IF(MIN(IF(ISBLANK(Z621),AA621,Z621),IF(ISBLANK(AA621),Z621,AA621))=0,"",MIN(IF(ISBLANK(Z621),AA621,Z621),IF(ISBLANK(AA621),Z621,AA621)))</f>
        <v>6.122685185185185E-3</v>
      </c>
      <c r="AD621" s="57"/>
      <c r="AE621" s="57"/>
      <c r="AF621" s="59">
        <f t="shared" si="236"/>
        <v>6.122685185185185E-3</v>
      </c>
      <c r="AG621" s="57"/>
      <c r="AH621" s="57"/>
      <c r="AI621" s="59">
        <f t="shared" si="237"/>
        <v>6.122685185185185E-3</v>
      </c>
      <c r="AJ621" s="57"/>
      <c r="AK621" s="57"/>
      <c r="AL621" s="59">
        <f t="shared" si="238"/>
        <v>6.122685185185185E-3</v>
      </c>
      <c r="AM621" s="57"/>
      <c r="AN621" s="57"/>
      <c r="AO621" s="59">
        <f t="shared" si="234"/>
        <v>6.122685185185185E-3</v>
      </c>
      <c r="AP621" s="57"/>
      <c r="AQ621" s="59">
        <f t="shared" si="232"/>
        <v>6.122685185185185E-3</v>
      </c>
      <c r="AR621" s="57"/>
      <c r="AS621" s="57"/>
      <c r="AT621" s="59">
        <f t="shared" si="233"/>
        <v>6.122685185185185E-3</v>
      </c>
    </row>
    <row r="622" spans="1:46">
      <c r="A622" s="24" t="s">
        <v>792</v>
      </c>
      <c r="B622" s="26" t="s">
        <v>125</v>
      </c>
      <c r="C622" s="26" t="s">
        <v>443</v>
      </c>
      <c r="D622" s="50">
        <v>7.45</v>
      </c>
      <c r="E622" s="51"/>
      <c r="F622" s="50">
        <v>7.45</v>
      </c>
      <c r="G622" s="52"/>
      <c r="H622" s="50">
        <v>7.45</v>
      </c>
      <c r="I622" s="53"/>
      <c r="J622" s="50">
        <v>7.45</v>
      </c>
      <c r="K622" s="53"/>
      <c r="L622" s="50">
        <v>7.45</v>
      </c>
      <c r="M622" s="57"/>
      <c r="N622" s="55">
        <v>5.3819444444444453E-3</v>
      </c>
      <c r="O622" s="57">
        <v>5.8680555555555543E-3</v>
      </c>
      <c r="P622" s="57"/>
      <c r="Q622" s="59">
        <f>IF(MIN(IF(ISBLANK(O622),N622,O622),IF(ISBLANK(N622),O622,N622))=0,"",MIN(IF(ISBLANK(O622),N622,O622),IF(ISBLANK(N622),O622,N622)))</f>
        <v>5.3819444444444453E-3</v>
      </c>
      <c r="R622" s="57">
        <v>5.9606481481481489E-3</v>
      </c>
      <c r="S622" s="57"/>
      <c r="T622" s="59">
        <f>IF(MIN(IF(ISBLANK(R622),Q622,R622),IF(ISBLANK(Q622),R622,Q622))=0,"",MIN(IF(ISBLANK(R622),Q622,R622),IF(ISBLANK(Q622),R622,Q622)))</f>
        <v>5.3819444444444453E-3</v>
      </c>
      <c r="U622" s="57"/>
      <c r="V622" s="57"/>
      <c r="W622" s="59">
        <f>IF(MIN(IF(ISBLANK(U622),T622,U622),IF(ISBLANK(T622),U622,T622))=0,"",MIN(IF(ISBLANK(U622),T622,U622),IF(ISBLANK(T622),U622,T622)))</f>
        <v>5.3819444444444453E-3</v>
      </c>
      <c r="X622" s="57"/>
      <c r="Y622" s="57"/>
      <c r="Z622" s="59">
        <f>IF(MIN(IF(ISBLANK(X622),W622,X622),IF(ISBLANK(W622),X622,W622))=0,"",MIN(IF(ISBLANK(X622),W622,X622),IF(ISBLANK(W622),X622,W622)))</f>
        <v>5.3819444444444453E-3</v>
      </c>
      <c r="AA622" s="57"/>
      <c r="AB622" s="57"/>
      <c r="AC622" s="59">
        <f>IF(MIN(IF(ISBLANK(Z622),AA622,Z622),IF(ISBLANK(AA622),Z622,AA622))=0,"",MIN(IF(ISBLANK(Z622),AA622,Z622),IF(ISBLANK(AA622),Z622,AA622)))</f>
        <v>5.3819444444444453E-3</v>
      </c>
      <c r="AD622" s="57"/>
      <c r="AE622" s="57"/>
      <c r="AF622" s="59">
        <f t="shared" si="236"/>
        <v>5.3819444444444453E-3</v>
      </c>
      <c r="AG622" s="57"/>
      <c r="AH622" s="57"/>
      <c r="AI622" s="59">
        <f t="shared" si="237"/>
        <v>5.3819444444444453E-3</v>
      </c>
      <c r="AJ622" s="57"/>
      <c r="AK622" s="57"/>
      <c r="AL622" s="59">
        <f t="shared" si="238"/>
        <v>5.3819444444444453E-3</v>
      </c>
      <c r="AM622" s="57"/>
      <c r="AN622" s="57"/>
      <c r="AO622" s="59">
        <f t="shared" si="234"/>
        <v>5.3819444444444453E-3</v>
      </c>
      <c r="AP622" s="57"/>
      <c r="AQ622" s="59">
        <f t="shared" si="232"/>
        <v>5.3819444444444453E-3</v>
      </c>
      <c r="AR622" s="57"/>
      <c r="AS622" s="57"/>
      <c r="AT622" s="59">
        <f t="shared" si="233"/>
        <v>5.3819444444444453E-3</v>
      </c>
    </row>
    <row r="623" spans="1:46" hidden="1">
      <c r="A623" s="24"/>
      <c r="B623" s="26" t="s">
        <v>548</v>
      </c>
      <c r="C623" s="26"/>
      <c r="D623" s="50"/>
      <c r="E623" s="51"/>
      <c r="F623" s="50"/>
      <c r="G623" s="52"/>
      <c r="H623" s="50"/>
      <c r="I623" s="53"/>
      <c r="J623" s="50"/>
      <c r="K623" s="53"/>
      <c r="L623" s="50"/>
      <c r="M623" s="57"/>
      <c r="N623" s="55"/>
      <c r="O623" s="57">
        <v>6.0995370370370361E-3</v>
      </c>
      <c r="P623" s="57"/>
      <c r="Q623" s="59">
        <f>IF(MIN(IF(ISBLANK(O623),N623,O623),IF(ISBLANK(N623),O623,N623))=0,"",MIN(IF(ISBLANK(O623),N623,O623),IF(ISBLANK(N623),O623,N623)))</f>
        <v>6.0995370370370361E-3</v>
      </c>
      <c r="R623" s="57"/>
      <c r="S623" s="57"/>
      <c r="T623" s="59">
        <f>IF(MIN(IF(ISBLANK(R623),Q623,R623),IF(ISBLANK(Q623),R623,Q623))=0,"",MIN(IF(ISBLANK(R623),Q623,R623),IF(ISBLANK(Q623),R623,Q623)))</f>
        <v>6.0995370370370361E-3</v>
      </c>
      <c r="U623" s="57"/>
      <c r="V623" s="57"/>
      <c r="W623" s="59">
        <f>IF(MIN(IF(ISBLANK(U623),T623,U623),IF(ISBLANK(T623),U623,T623))=0,"",MIN(IF(ISBLANK(U623),T623,U623),IF(ISBLANK(T623),U623,T623)))</f>
        <v>6.0995370370370361E-3</v>
      </c>
      <c r="X623" s="57"/>
      <c r="Y623" s="57"/>
      <c r="Z623" s="59">
        <f>IF(MIN(IF(ISBLANK(X623),W623,X623),IF(ISBLANK(W623),X623,W623))=0,"",MIN(IF(ISBLANK(X623),W623,X623),IF(ISBLANK(W623),X623,W623)))</f>
        <v>6.0995370370370361E-3</v>
      </c>
      <c r="AA623" s="57"/>
      <c r="AB623" s="57"/>
      <c r="AC623" s="59">
        <f>IF(MIN(IF(ISBLANK(Z623),AA623,Z623),IF(ISBLANK(AA623),Z623,AA623))=0,"",MIN(IF(ISBLANK(Z623),AA623,Z623),IF(ISBLANK(AA623),Z623,AA623)))</f>
        <v>6.0995370370370361E-3</v>
      </c>
      <c r="AD623" s="57"/>
      <c r="AE623" s="57"/>
      <c r="AF623" s="59">
        <f t="shared" si="236"/>
        <v>6.0995370370370361E-3</v>
      </c>
      <c r="AG623" s="57"/>
      <c r="AH623" s="57"/>
      <c r="AI623" s="59">
        <f t="shared" si="237"/>
        <v>6.0995370370370361E-3</v>
      </c>
      <c r="AJ623" s="57"/>
      <c r="AK623" s="57"/>
      <c r="AL623" s="59">
        <f t="shared" si="238"/>
        <v>6.0995370370370361E-3</v>
      </c>
      <c r="AM623" s="57"/>
      <c r="AN623" s="57"/>
      <c r="AO623" s="59">
        <f t="shared" si="234"/>
        <v>6.0995370370370361E-3</v>
      </c>
      <c r="AP623" s="57"/>
      <c r="AQ623" s="59">
        <f t="shared" si="232"/>
        <v>6.0995370370370361E-3</v>
      </c>
      <c r="AR623" s="57"/>
      <c r="AS623" s="57"/>
      <c r="AT623" s="59">
        <f t="shared" si="233"/>
        <v>6.0995370370370361E-3</v>
      </c>
    </row>
    <row r="624" spans="1:46" hidden="1">
      <c r="A624" s="24"/>
      <c r="B624" s="26" t="s">
        <v>244</v>
      </c>
      <c r="C624" s="26" t="s">
        <v>444</v>
      </c>
      <c r="D624" s="50"/>
      <c r="E624" s="51"/>
      <c r="F624" s="50" t="s">
        <v>448</v>
      </c>
      <c r="G624" s="52"/>
      <c r="H624" s="50"/>
      <c r="I624" s="53"/>
      <c r="J624" s="50" t="s">
        <v>448</v>
      </c>
      <c r="K624" s="53"/>
      <c r="L624" s="50"/>
      <c r="M624" s="57"/>
      <c r="N624" s="55"/>
      <c r="O624" s="57"/>
      <c r="P624" s="57"/>
      <c r="Q624" s="59" t="str">
        <f>IF(MIN(IF(ISBLANK(O624),N624,O624),IF(ISBLANK(N624),O624,N624))=0,"",MIN(IF(ISBLANK(O624),N624,O624),IF(ISBLANK(N624),O624,N624)))</f>
        <v/>
      </c>
      <c r="R624" s="57"/>
      <c r="S624" s="57"/>
      <c r="T624" s="59" t="str">
        <f>IF(MIN(IF(ISBLANK(R624),Q624,R624),IF(ISBLANK(Q624),R624,Q624))=0,"",MIN(IF(ISBLANK(R624),Q624,R624),IF(ISBLANK(Q624),R624,Q624)))</f>
        <v/>
      </c>
      <c r="U624" s="57"/>
      <c r="V624" s="57"/>
      <c r="W624" s="59" t="str">
        <f>IF(MIN(IF(ISBLANK(U624),T624,U624),IF(ISBLANK(T624),U624,T624))=0,"",MIN(IF(ISBLANK(U624),T624,U624),IF(ISBLANK(T624),U624,T624)))</f>
        <v/>
      </c>
      <c r="X624" s="57"/>
      <c r="Y624" s="57"/>
      <c r="Z624" s="59" t="str">
        <f>IF(MIN(IF(ISBLANK(X624),W624,X624),IF(ISBLANK(W624),X624,W624))=0,"",MIN(IF(ISBLANK(X624),W624,X624),IF(ISBLANK(W624),X624,W624)))</f>
        <v/>
      </c>
      <c r="AA624" s="57"/>
      <c r="AB624" s="57"/>
      <c r="AC624" s="59" t="str">
        <f>IF(MIN(IF(ISBLANK(Z624),AA624,Z624),IF(ISBLANK(AA624),Z624,AA624))=0,"",MIN(IF(ISBLANK(Z624),AA624,Z624),IF(ISBLANK(AA624),Z624,AA624)))</f>
        <v/>
      </c>
      <c r="AD624" s="57"/>
      <c r="AE624" s="57"/>
      <c r="AF624" s="59" t="str">
        <f t="shared" si="236"/>
        <v/>
      </c>
      <c r="AG624" s="57"/>
      <c r="AH624" s="57"/>
      <c r="AI624" s="59" t="str">
        <f t="shared" si="237"/>
        <v/>
      </c>
      <c r="AJ624" s="57"/>
      <c r="AK624" s="57"/>
      <c r="AL624" s="59" t="str">
        <f t="shared" si="238"/>
        <v/>
      </c>
      <c r="AM624" s="57"/>
      <c r="AN624" s="57"/>
      <c r="AO624" s="59" t="str">
        <f t="shared" si="234"/>
        <v/>
      </c>
      <c r="AP624" s="57"/>
      <c r="AQ624" s="59" t="str">
        <f t="shared" si="232"/>
        <v/>
      </c>
      <c r="AR624" s="57"/>
      <c r="AS624" s="57"/>
      <c r="AT624" s="59" t="str">
        <f t="shared" si="233"/>
        <v/>
      </c>
    </row>
    <row r="625" spans="1:46">
      <c r="A625" s="24" t="s">
        <v>792</v>
      </c>
      <c r="B625" s="26" t="s">
        <v>864</v>
      </c>
      <c r="C625" s="26"/>
      <c r="D625" s="50"/>
      <c r="E625" s="51"/>
      <c r="F625" s="50"/>
      <c r="G625" s="52"/>
      <c r="H625" s="50"/>
      <c r="I625" s="53"/>
      <c r="J625" s="50"/>
      <c r="K625" s="53"/>
      <c r="L625" s="50"/>
      <c r="M625" s="57"/>
      <c r="N625" s="55"/>
      <c r="O625" s="57"/>
      <c r="P625" s="57"/>
      <c r="Q625" s="59"/>
      <c r="R625" s="57"/>
      <c r="S625" s="57"/>
      <c r="T625" s="59"/>
      <c r="U625" s="57"/>
      <c r="V625" s="57"/>
      <c r="W625" s="59"/>
      <c r="X625" s="57"/>
      <c r="Y625" s="57"/>
      <c r="Z625" s="59"/>
      <c r="AA625" s="57"/>
      <c r="AB625" s="57"/>
      <c r="AC625" s="59"/>
      <c r="AD625" s="57"/>
      <c r="AE625" s="57"/>
      <c r="AF625" s="59"/>
      <c r="AG625" s="57"/>
      <c r="AH625" s="57"/>
      <c r="AI625" s="59"/>
      <c r="AJ625" s="57"/>
      <c r="AK625" s="57"/>
      <c r="AL625" s="59"/>
      <c r="AM625" s="57"/>
      <c r="AN625" s="57"/>
      <c r="AO625" s="59"/>
      <c r="AP625" s="57">
        <v>8.3333333333333332E-3</v>
      </c>
      <c r="AQ625" s="59">
        <f t="shared" si="232"/>
        <v>8.3333333333333332E-3</v>
      </c>
      <c r="AR625" s="57">
        <v>7.2916666666666659E-3</v>
      </c>
      <c r="AS625" s="57"/>
      <c r="AT625" s="59">
        <f t="shared" si="233"/>
        <v>7.2916666666666659E-3</v>
      </c>
    </row>
    <row r="626" spans="1:46">
      <c r="A626" s="24" t="s">
        <v>792</v>
      </c>
      <c r="B626" s="26" t="s">
        <v>130</v>
      </c>
      <c r="C626" s="26" t="s">
        <v>443</v>
      </c>
      <c r="D626" s="50">
        <v>6.46</v>
      </c>
      <c r="E626" s="51"/>
      <c r="F626" s="50">
        <v>6.46</v>
      </c>
      <c r="G626" s="52"/>
      <c r="H626" s="50">
        <v>6.46</v>
      </c>
      <c r="I626" s="53">
        <v>7.29</v>
      </c>
      <c r="J626" s="50">
        <v>6.46</v>
      </c>
      <c r="K626" s="53"/>
      <c r="L626" s="50">
        <v>6.46</v>
      </c>
      <c r="M626" s="57"/>
      <c r="N626" s="55">
        <v>4.6990740740740743E-3</v>
      </c>
      <c r="O626" s="57">
        <v>5.9606481481481489E-3</v>
      </c>
      <c r="P626" s="57"/>
      <c r="Q626" s="59">
        <f>IF(MIN(IF(ISBLANK(O626),N626,O626),IF(ISBLANK(N626),O626,N626))=0,"",MIN(IF(ISBLANK(O626),N626,O626),IF(ISBLANK(N626),O626,N626)))</f>
        <v>4.6990740740740743E-3</v>
      </c>
      <c r="R626" s="57"/>
      <c r="S626" s="57"/>
      <c r="T626" s="59">
        <f t="shared" ref="T626:T639" si="239">IF(MIN(IF(ISBLANK(R626),Q626,R626),IF(ISBLANK(Q626),R626,Q626))=0,"",MIN(IF(ISBLANK(R626),Q626,R626),IF(ISBLANK(Q626),R626,Q626)))</f>
        <v>4.6990740740740743E-3</v>
      </c>
      <c r="U626" s="57"/>
      <c r="V626" s="57"/>
      <c r="W626" s="59">
        <f t="shared" ref="W626:W639" si="240">IF(MIN(IF(ISBLANK(U626),T626,U626),IF(ISBLANK(T626),U626,T626))=0,"",MIN(IF(ISBLANK(U626),T626,U626),IF(ISBLANK(T626),U626,T626)))</f>
        <v>4.6990740740740743E-3</v>
      </c>
      <c r="X626" s="57"/>
      <c r="Y626" s="57"/>
      <c r="Z626" s="59">
        <f t="shared" ref="Z626:Z639" si="241">IF(MIN(IF(ISBLANK(X626),W626,X626),IF(ISBLANK(W626),X626,W626))=0,"",MIN(IF(ISBLANK(X626),W626,X626),IF(ISBLANK(W626),X626,W626)))</f>
        <v>4.6990740740740743E-3</v>
      </c>
      <c r="AA626" s="57"/>
      <c r="AB626" s="57"/>
      <c r="AC626" s="59">
        <f t="shared" ref="AC626:AC639" si="242">IF(MIN(IF(ISBLANK(Z626),AA626,Z626),IF(ISBLANK(AA626),Z626,AA626))=0,"",MIN(IF(ISBLANK(Z626),AA626,Z626),IF(ISBLANK(AA626),Z626,AA626)))</f>
        <v>4.6990740740740743E-3</v>
      </c>
      <c r="AD626" s="57"/>
      <c r="AE626" s="57"/>
      <c r="AF626" s="59">
        <f t="shared" ref="AF626:AF639" si="243">IF(MIN(IF(ISBLANK(AC626),AD626,AC626),IF(ISBLANK(AD626),AC626,AD626))=0,"",MIN(IF(ISBLANK(AC626),AD626,AC626),IF(ISBLANK(AD626),AC626,AD626)))</f>
        <v>4.6990740740740743E-3</v>
      </c>
      <c r="AG626" s="57">
        <v>5.37037037037037E-3</v>
      </c>
      <c r="AH626" s="57"/>
      <c r="AI626" s="59">
        <f t="shared" ref="AI626:AI639" si="244">IF(MIN(IF(ISBLANK(AF626),AG626,AF626),IF(ISBLANK(AG626),AF626,AG626))=0,"",MIN(IF(ISBLANK(AF626),AG626,AF626),IF(ISBLANK(AG626),AF626,AG626)))</f>
        <v>4.6990740740740743E-3</v>
      </c>
      <c r="AJ626" s="57">
        <v>5.2546296296296299E-3</v>
      </c>
      <c r="AK626" s="57"/>
      <c r="AL626" s="59">
        <f t="shared" ref="AL626:AL639" si="245">IF(MIN(IF(ISBLANK(AI626),AJ626,AI626),IF(ISBLANK(AJ626),AI626,AJ626))=0,"",MIN(IF(ISBLANK(AI626),AJ626,AI626),IF(ISBLANK(AJ626),AI626,AJ626)))</f>
        <v>4.6990740740740743E-3</v>
      </c>
      <c r="AM626" s="57"/>
      <c r="AN626" s="57"/>
      <c r="AO626" s="59">
        <f t="shared" ref="AO626:AO640" si="246">IF(MIN(IF(ISBLANK(AL626),AM626,AL626),IF(ISBLANK(AM626),AL626,AM626))=0,"",MIN(IF(ISBLANK(AL626),AM626,AL626),IF(ISBLANK(AM626),AL626,AM626)))</f>
        <v>4.6990740740740743E-3</v>
      </c>
      <c r="AP626" s="57"/>
      <c r="AQ626" s="59">
        <f t="shared" si="232"/>
        <v>4.6990740740740743E-3</v>
      </c>
      <c r="AR626" s="57">
        <v>5.185185185185185E-3</v>
      </c>
      <c r="AS626" s="57"/>
      <c r="AT626" s="59">
        <f t="shared" si="233"/>
        <v>4.6990740740740743E-3</v>
      </c>
    </row>
    <row r="627" spans="1:46" hidden="1">
      <c r="A627" s="24"/>
      <c r="B627" s="26" t="s">
        <v>136</v>
      </c>
      <c r="C627" s="26"/>
      <c r="D627" s="50">
        <v>10.01</v>
      </c>
      <c r="E627" s="51"/>
      <c r="F627" s="50">
        <v>10.01</v>
      </c>
      <c r="G627" s="52"/>
      <c r="H627" s="50">
        <v>10.01</v>
      </c>
      <c r="I627" s="53"/>
      <c r="J627" s="50">
        <v>10.01</v>
      </c>
      <c r="K627" s="53"/>
      <c r="L627" s="50">
        <v>10.01</v>
      </c>
      <c r="M627" s="57"/>
      <c r="N627" s="55">
        <v>6.9560185185185185E-3</v>
      </c>
      <c r="O627" s="57"/>
      <c r="P627" s="57"/>
      <c r="Q627" s="59">
        <f>IF(MIN(IF(ISBLANK(O627),N627,O627),IF(ISBLANK(N627),O627,N627))=0,"",MIN(IF(ISBLANK(O627),N627,O627),IF(ISBLANK(N627),O627,N627)))</f>
        <v>6.9560185185185185E-3</v>
      </c>
      <c r="R627" s="57"/>
      <c r="S627" s="57"/>
      <c r="T627" s="59">
        <f t="shared" si="239"/>
        <v>6.9560185185185185E-3</v>
      </c>
      <c r="U627" s="57"/>
      <c r="V627" s="57"/>
      <c r="W627" s="59">
        <f t="shared" si="240"/>
        <v>6.9560185185185185E-3</v>
      </c>
      <c r="X627" s="57"/>
      <c r="Y627" s="57"/>
      <c r="Z627" s="59">
        <f t="shared" si="241"/>
        <v>6.9560185185185185E-3</v>
      </c>
      <c r="AA627" s="57"/>
      <c r="AB627" s="57"/>
      <c r="AC627" s="59">
        <f t="shared" si="242"/>
        <v>6.9560185185185185E-3</v>
      </c>
      <c r="AD627" s="57"/>
      <c r="AE627" s="57"/>
      <c r="AF627" s="59">
        <f t="shared" si="243"/>
        <v>6.9560185185185185E-3</v>
      </c>
      <c r="AG627" s="57"/>
      <c r="AH627" s="57"/>
      <c r="AI627" s="59">
        <f t="shared" si="244"/>
        <v>6.9560185185185185E-3</v>
      </c>
      <c r="AJ627" s="57"/>
      <c r="AK627" s="57"/>
      <c r="AL627" s="59">
        <f t="shared" si="245"/>
        <v>6.9560185185185185E-3</v>
      </c>
      <c r="AM627" s="57"/>
      <c r="AN627" s="57"/>
      <c r="AO627" s="59">
        <f t="shared" si="246"/>
        <v>6.9560185185185185E-3</v>
      </c>
      <c r="AP627" s="57"/>
      <c r="AQ627" s="59">
        <f t="shared" si="232"/>
        <v>6.9560185185185185E-3</v>
      </c>
      <c r="AR627" s="57"/>
      <c r="AS627" s="57"/>
      <c r="AT627" s="59">
        <f t="shared" si="233"/>
        <v>6.9560185185185185E-3</v>
      </c>
    </row>
    <row r="628" spans="1:46">
      <c r="A628" s="24" t="s">
        <v>792</v>
      </c>
      <c r="B628" s="26" t="s">
        <v>597</v>
      </c>
      <c r="C628" s="26" t="s">
        <v>443</v>
      </c>
      <c r="D628" s="50"/>
      <c r="E628" s="51"/>
      <c r="F628" s="50"/>
      <c r="G628" s="52"/>
      <c r="H628" s="50"/>
      <c r="I628" s="53"/>
      <c r="J628" s="50"/>
      <c r="K628" s="53"/>
      <c r="L628" s="50"/>
      <c r="M628" s="57"/>
      <c r="N628" s="55"/>
      <c r="O628" s="57"/>
      <c r="P628" s="57"/>
      <c r="Q628" s="59"/>
      <c r="R628" s="57">
        <v>7.4074074074074068E-3</v>
      </c>
      <c r="S628" s="57" t="s">
        <v>566</v>
      </c>
      <c r="T628" s="59">
        <f t="shared" si="239"/>
        <v>7.4074074074074068E-3</v>
      </c>
      <c r="U628" s="57"/>
      <c r="V628" s="57"/>
      <c r="W628" s="59">
        <f t="shared" si="240"/>
        <v>7.4074074074074068E-3</v>
      </c>
      <c r="X628" s="57"/>
      <c r="Y628" s="57"/>
      <c r="Z628" s="59">
        <f t="shared" si="241"/>
        <v>7.4074074074074068E-3</v>
      </c>
      <c r="AA628" s="57"/>
      <c r="AB628" s="57"/>
      <c r="AC628" s="59">
        <f t="shared" si="242"/>
        <v>7.4074074074074068E-3</v>
      </c>
      <c r="AD628" s="57"/>
      <c r="AE628" s="57"/>
      <c r="AF628" s="59">
        <f t="shared" si="243"/>
        <v>7.4074074074074068E-3</v>
      </c>
      <c r="AG628" s="57"/>
      <c r="AH628" s="57"/>
      <c r="AI628" s="59">
        <f t="shared" si="244"/>
        <v>7.4074074074074068E-3</v>
      </c>
      <c r="AJ628" s="57"/>
      <c r="AK628" s="57"/>
      <c r="AL628" s="59">
        <f t="shared" si="245"/>
        <v>7.4074074074074068E-3</v>
      </c>
      <c r="AM628" s="57"/>
      <c r="AN628" s="57"/>
      <c r="AO628" s="59">
        <f t="shared" si="246"/>
        <v>7.4074074074074068E-3</v>
      </c>
      <c r="AP628" s="57"/>
      <c r="AQ628" s="59">
        <f t="shared" si="232"/>
        <v>7.4074074074074068E-3</v>
      </c>
      <c r="AR628" s="57"/>
      <c r="AS628" s="57"/>
      <c r="AT628" s="59">
        <f t="shared" si="233"/>
        <v>7.4074074074074068E-3</v>
      </c>
    </row>
    <row r="629" spans="1:46" hidden="1">
      <c r="A629" s="24"/>
      <c r="B629" s="26" t="s">
        <v>333</v>
      </c>
      <c r="C629" s="26"/>
      <c r="D629" s="50"/>
      <c r="E629" s="51"/>
      <c r="F629" s="50" t="s">
        <v>448</v>
      </c>
      <c r="G629" s="52"/>
      <c r="H629" s="50"/>
      <c r="I629" s="53"/>
      <c r="J629" s="50" t="s">
        <v>448</v>
      </c>
      <c r="K629" s="53"/>
      <c r="L629" s="50"/>
      <c r="M629" s="57"/>
      <c r="N629" s="55"/>
      <c r="O629" s="57"/>
      <c r="P629" s="57"/>
      <c r="Q629" s="59" t="str">
        <f>IF(MIN(IF(ISBLANK(O629),N629,O629),IF(ISBLANK(N629),O629,N629))=0,"",MIN(IF(ISBLANK(O629),N629,O629),IF(ISBLANK(N629),O629,N629)))</f>
        <v/>
      </c>
      <c r="R629" s="57"/>
      <c r="S629" s="57"/>
      <c r="T629" s="59" t="str">
        <f t="shared" si="239"/>
        <v/>
      </c>
      <c r="U629" s="57"/>
      <c r="V629" s="57"/>
      <c r="W629" s="59" t="str">
        <f t="shared" si="240"/>
        <v/>
      </c>
      <c r="X629" s="57"/>
      <c r="Y629" s="57"/>
      <c r="Z629" s="59" t="str">
        <f t="shared" si="241"/>
        <v/>
      </c>
      <c r="AA629" s="57"/>
      <c r="AB629" s="57"/>
      <c r="AC629" s="59" t="str">
        <f t="shared" si="242"/>
        <v/>
      </c>
      <c r="AD629" s="57"/>
      <c r="AE629" s="57"/>
      <c r="AF629" s="59" t="str">
        <f t="shared" si="243"/>
        <v/>
      </c>
      <c r="AG629" s="57"/>
      <c r="AH629" s="57"/>
      <c r="AI629" s="59" t="str">
        <f t="shared" si="244"/>
        <v/>
      </c>
      <c r="AJ629" s="57"/>
      <c r="AK629" s="57"/>
      <c r="AL629" s="59" t="str">
        <f t="shared" si="245"/>
        <v/>
      </c>
      <c r="AM629" s="57"/>
      <c r="AN629" s="57"/>
      <c r="AO629" s="59" t="str">
        <f t="shared" si="246"/>
        <v/>
      </c>
      <c r="AP629" s="57"/>
      <c r="AQ629" s="59" t="str">
        <f t="shared" si="232"/>
        <v/>
      </c>
      <c r="AR629" s="57"/>
      <c r="AS629" s="57"/>
      <c r="AT629" s="59" t="str">
        <f t="shared" si="233"/>
        <v/>
      </c>
    </row>
    <row r="630" spans="1:46">
      <c r="A630" s="24" t="s">
        <v>792</v>
      </c>
      <c r="B630" s="26" t="s">
        <v>143</v>
      </c>
      <c r="C630" s="26" t="s">
        <v>444</v>
      </c>
      <c r="D630" s="55">
        <v>8.5995370370370357E-3</v>
      </c>
      <c r="E630" s="57"/>
      <c r="F630" s="55">
        <v>8.5995370370370357E-3</v>
      </c>
      <c r="G630" s="57">
        <v>8.3217592592592596E-3</v>
      </c>
      <c r="H630" s="55">
        <v>8.3217592592592596E-3</v>
      </c>
      <c r="I630" s="57">
        <v>8.1018518518518514E-3</v>
      </c>
      <c r="J630" s="55">
        <v>8.1018518518518514E-3</v>
      </c>
      <c r="K630" s="57">
        <v>7.858796296296296E-3</v>
      </c>
      <c r="L630" s="55">
        <v>7.858796296296296E-3</v>
      </c>
      <c r="M630" s="57"/>
      <c r="N630" s="55">
        <v>7.858796296296296E-3</v>
      </c>
      <c r="O630" s="57">
        <v>7.4652777777777781E-3</v>
      </c>
      <c r="P630" s="57"/>
      <c r="Q630" s="59">
        <f>IF(MIN(IF(ISBLANK(O630),N630,O630),IF(ISBLANK(N630),O630,N630))=0,"",MIN(IF(ISBLANK(O630),N630,O630),IF(ISBLANK(N630),O630,N630)))</f>
        <v>7.4652777777777781E-3</v>
      </c>
      <c r="R630" s="57"/>
      <c r="S630" s="57"/>
      <c r="T630" s="59">
        <f t="shared" si="239"/>
        <v>7.4652777777777781E-3</v>
      </c>
      <c r="U630" s="57">
        <v>7.3148148148148148E-3</v>
      </c>
      <c r="V630" s="57"/>
      <c r="W630" s="59">
        <f t="shared" si="240"/>
        <v>7.3148148148148148E-3</v>
      </c>
      <c r="X630" s="57">
        <v>7.4652777777777781E-3</v>
      </c>
      <c r="Y630" s="57"/>
      <c r="Z630" s="59">
        <f t="shared" si="241"/>
        <v>7.3148148148148148E-3</v>
      </c>
      <c r="AA630" s="57">
        <v>7.5000000000000006E-3</v>
      </c>
      <c r="AB630" s="57"/>
      <c r="AC630" s="59">
        <f t="shared" si="242"/>
        <v>7.3148148148148148E-3</v>
      </c>
      <c r="AD630" s="57">
        <v>7.2916666666666659E-3</v>
      </c>
      <c r="AE630" s="57"/>
      <c r="AF630" s="59">
        <f t="shared" si="243"/>
        <v>7.2916666666666659E-3</v>
      </c>
      <c r="AG630" s="57">
        <v>7.5810185185185182E-3</v>
      </c>
      <c r="AH630" s="57"/>
      <c r="AI630" s="59">
        <f t="shared" si="244"/>
        <v>7.2916666666666659E-3</v>
      </c>
      <c r="AJ630" s="57">
        <v>7.5694444444444446E-3</v>
      </c>
      <c r="AK630" s="57"/>
      <c r="AL630" s="59">
        <f t="shared" si="245"/>
        <v>7.2916666666666659E-3</v>
      </c>
      <c r="AM630" s="57"/>
      <c r="AN630" s="57"/>
      <c r="AO630" s="59">
        <f t="shared" si="246"/>
        <v>7.2916666666666659E-3</v>
      </c>
      <c r="AP630" s="57">
        <v>6.9097222222222225E-3</v>
      </c>
      <c r="AQ630" s="59">
        <f t="shared" si="232"/>
        <v>6.9097222222222225E-3</v>
      </c>
      <c r="AR630" s="57">
        <v>6.9328703703703696E-3</v>
      </c>
      <c r="AS630" s="57"/>
      <c r="AT630" s="59">
        <f t="shared" si="233"/>
        <v>6.9097222222222225E-3</v>
      </c>
    </row>
    <row r="631" spans="1:46" hidden="1">
      <c r="A631" s="24"/>
      <c r="B631" s="26" t="s">
        <v>569</v>
      </c>
      <c r="C631" s="26"/>
      <c r="D631" s="50"/>
      <c r="E631" s="51"/>
      <c r="F631" s="50"/>
      <c r="G631" s="52"/>
      <c r="H631" s="50"/>
      <c r="I631" s="53"/>
      <c r="J631" s="50"/>
      <c r="K631" s="53"/>
      <c r="L631" s="50"/>
      <c r="M631" s="57"/>
      <c r="N631" s="55"/>
      <c r="O631" s="57"/>
      <c r="P631" s="57"/>
      <c r="Q631" s="59"/>
      <c r="R631" s="57">
        <v>6.4814814814814813E-3</v>
      </c>
      <c r="S631" s="57"/>
      <c r="T631" s="59">
        <f t="shared" si="239"/>
        <v>6.4814814814814813E-3</v>
      </c>
      <c r="U631" s="57">
        <v>7.0254629629629634E-3</v>
      </c>
      <c r="V631" s="57"/>
      <c r="W631" s="59">
        <f t="shared" si="240"/>
        <v>6.4814814814814813E-3</v>
      </c>
      <c r="X631" s="57">
        <v>5.7986111111111112E-3</v>
      </c>
      <c r="Y631" s="57"/>
      <c r="Z631" s="59">
        <f t="shared" si="241"/>
        <v>5.7986111111111112E-3</v>
      </c>
      <c r="AA631" s="57">
        <v>6.0069444444444441E-3</v>
      </c>
      <c r="AB631" s="57"/>
      <c r="AC631" s="59">
        <f t="shared" si="242"/>
        <v>5.7986111111111112E-3</v>
      </c>
      <c r="AD631" s="57"/>
      <c r="AE631" s="57"/>
      <c r="AF631" s="59">
        <f t="shared" si="243"/>
        <v>5.7986111111111112E-3</v>
      </c>
      <c r="AG631" s="57">
        <v>6.030092592592593E-3</v>
      </c>
      <c r="AH631" s="57"/>
      <c r="AI631" s="59">
        <f t="shared" si="244"/>
        <v>5.7986111111111112E-3</v>
      </c>
      <c r="AJ631" s="57"/>
      <c r="AK631" s="57"/>
      <c r="AL631" s="59">
        <f t="shared" si="245"/>
        <v>5.7986111111111112E-3</v>
      </c>
      <c r="AM631" s="57"/>
      <c r="AN631" s="57"/>
      <c r="AO631" s="59">
        <f t="shared" si="246"/>
        <v>5.7986111111111112E-3</v>
      </c>
      <c r="AP631" s="57"/>
      <c r="AQ631" s="59">
        <f t="shared" si="232"/>
        <v>5.7986111111111112E-3</v>
      </c>
      <c r="AR631" s="57"/>
      <c r="AS631" s="57"/>
      <c r="AT631" s="59">
        <f t="shared" si="233"/>
        <v>5.7986111111111112E-3</v>
      </c>
    </row>
    <row r="632" spans="1:46" hidden="1">
      <c r="A632" s="24"/>
      <c r="B632" s="26" t="s">
        <v>492</v>
      </c>
      <c r="C632" s="26" t="s">
        <v>443</v>
      </c>
      <c r="D632" s="50"/>
      <c r="E632" s="51" t="s">
        <v>314</v>
      </c>
      <c r="F632" s="50">
        <v>6.47</v>
      </c>
      <c r="G632" s="52"/>
      <c r="H632" s="50">
        <v>6.47</v>
      </c>
      <c r="I632" s="53"/>
      <c r="J632" s="50">
        <v>6.47</v>
      </c>
      <c r="K632" s="53">
        <v>6.05</v>
      </c>
      <c r="L632" s="50" t="s">
        <v>493</v>
      </c>
      <c r="M632" s="57"/>
      <c r="N632" s="55">
        <v>4.2245370370370371E-3</v>
      </c>
      <c r="O632" s="57"/>
      <c r="P632" s="57"/>
      <c r="Q632" s="59">
        <f t="shared" ref="Q632:Q639" si="247">IF(MIN(IF(ISBLANK(O632),N632,O632),IF(ISBLANK(N632),O632,N632))=0,"",MIN(IF(ISBLANK(O632),N632,O632),IF(ISBLANK(N632),O632,N632)))</f>
        <v>4.2245370370370371E-3</v>
      </c>
      <c r="R632" s="57"/>
      <c r="S632" s="57"/>
      <c r="T632" s="59">
        <f t="shared" si="239"/>
        <v>4.2245370370370371E-3</v>
      </c>
      <c r="U632" s="57"/>
      <c r="V632" s="57"/>
      <c r="W632" s="59">
        <f t="shared" si="240"/>
        <v>4.2245370370370371E-3</v>
      </c>
      <c r="X632" s="57"/>
      <c r="Y632" s="57"/>
      <c r="Z632" s="59">
        <f t="shared" si="241"/>
        <v>4.2245370370370371E-3</v>
      </c>
      <c r="AA632" s="57"/>
      <c r="AB632" s="57"/>
      <c r="AC632" s="59">
        <f t="shared" si="242"/>
        <v>4.2245370370370371E-3</v>
      </c>
      <c r="AD632" s="57"/>
      <c r="AE632" s="57"/>
      <c r="AF632" s="59">
        <f t="shared" si="243"/>
        <v>4.2245370370370371E-3</v>
      </c>
      <c r="AG632" s="57"/>
      <c r="AH632" s="57"/>
      <c r="AI632" s="59">
        <f t="shared" si="244"/>
        <v>4.2245370370370371E-3</v>
      </c>
      <c r="AJ632" s="57"/>
      <c r="AK632" s="57"/>
      <c r="AL632" s="59">
        <f t="shared" si="245"/>
        <v>4.2245370370370371E-3</v>
      </c>
      <c r="AM632" s="57"/>
      <c r="AN632" s="57"/>
      <c r="AO632" s="59">
        <f t="shared" si="246"/>
        <v>4.2245370370370371E-3</v>
      </c>
      <c r="AP632" s="57"/>
      <c r="AQ632" s="59">
        <f t="shared" si="232"/>
        <v>4.2245370370370371E-3</v>
      </c>
      <c r="AR632" s="57"/>
      <c r="AS632" s="57"/>
      <c r="AT632" s="59">
        <f t="shared" si="233"/>
        <v>4.2245370370370371E-3</v>
      </c>
    </row>
    <row r="633" spans="1:46" hidden="1">
      <c r="A633" s="24"/>
      <c r="B633" s="26" t="s">
        <v>420</v>
      </c>
      <c r="C633" s="26"/>
      <c r="D633" s="50"/>
      <c r="E633" s="51"/>
      <c r="F633" s="50"/>
      <c r="G633" s="52"/>
      <c r="H633" s="50"/>
      <c r="I633" s="53"/>
      <c r="J633" s="50" t="s">
        <v>448</v>
      </c>
      <c r="K633" s="53"/>
      <c r="L633" s="50"/>
      <c r="M633" s="57"/>
      <c r="N633" s="55"/>
      <c r="O633" s="57"/>
      <c r="P633" s="57"/>
      <c r="Q633" s="59" t="str">
        <f t="shared" si="247"/>
        <v/>
      </c>
      <c r="R633" s="57"/>
      <c r="S633" s="57"/>
      <c r="T633" s="59" t="str">
        <f t="shared" si="239"/>
        <v/>
      </c>
      <c r="U633" s="57"/>
      <c r="V633" s="57"/>
      <c r="W633" s="59" t="str">
        <f t="shared" si="240"/>
        <v/>
      </c>
      <c r="X633" s="57"/>
      <c r="Y633" s="57"/>
      <c r="Z633" s="59" t="str">
        <f t="shared" si="241"/>
        <v/>
      </c>
      <c r="AA633" s="57"/>
      <c r="AB633" s="57"/>
      <c r="AC633" s="59" t="str">
        <f t="shared" si="242"/>
        <v/>
      </c>
      <c r="AD633" s="57"/>
      <c r="AE633" s="57"/>
      <c r="AF633" s="59" t="str">
        <f t="shared" si="243"/>
        <v/>
      </c>
      <c r="AG633" s="57"/>
      <c r="AH633" s="57"/>
      <c r="AI633" s="59" t="str">
        <f t="shared" si="244"/>
        <v/>
      </c>
      <c r="AJ633" s="57"/>
      <c r="AK633" s="57"/>
      <c r="AL633" s="59" t="str">
        <f t="shared" si="245"/>
        <v/>
      </c>
      <c r="AM633" s="57"/>
      <c r="AN633" s="57"/>
      <c r="AO633" s="59" t="str">
        <f t="shared" si="246"/>
        <v/>
      </c>
      <c r="AP633" s="57"/>
      <c r="AQ633" s="59" t="str">
        <f t="shared" si="232"/>
        <v/>
      </c>
      <c r="AR633" s="57"/>
      <c r="AS633" s="57"/>
      <c r="AT633" s="59" t="str">
        <f t="shared" si="233"/>
        <v/>
      </c>
    </row>
    <row r="634" spans="1:46" hidden="1">
      <c r="A634" s="24"/>
      <c r="B634" s="26" t="s">
        <v>149</v>
      </c>
      <c r="C634" s="26" t="s">
        <v>444</v>
      </c>
      <c r="D634" s="50"/>
      <c r="E634" s="51"/>
      <c r="F634" s="50" t="s">
        <v>448</v>
      </c>
      <c r="G634" s="52"/>
      <c r="H634" s="50"/>
      <c r="I634" s="53"/>
      <c r="J634" s="50" t="s">
        <v>448</v>
      </c>
      <c r="K634" s="53"/>
      <c r="L634" s="50"/>
      <c r="M634" s="57"/>
      <c r="N634" s="55"/>
      <c r="O634" s="57"/>
      <c r="P634" s="57"/>
      <c r="Q634" s="59" t="str">
        <f t="shared" si="247"/>
        <v/>
      </c>
      <c r="R634" s="57"/>
      <c r="S634" s="57"/>
      <c r="T634" s="59" t="str">
        <f t="shared" si="239"/>
        <v/>
      </c>
      <c r="U634" s="57"/>
      <c r="V634" s="57"/>
      <c r="W634" s="59" t="str">
        <f t="shared" si="240"/>
        <v/>
      </c>
      <c r="X634" s="57"/>
      <c r="Y634" s="57"/>
      <c r="Z634" s="59" t="str">
        <f t="shared" si="241"/>
        <v/>
      </c>
      <c r="AA634" s="57"/>
      <c r="AB634" s="57"/>
      <c r="AC634" s="59" t="str">
        <f t="shared" si="242"/>
        <v/>
      </c>
      <c r="AD634" s="57"/>
      <c r="AE634" s="57"/>
      <c r="AF634" s="59" t="str">
        <f t="shared" si="243"/>
        <v/>
      </c>
      <c r="AG634" s="57"/>
      <c r="AH634" s="57"/>
      <c r="AI634" s="59" t="str">
        <f t="shared" si="244"/>
        <v/>
      </c>
      <c r="AJ634" s="57"/>
      <c r="AK634" s="57"/>
      <c r="AL634" s="59" t="str">
        <f t="shared" si="245"/>
        <v/>
      </c>
      <c r="AM634" s="57"/>
      <c r="AN634" s="57"/>
      <c r="AO634" s="59" t="str">
        <f t="shared" si="246"/>
        <v/>
      </c>
      <c r="AP634" s="57"/>
      <c r="AQ634" s="59" t="str">
        <f t="shared" si="232"/>
        <v/>
      </c>
      <c r="AR634" s="57"/>
      <c r="AS634" s="57"/>
      <c r="AT634" s="59" t="str">
        <f t="shared" si="233"/>
        <v/>
      </c>
    </row>
    <row r="635" spans="1:46" hidden="1">
      <c r="A635" s="24"/>
      <c r="B635" s="26" t="s">
        <v>495</v>
      </c>
      <c r="C635" s="26"/>
      <c r="D635" s="50"/>
      <c r="E635" s="51"/>
      <c r="F635" s="50"/>
      <c r="G635" s="52"/>
      <c r="H635" s="50"/>
      <c r="I635" s="53"/>
      <c r="J635" s="50"/>
      <c r="K635" s="53"/>
      <c r="L635" s="50"/>
      <c r="M635" s="57"/>
      <c r="N635" s="55"/>
      <c r="O635" s="57"/>
      <c r="P635" s="57"/>
      <c r="Q635" s="59" t="str">
        <f t="shared" si="247"/>
        <v/>
      </c>
      <c r="R635" s="57"/>
      <c r="S635" s="57"/>
      <c r="T635" s="59" t="str">
        <f t="shared" si="239"/>
        <v/>
      </c>
      <c r="U635" s="57"/>
      <c r="V635" s="57"/>
      <c r="W635" s="59" t="str">
        <f t="shared" si="240"/>
        <v/>
      </c>
      <c r="X635" s="57"/>
      <c r="Y635" s="57"/>
      <c r="Z635" s="59" t="str">
        <f t="shared" si="241"/>
        <v/>
      </c>
      <c r="AA635" s="57"/>
      <c r="AB635" s="57"/>
      <c r="AC635" s="59" t="str">
        <f t="shared" si="242"/>
        <v/>
      </c>
      <c r="AD635" s="57"/>
      <c r="AE635" s="57"/>
      <c r="AF635" s="59" t="str">
        <f t="shared" si="243"/>
        <v/>
      </c>
      <c r="AG635" s="57"/>
      <c r="AH635" s="57"/>
      <c r="AI635" s="59" t="str">
        <f t="shared" si="244"/>
        <v/>
      </c>
      <c r="AJ635" s="57"/>
      <c r="AK635" s="57"/>
      <c r="AL635" s="59" t="str">
        <f t="shared" si="245"/>
        <v/>
      </c>
      <c r="AM635" s="57"/>
      <c r="AN635" s="57"/>
      <c r="AO635" s="59" t="str">
        <f t="shared" si="246"/>
        <v/>
      </c>
      <c r="AP635" s="57"/>
      <c r="AQ635" s="59" t="str">
        <f t="shared" si="232"/>
        <v/>
      </c>
      <c r="AR635" s="57"/>
      <c r="AS635" s="57"/>
      <c r="AT635" s="59" t="str">
        <f t="shared" si="233"/>
        <v/>
      </c>
    </row>
    <row r="636" spans="1:46" hidden="1">
      <c r="A636" s="24"/>
      <c r="B636" s="26" t="s">
        <v>249</v>
      </c>
      <c r="C636" s="26"/>
      <c r="D636" s="50"/>
      <c r="E636" s="51"/>
      <c r="F636" s="50" t="s">
        <v>448</v>
      </c>
      <c r="G636" s="52"/>
      <c r="H636" s="50"/>
      <c r="I636" s="53"/>
      <c r="J636" s="50" t="s">
        <v>448</v>
      </c>
      <c r="K636" s="53"/>
      <c r="L636" s="50"/>
      <c r="M636" s="57"/>
      <c r="N636" s="55"/>
      <c r="O636" s="57"/>
      <c r="P636" s="57"/>
      <c r="Q636" s="59" t="str">
        <f t="shared" si="247"/>
        <v/>
      </c>
      <c r="R636" s="57"/>
      <c r="S636" s="57"/>
      <c r="T636" s="59" t="str">
        <f t="shared" si="239"/>
        <v/>
      </c>
      <c r="U636" s="57"/>
      <c r="V636" s="57"/>
      <c r="W636" s="59" t="str">
        <f t="shared" si="240"/>
        <v/>
      </c>
      <c r="X636" s="57"/>
      <c r="Y636" s="57"/>
      <c r="Z636" s="59" t="str">
        <f t="shared" si="241"/>
        <v/>
      </c>
      <c r="AA636" s="57"/>
      <c r="AB636" s="57"/>
      <c r="AC636" s="59" t="str">
        <f t="shared" si="242"/>
        <v/>
      </c>
      <c r="AD636" s="57"/>
      <c r="AE636" s="57"/>
      <c r="AF636" s="59" t="str">
        <f t="shared" si="243"/>
        <v/>
      </c>
      <c r="AG636" s="57"/>
      <c r="AH636" s="57"/>
      <c r="AI636" s="59" t="str">
        <f t="shared" si="244"/>
        <v/>
      </c>
      <c r="AJ636" s="57"/>
      <c r="AK636" s="57"/>
      <c r="AL636" s="59" t="str">
        <f t="shared" si="245"/>
        <v/>
      </c>
      <c r="AM636" s="57"/>
      <c r="AN636" s="57"/>
      <c r="AO636" s="59" t="str">
        <f t="shared" si="246"/>
        <v/>
      </c>
      <c r="AP636" s="57"/>
      <c r="AQ636" s="59" t="str">
        <f t="shared" si="232"/>
        <v/>
      </c>
      <c r="AR636" s="57"/>
      <c r="AS636" s="57"/>
      <c r="AT636" s="59" t="str">
        <f t="shared" si="233"/>
        <v/>
      </c>
    </row>
    <row r="637" spans="1:46" hidden="1">
      <c r="A637" s="24"/>
      <c r="B637" s="26" t="s">
        <v>421</v>
      </c>
      <c r="C637" s="26"/>
      <c r="D637" s="50"/>
      <c r="E637" s="51"/>
      <c r="F637" s="50"/>
      <c r="G637" s="52"/>
      <c r="H637" s="50"/>
      <c r="I637" s="53">
        <v>8.19</v>
      </c>
      <c r="J637" s="50">
        <v>8.19</v>
      </c>
      <c r="K637" s="53">
        <v>8.17</v>
      </c>
      <c r="L637" s="50">
        <v>8.17</v>
      </c>
      <c r="M637" s="57">
        <v>6.1921296296296299E-3</v>
      </c>
      <c r="N637" s="55">
        <v>5.7523148148148143E-3</v>
      </c>
      <c r="O637" s="57"/>
      <c r="P637" s="57"/>
      <c r="Q637" s="59">
        <f t="shared" si="247"/>
        <v>5.7523148148148143E-3</v>
      </c>
      <c r="R637" s="57"/>
      <c r="S637" s="57"/>
      <c r="T637" s="59">
        <f t="shared" si="239"/>
        <v>5.7523148148148143E-3</v>
      </c>
      <c r="U637" s="57"/>
      <c r="V637" s="57"/>
      <c r="W637" s="59">
        <f t="shared" si="240"/>
        <v>5.7523148148148143E-3</v>
      </c>
      <c r="X637" s="57"/>
      <c r="Y637" s="57"/>
      <c r="Z637" s="59">
        <f t="shared" si="241"/>
        <v>5.7523148148148143E-3</v>
      </c>
      <c r="AA637" s="57"/>
      <c r="AB637" s="57"/>
      <c r="AC637" s="59">
        <f t="shared" si="242"/>
        <v>5.7523148148148143E-3</v>
      </c>
      <c r="AD637" s="57"/>
      <c r="AE637" s="57"/>
      <c r="AF637" s="59">
        <f t="shared" si="243"/>
        <v>5.7523148148148143E-3</v>
      </c>
      <c r="AG637" s="57"/>
      <c r="AH637" s="57"/>
      <c r="AI637" s="59">
        <f t="shared" si="244"/>
        <v>5.7523148148148143E-3</v>
      </c>
      <c r="AJ637" s="57"/>
      <c r="AK637" s="57"/>
      <c r="AL637" s="59">
        <f t="shared" si="245"/>
        <v>5.7523148148148143E-3</v>
      </c>
      <c r="AM637" s="57"/>
      <c r="AN637" s="57"/>
      <c r="AO637" s="59">
        <f t="shared" si="246"/>
        <v>5.7523148148148143E-3</v>
      </c>
      <c r="AP637" s="57"/>
      <c r="AQ637" s="59">
        <f t="shared" si="232"/>
        <v>5.7523148148148143E-3</v>
      </c>
      <c r="AR637" s="57"/>
      <c r="AS637" s="57"/>
      <c r="AT637" s="59">
        <f t="shared" si="233"/>
        <v>5.7523148148148143E-3</v>
      </c>
    </row>
    <row r="638" spans="1:46" hidden="1">
      <c r="A638" s="24"/>
      <c r="B638" s="26" t="s">
        <v>155</v>
      </c>
      <c r="C638" s="26" t="s">
        <v>443</v>
      </c>
      <c r="D638" s="50">
        <v>8.24</v>
      </c>
      <c r="E638" s="51" t="s">
        <v>259</v>
      </c>
      <c r="F638" s="50">
        <v>8.24</v>
      </c>
      <c r="G638" s="52" t="s">
        <v>358</v>
      </c>
      <c r="H638" s="50">
        <v>8.24</v>
      </c>
      <c r="I638" s="53">
        <v>8.4499999999999993</v>
      </c>
      <c r="J638" s="50">
        <v>8.24</v>
      </c>
      <c r="K638" s="53">
        <v>8.41</v>
      </c>
      <c r="L638" s="50">
        <v>8.24</v>
      </c>
      <c r="M638" s="57">
        <v>6.3194444444444444E-3</v>
      </c>
      <c r="N638" s="55">
        <v>5.8333333333333336E-3</v>
      </c>
      <c r="O638" s="57">
        <v>7.4768518518518526E-3</v>
      </c>
      <c r="P638" s="57"/>
      <c r="Q638" s="59">
        <f t="shared" si="247"/>
        <v>5.8333333333333336E-3</v>
      </c>
      <c r="R638" s="57"/>
      <c r="S638" s="57"/>
      <c r="T638" s="59">
        <f t="shared" si="239"/>
        <v>5.8333333333333336E-3</v>
      </c>
      <c r="U638" s="57"/>
      <c r="V638" s="57"/>
      <c r="W638" s="59">
        <f t="shared" si="240"/>
        <v>5.8333333333333336E-3</v>
      </c>
      <c r="X638" s="57"/>
      <c r="Y638" s="57"/>
      <c r="Z638" s="59">
        <f t="shared" si="241"/>
        <v>5.8333333333333336E-3</v>
      </c>
      <c r="AA638" s="57"/>
      <c r="AB638" s="57"/>
      <c r="AC638" s="59">
        <f t="shared" si="242"/>
        <v>5.8333333333333336E-3</v>
      </c>
      <c r="AD638" s="57"/>
      <c r="AE638" s="57"/>
      <c r="AF638" s="59">
        <f t="shared" si="243"/>
        <v>5.8333333333333336E-3</v>
      </c>
      <c r="AG638" s="57"/>
      <c r="AH638" s="57"/>
      <c r="AI638" s="59">
        <f t="shared" si="244"/>
        <v>5.8333333333333336E-3</v>
      </c>
      <c r="AJ638" s="57"/>
      <c r="AK638" s="57"/>
      <c r="AL638" s="59">
        <f t="shared" si="245"/>
        <v>5.8333333333333336E-3</v>
      </c>
      <c r="AM638" s="57">
        <v>6.4236111111111117E-3</v>
      </c>
      <c r="AN638" s="57"/>
      <c r="AO638" s="59">
        <f t="shared" si="246"/>
        <v>5.8333333333333336E-3</v>
      </c>
      <c r="AP638" s="57"/>
      <c r="AQ638" s="59">
        <f t="shared" si="232"/>
        <v>5.8333333333333336E-3</v>
      </c>
      <c r="AR638" s="57"/>
      <c r="AS638" s="57"/>
      <c r="AT638" s="59">
        <f t="shared" si="233"/>
        <v>5.8333333333333336E-3</v>
      </c>
    </row>
    <row r="639" spans="1:46" hidden="1">
      <c r="A639" s="24"/>
      <c r="B639" s="26" t="s">
        <v>161</v>
      </c>
      <c r="C639" s="26" t="s">
        <v>444</v>
      </c>
      <c r="D639" s="50">
        <v>9.26</v>
      </c>
      <c r="E639" s="51"/>
      <c r="F639" s="50">
        <v>9.26</v>
      </c>
      <c r="G639" s="52"/>
      <c r="H639" s="50">
        <v>9.26</v>
      </c>
      <c r="I639" s="53"/>
      <c r="J639" s="50">
        <v>9.26</v>
      </c>
      <c r="K639" s="53"/>
      <c r="L639" s="50">
        <v>9.26</v>
      </c>
      <c r="M639" s="57"/>
      <c r="N639" s="55">
        <v>6.5509259259259262E-3</v>
      </c>
      <c r="O639" s="57"/>
      <c r="P639" s="57"/>
      <c r="Q639" s="59">
        <f t="shared" si="247"/>
        <v>6.5509259259259262E-3</v>
      </c>
      <c r="R639" s="57"/>
      <c r="S639" s="57"/>
      <c r="T639" s="59">
        <f t="shared" si="239"/>
        <v>6.5509259259259262E-3</v>
      </c>
      <c r="U639" s="57"/>
      <c r="V639" s="57"/>
      <c r="W639" s="59">
        <f t="shared" si="240"/>
        <v>6.5509259259259262E-3</v>
      </c>
      <c r="X639" s="57"/>
      <c r="Y639" s="57"/>
      <c r="Z639" s="59">
        <f t="shared" si="241"/>
        <v>6.5509259259259262E-3</v>
      </c>
      <c r="AA639" s="57"/>
      <c r="AB639" s="57"/>
      <c r="AC639" s="59">
        <f t="shared" si="242"/>
        <v>6.5509259259259262E-3</v>
      </c>
      <c r="AD639" s="57"/>
      <c r="AE639" s="57"/>
      <c r="AF639" s="59">
        <f t="shared" si="243"/>
        <v>6.5509259259259262E-3</v>
      </c>
      <c r="AG639" s="57"/>
      <c r="AH639" s="57"/>
      <c r="AI639" s="59">
        <f t="shared" si="244"/>
        <v>6.5509259259259262E-3</v>
      </c>
      <c r="AJ639" s="57"/>
      <c r="AK639" s="57"/>
      <c r="AL639" s="59">
        <f t="shared" si="245"/>
        <v>6.5509259259259262E-3</v>
      </c>
      <c r="AM639" s="57"/>
      <c r="AN639" s="57"/>
      <c r="AO639" s="59">
        <f t="shared" si="246"/>
        <v>6.5509259259259262E-3</v>
      </c>
      <c r="AP639" s="57"/>
      <c r="AQ639" s="59">
        <f t="shared" si="232"/>
        <v>6.5509259259259262E-3</v>
      </c>
      <c r="AR639" s="57"/>
      <c r="AS639" s="57"/>
      <c r="AT639" s="59">
        <f t="shared" si="233"/>
        <v>6.5509259259259262E-3</v>
      </c>
    </row>
    <row r="640" spans="1:46">
      <c r="A640" s="24" t="s">
        <v>792</v>
      </c>
      <c r="B640" s="26" t="s">
        <v>811</v>
      </c>
      <c r="C640" s="26"/>
      <c r="D640" s="50"/>
      <c r="E640" s="51"/>
      <c r="F640" s="50"/>
      <c r="G640" s="52"/>
      <c r="H640" s="50"/>
      <c r="I640" s="53"/>
      <c r="J640" s="50"/>
      <c r="K640" s="53"/>
      <c r="L640" s="50"/>
      <c r="M640" s="57"/>
      <c r="N640" s="55"/>
      <c r="O640" s="57"/>
      <c r="P640" s="57"/>
      <c r="Q640" s="59"/>
      <c r="R640" s="57"/>
      <c r="S640" s="57"/>
      <c r="T640" s="59"/>
      <c r="U640" s="57"/>
      <c r="V640" s="57"/>
      <c r="W640" s="59"/>
      <c r="X640" s="57"/>
      <c r="Y640" s="57"/>
      <c r="Z640" s="59"/>
      <c r="AA640" s="57"/>
      <c r="AB640" s="57"/>
      <c r="AC640" s="59"/>
      <c r="AD640" s="57"/>
      <c r="AE640" s="57"/>
      <c r="AF640" s="59"/>
      <c r="AG640" s="57"/>
      <c r="AH640" s="57"/>
      <c r="AI640" s="59"/>
      <c r="AJ640" s="57"/>
      <c r="AK640" s="57"/>
      <c r="AL640" s="59"/>
      <c r="AM640" s="57"/>
      <c r="AN640" s="57"/>
      <c r="AO640" s="59" t="str">
        <f t="shared" si="246"/>
        <v/>
      </c>
      <c r="AP640" s="57"/>
      <c r="AQ640" s="59" t="str">
        <f t="shared" si="232"/>
        <v/>
      </c>
      <c r="AR640" s="57"/>
      <c r="AS640" s="57"/>
      <c r="AT640" s="59" t="str">
        <f t="shared" si="233"/>
        <v/>
      </c>
    </row>
    <row r="641" spans="1:46">
      <c r="A641" s="24" t="s">
        <v>792</v>
      </c>
      <c r="B641" s="26" t="s">
        <v>877</v>
      </c>
      <c r="C641" s="26"/>
      <c r="D641" s="50"/>
      <c r="E641" s="51"/>
      <c r="F641" s="50"/>
      <c r="G641" s="52"/>
      <c r="H641" s="50"/>
      <c r="I641" s="53"/>
      <c r="J641" s="50"/>
      <c r="K641" s="53"/>
      <c r="L641" s="50"/>
      <c r="M641" s="57"/>
      <c r="N641" s="55"/>
      <c r="O641" s="57"/>
      <c r="P641" s="57"/>
      <c r="Q641" s="59"/>
      <c r="R641" s="57"/>
      <c r="S641" s="57"/>
      <c r="T641" s="59"/>
      <c r="U641" s="57"/>
      <c r="V641" s="57"/>
      <c r="W641" s="59"/>
      <c r="X641" s="57"/>
      <c r="Y641" s="57"/>
      <c r="Z641" s="59"/>
      <c r="AA641" s="57"/>
      <c r="AB641" s="57"/>
      <c r="AC641" s="59"/>
      <c r="AD641" s="57"/>
      <c r="AE641" s="57"/>
      <c r="AF641" s="59"/>
      <c r="AG641" s="57"/>
      <c r="AH641" s="57"/>
      <c r="AI641" s="59"/>
      <c r="AJ641" s="57"/>
      <c r="AK641" s="57"/>
      <c r="AL641" s="59"/>
      <c r="AM641" s="57"/>
      <c r="AN641" s="57"/>
      <c r="AO641" s="59"/>
      <c r="AP641" s="57">
        <v>4.9421296296296288E-3</v>
      </c>
      <c r="AQ641" s="59">
        <f t="shared" si="232"/>
        <v>4.9421296296296288E-3</v>
      </c>
      <c r="AR641" s="57"/>
      <c r="AS641" s="57"/>
      <c r="AT641" s="59">
        <f t="shared" si="233"/>
        <v>4.9421296296296288E-3</v>
      </c>
    </row>
    <row r="642" spans="1:46" hidden="1">
      <c r="A642" s="24"/>
      <c r="B642" s="26" t="s">
        <v>168</v>
      </c>
      <c r="C642" s="26" t="s">
        <v>443</v>
      </c>
      <c r="D642" s="50">
        <v>7.51</v>
      </c>
      <c r="E642" s="51"/>
      <c r="F642" s="50">
        <v>7.51</v>
      </c>
      <c r="G642" s="52"/>
      <c r="H642" s="50">
        <v>7.51</v>
      </c>
      <c r="I642" s="53"/>
      <c r="J642" s="50">
        <v>7.51</v>
      </c>
      <c r="K642" s="53"/>
      <c r="L642" s="50">
        <v>7.51</v>
      </c>
      <c r="M642" s="57"/>
      <c r="N642" s="55">
        <v>5.4513888888888884E-3</v>
      </c>
      <c r="O642" s="57"/>
      <c r="P642" s="57"/>
      <c r="Q642" s="59">
        <f>IF(MIN(IF(ISBLANK(O642),N642,O642),IF(ISBLANK(N642),O642,N642))=0,"",MIN(IF(ISBLANK(O642),N642,O642),IF(ISBLANK(N642),O642,N642)))</f>
        <v>5.4513888888888884E-3</v>
      </c>
      <c r="R642" s="57"/>
      <c r="S642" s="57"/>
      <c r="T642" s="59">
        <f>IF(MIN(IF(ISBLANK(R642),Q642,R642),IF(ISBLANK(Q642),R642,Q642))=0,"",MIN(IF(ISBLANK(R642),Q642,R642),IF(ISBLANK(Q642),R642,Q642)))</f>
        <v>5.4513888888888884E-3</v>
      </c>
      <c r="U642" s="57"/>
      <c r="V642" s="57"/>
      <c r="W642" s="59">
        <f>IF(MIN(IF(ISBLANK(U642),T642,U642),IF(ISBLANK(T642),U642,T642))=0,"",MIN(IF(ISBLANK(U642),T642,U642),IF(ISBLANK(T642),U642,T642)))</f>
        <v>5.4513888888888884E-3</v>
      </c>
      <c r="X642" s="57"/>
      <c r="Y642" s="57"/>
      <c r="Z642" s="59">
        <f>IF(MIN(IF(ISBLANK(X642),W642,X642),IF(ISBLANK(W642),X642,W642))=0,"",MIN(IF(ISBLANK(X642),W642,X642),IF(ISBLANK(W642),X642,W642)))</f>
        <v>5.4513888888888884E-3</v>
      </c>
      <c r="AA642" s="57"/>
      <c r="AB642" s="57"/>
      <c r="AC642" s="59">
        <f>IF(MIN(IF(ISBLANK(Z642),AA642,Z642),IF(ISBLANK(AA642),Z642,AA642))=0,"",MIN(IF(ISBLANK(Z642),AA642,Z642),IF(ISBLANK(AA642),Z642,AA642)))</f>
        <v>5.4513888888888884E-3</v>
      </c>
      <c r="AD642" s="57"/>
      <c r="AE642" s="57"/>
      <c r="AF642" s="59">
        <f t="shared" ref="AF642:AF656" si="248">IF(MIN(IF(ISBLANK(AC642),AD642,AC642),IF(ISBLANK(AD642),AC642,AD642))=0,"",MIN(IF(ISBLANK(AC642),AD642,AC642),IF(ISBLANK(AD642),AC642,AD642)))</f>
        <v>5.4513888888888884E-3</v>
      </c>
      <c r="AG642" s="57"/>
      <c r="AH642" s="57"/>
      <c r="AI642" s="59">
        <f t="shared" ref="AI642:AI656" si="249">IF(MIN(IF(ISBLANK(AF642),AG642,AF642),IF(ISBLANK(AG642),AF642,AG642))=0,"",MIN(IF(ISBLANK(AF642),AG642,AF642),IF(ISBLANK(AG642),AF642,AG642)))</f>
        <v>5.4513888888888884E-3</v>
      </c>
      <c r="AJ642" s="57"/>
      <c r="AK642" s="57"/>
      <c r="AL642" s="59">
        <f t="shared" ref="AL642:AL656" si="250">IF(MIN(IF(ISBLANK(AI642),AJ642,AI642),IF(ISBLANK(AJ642),AI642,AJ642))=0,"",MIN(IF(ISBLANK(AI642),AJ642,AI642),IF(ISBLANK(AJ642),AI642,AJ642)))</f>
        <v>5.4513888888888884E-3</v>
      </c>
      <c r="AM642" s="57"/>
      <c r="AN642" s="57"/>
      <c r="AO642" s="59">
        <f t="shared" ref="AO642:AO656" si="251">IF(MIN(IF(ISBLANK(AL642),AM642,AL642),IF(ISBLANK(AM642),AL642,AM642))=0,"",MIN(IF(ISBLANK(AL642),AM642,AL642),IF(ISBLANK(AM642),AL642,AM642)))</f>
        <v>5.4513888888888884E-3</v>
      </c>
      <c r="AP642" s="57"/>
      <c r="AQ642" s="59">
        <f t="shared" si="232"/>
        <v>5.4513888888888884E-3</v>
      </c>
      <c r="AR642" s="57"/>
      <c r="AS642" s="57"/>
      <c r="AT642" s="59">
        <f t="shared" si="233"/>
        <v>5.4513888888888884E-3</v>
      </c>
    </row>
    <row r="643" spans="1:46">
      <c r="A643" s="24" t="s">
        <v>792</v>
      </c>
      <c r="B643" s="26" t="s">
        <v>440</v>
      </c>
      <c r="C643" s="26" t="s">
        <v>443</v>
      </c>
      <c r="D643" s="50"/>
      <c r="E643" s="51"/>
      <c r="F643" s="50"/>
      <c r="G643" s="52"/>
      <c r="H643" s="50"/>
      <c r="I643" s="53">
        <v>7.31</v>
      </c>
      <c r="J643" s="50">
        <v>7.31</v>
      </c>
      <c r="K643" s="53"/>
      <c r="L643" s="50">
        <v>7.31</v>
      </c>
      <c r="M643" s="57">
        <v>5.37037037037037E-3</v>
      </c>
      <c r="N643" s="55">
        <v>5.2199074074074066E-3</v>
      </c>
      <c r="O643" s="57"/>
      <c r="P643" s="57"/>
      <c r="Q643" s="59">
        <f>IF(MIN(IF(ISBLANK(O643),N643,O643),IF(ISBLANK(N643),O643,N643))=0,"",MIN(IF(ISBLANK(O643),N643,O643),IF(ISBLANK(N643),O643,N643)))</f>
        <v>5.2199074074074066E-3</v>
      </c>
      <c r="R643" s="57"/>
      <c r="S643" s="57"/>
      <c r="T643" s="59">
        <f>IF(MIN(IF(ISBLANK(R643),Q643,R643),IF(ISBLANK(Q643),R643,Q643))=0,"",MIN(IF(ISBLANK(R643),Q643,R643),IF(ISBLANK(Q643),R643,Q643)))</f>
        <v>5.2199074074074066E-3</v>
      </c>
      <c r="U643" s="57"/>
      <c r="V643" s="57"/>
      <c r="W643" s="59">
        <f>IF(MIN(IF(ISBLANK(U643),T643,U643),IF(ISBLANK(T643),U643,T643))=0,"",MIN(IF(ISBLANK(U643),T643,U643),IF(ISBLANK(T643),U643,T643)))</f>
        <v>5.2199074074074066E-3</v>
      </c>
      <c r="X643" s="57"/>
      <c r="Y643" s="57"/>
      <c r="Z643" s="59">
        <f>IF(MIN(IF(ISBLANK(X643),W643,X643),IF(ISBLANK(W643),X643,W643))=0,"",MIN(IF(ISBLANK(X643),W643,X643),IF(ISBLANK(W643),X643,W643)))</f>
        <v>5.2199074074074066E-3</v>
      </c>
      <c r="AA643" s="57"/>
      <c r="AB643" s="57"/>
      <c r="AC643" s="59">
        <f>IF(MIN(IF(ISBLANK(Z643),AA643,Z643),IF(ISBLANK(AA643),Z643,AA643))=0,"",MIN(IF(ISBLANK(Z643),AA643,Z643),IF(ISBLANK(AA643),Z643,AA643)))</f>
        <v>5.2199074074074066E-3</v>
      </c>
      <c r="AD643" s="57">
        <v>5.1736111111111115E-3</v>
      </c>
      <c r="AE643" s="57"/>
      <c r="AF643" s="59">
        <f t="shared" si="248"/>
        <v>5.1736111111111115E-3</v>
      </c>
      <c r="AG643" s="57">
        <v>5.0115740740740737E-3</v>
      </c>
      <c r="AH643" s="57"/>
      <c r="AI643" s="59">
        <f t="shared" si="249"/>
        <v>5.0115740740740737E-3</v>
      </c>
      <c r="AJ643" s="57"/>
      <c r="AK643" s="57"/>
      <c r="AL643" s="59">
        <f t="shared" si="250"/>
        <v>5.0115740740740737E-3</v>
      </c>
      <c r="AM643" s="57">
        <v>4.9189814814814816E-3</v>
      </c>
      <c r="AN643" s="57"/>
      <c r="AO643" s="59">
        <f t="shared" si="251"/>
        <v>4.9189814814814816E-3</v>
      </c>
      <c r="AP643" s="57"/>
      <c r="AQ643" s="59">
        <f t="shared" si="232"/>
        <v>4.9189814814814816E-3</v>
      </c>
      <c r="AR643" s="57">
        <v>4.8842592592592592E-3</v>
      </c>
      <c r="AS643" s="57"/>
      <c r="AT643" s="59">
        <f t="shared" si="233"/>
        <v>4.8842592592592592E-3</v>
      </c>
    </row>
    <row r="644" spans="1:46" hidden="1">
      <c r="A644" s="24"/>
      <c r="B644" s="26" t="s">
        <v>482</v>
      </c>
      <c r="C644" s="26" t="s">
        <v>443</v>
      </c>
      <c r="D644" s="50"/>
      <c r="E644" s="51"/>
      <c r="F644" s="50"/>
      <c r="G644" s="52"/>
      <c r="H644" s="50"/>
      <c r="I644" s="53"/>
      <c r="J644" s="50"/>
      <c r="K644" s="53">
        <v>6.12</v>
      </c>
      <c r="L644" s="50">
        <v>6.12</v>
      </c>
      <c r="M644" s="57">
        <v>4.4560185185185189E-3</v>
      </c>
      <c r="N644" s="55">
        <v>4.3055555555555555E-3</v>
      </c>
      <c r="O644" s="57"/>
      <c r="P644" s="57"/>
      <c r="Q644" s="59">
        <f>IF(MIN(IF(ISBLANK(O644),N644,O644),IF(ISBLANK(N644),O644,N644))=0,"",MIN(IF(ISBLANK(O644),N644,O644),IF(ISBLANK(N644),O644,N644)))</f>
        <v>4.3055555555555555E-3</v>
      </c>
      <c r="R644" s="57"/>
      <c r="S644" s="57"/>
      <c r="T644" s="59">
        <f>IF(MIN(IF(ISBLANK(R644),Q644,R644),IF(ISBLANK(Q644),R644,Q644))=0,"",MIN(IF(ISBLANK(R644),Q644,R644),IF(ISBLANK(Q644),R644,Q644)))</f>
        <v>4.3055555555555555E-3</v>
      </c>
      <c r="U644" s="57"/>
      <c r="V644" s="57"/>
      <c r="W644" s="59">
        <f>IF(MIN(IF(ISBLANK(U644),T644,U644),IF(ISBLANK(T644),U644,T644))=0,"",MIN(IF(ISBLANK(U644),T644,U644),IF(ISBLANK(T644),U644,T644)))</f>
        <v>4.3055555555555555E-3</v>
      </c>
      <c r="X644" s="57"/>
      <c r="Y644" s="57"/>
      <c r="Z644" s="59">
        <f>IF(MIN(IF(ISBLANK(X644),W644,X644),IF(ISBLANK(W644),X644,W644))=0,"",MIN(IF(ISBLANK(X644),W644,X644),IF(ISBLANK(W644),X644,W644)))</f>
        <v>4.3055555555555555E-3</v>
      </c>
      <c r="AA644" s="57"/>
      <c r="AB644" s="57"/>
      <c r="AC644" s="59">
        <f>IF(MIN(IF(ISBLANK(Z644),AA644,Z644),IF(ISBLANK(AA644),Z644,AA644))=0,"",MIN(IF(ISBLANK(Z644),AA644,Z644),IF(ISBLANK(AA644),Z644,AA644)))</f>
        <v>4.3055555555555555E-3</v>
      </c>
      <c r="AD644" s="57"/>
      <c r="AE644" s="57"/>
      <c r="AF644" s="59">
        <f t="shared" si="248"/>
        <v>4.3055555555555555E-3</v>
      </c>
      <c r="AG644" s="57"/>
      <c r="AH644" s="57"/>
      <c r="AI644" s="59">
        <f t="shared" si="249"/>
        <v>4.3055555555555555E-3</v>
      </c>
      <c r="AJ644" s="57"/>
      <c r="AK644" s="57"/>
      <c r="AL644" s="59">
        <f t="shared" si="250"/>
        <v>4.3055555555555555E-3</v>
      </c>
      <c r="AM644" s="57"/>
      <c r="AN644" s="57"/>
      <c r="AO644" s="59">
        <f t="shared" si="251"/>
        <v>4.3055555555555555E-3</v>
      </c>
      <c r="AP644" s="57"/>
      <c r="AQ644" s="59">
        <f t="shared" si="232"/>
        <v>4.3055555555555555E-3</v>
      </c>
      <c r="AR644" s="57"/>
      <c r="AS644" s="57"/>
      <c r="AT644" s="59">
        <f t="shared" si="233"/>
        <v>4.3055555555555555E-3</v>
      </c>
    </row>
    <row r="645" spans="1:46" hidden="1">
      <c r="A645" s="24"/>
      <c r="B645" s="26" t="s">
        <v>470</v>
      </c>
      <c r="C645" s="26" t="s">
        <v>444</v>
      </c>
      <c r="D645" s="50"/>
      <c r="E645" s="51"/>
      <c r="F645" s="50"/>
      <c r="G645" s="52"/>
      <c r="H645" s="50"/>
      <c r="I645" s="53"/>
      <c r="J645" s="50"/>
      <c r="K645" s="53">
        <v>8.1300000000000008</v>
      </c>
      <c r="L645" s="50" t="s">
        <v>481</v>
      </c>
      <c r="M645" s="57"/>
      <c r="N645" s="55">
        <v>5.7060185185185191E-3</v>
      </c>
      <c r="O645" s="57"/>
      <c r="P645" s="57"/>
      <c r="Q645" s="59">
        <f>IF(MIN(IF(ISBLANK(O645),N645,O645),IF(ISBLANK(N645),O645,N645))=0,"",MIN(IF(ISBLANK(O645),N645,O645),IF(ISBLANK(N645),O645,N645)))</f>
        <v>5.7060185185185191E-3</v>
      </c>
      <c r="R645" s="57"/>
      <c r="S645" s="57"/>
      <c r="T645" s="59">
        <f>IF(MIN(IF(ISBLANK(R645),Q645,R645),IF(ISBLANK(Q645),R645,Q645))=0,"",MIN(IF(ISBLANK(R645),Q645,R645),IF(ISBLANK(Q645),R645,Q645)))</f>
        <v>5.7060185185185191E-3</v>
      </c>
      <c r="U645" s="57"/>
      <c r="V645" s="57"/>
      <c r="W645" s="59">
        <f>IF(MIN(IF(ISBLANK(U645),T645,U645),IF(ISBLANK(T645),U645,T645))=0,"",MIN(IF(ISBLANK(U645),T645,U645),IF(ISBLANK(T645),U645,T645)))</f>
        <v>5.7060185185185191E-3</v>
      </c>
      <c r="X645" s="57"/>
      <c r="Y645" s="57"/>
      <c r="Z645" s="59">
        <f>IF(MIN(IF(ISBLANK(X645),W645,X645),IF(ISBLANK(W645),X645,W645))=0,"",MIN(IF(ISBLANK(X645),W645,X645),IF(ISBLANK(W645),X645,W645)))</f>
        <v>5.7060185185185191E-3</v>
      </c>
      <c r="AA645" s="57"/>
      <c r="AB645" s="57"/>
      <c r="AC645" s="59">
        <f>IF(MIN(IF(ISBLANK(Z645),AA645,Z645),IF(ISBLANK(AA645),Z645,AA645))=0,"",MIN(IF(ISBLANK(Z645),AA645,Z645),IF(ISBLANK(AA645),Z645,AA645)))</f>
        <v>5.7060185185185191E-3</v>
      </c>
      <c r="AD645" s="57"/>
      <c r="AE645" s="57"/>
      <c r="AF645" s="59">
        <f t="shared" si="248"/>
        <v>5.7060185185185191E-3</v>
      </c>
      <c r="AG645" s="57"/>
      <c r="AH645" s="57"/>
      <c r="AI645" s="59">
        <f t="shared" si="249"/>
        <v>5.7060185185185191E-3</v>
      </c>
      <c r="AJ645" s="57"/>
      <c r="AK645" s="57"/>
      <c r="AL645" s="59">
        <f t="shared" si="250"/>
        <v>5.7060185185185191E-3</v>
      </c>
      <c r="AM645" s="57"/>
      <c r="AN645" s="57"/>
      <c r="AO645" s="59">
        <f t="shared" si="251"/>
        <v>5.7060185185185191E-3</v>
      </c>
      <c r="AP645" s="57"/>
      <c r="AQ645" s="59">
        <f t="shared" si="232"/>
        <v>5.7060185185185191E-3</v>
      </c>
      <c r="AR645" s="57"/>
      <c r="AS645" s="57"/>
      <c r="AT645" s="59">
        <f t="shared" si="233"/>
        <v>5.7060185185185191E-3</v>
      </c>
    </row>
    <row r="646" spans="1:46" hidden="1">
      <c r="A646" s="24"/>
      <c r="B646" s="26" t="s">
        <v>175</v>
      </c>
      <c r="C646" s="26" t="s">
        <v>444</v>
      </c>
      <c r="D646" s="50">
        <v>9.24</v>
      </c>
      <c r="E646" s="51" t="s">
        <v>315</v>
      </c>
      <c r="F646" s="50">
        <v>9.24</v>
      </c>
      <c r="G646" s="52"/>
      <c r="H646" s="50">
        <v>9.24</v>
      </c>
      <c r="I646" s="53"/>
      <c r="J646" s="50">
        <v>9.24</v>
      </c>
      <c r="K646" s="53"/>
      <c r="L646" s="50">
        <v>9.24</v>
      </c>
      <c r="M646" s="57"/>
      <c r="N646" s="55">
        <v>6.5277777777777782E-3</v>
      </c>
      <c r="O646" s="57"/>
      <c r="P646" s="57"/>
      <c r="Q646" s="59">
        <f>IF(MIN(IF(ISBLANK(O646),N646,O646),IF(ISBLANK(N646),O646,N646))=0,"",MIN(IF(ISBLANK(O646),N646,O646),IF(ISBLANK(N646),O646,N646)))</f>
        <v>6.5277777777777782E-3</v>
      </c>
      <c r="R646" s="57"/>
      <c r="S646" s="57"/>
      <c r="T646" s="59">
        <f>IF(MIN(IF(ISBLANK(R646),Q646,R646),IF(ISBLANK(Q646),R646,Q646))=0,"",MIN(IF(ISBLANK(R646),Q646,R646),IF(ISBLANK(Q646),R646,Q646)))</f>
        <v>6.5277777777777782E-3</v>
      </c>
      <c r="U646" s="57"/>
      <c r="V646" s="57"/>
      <c r="W646" s="59">
        <f>IF(MIN(IF(ISBLANK(U646),T646,U646),IF(ISBLANK(T646),U646,T646))=0,"",MIN(IF(ISBLANK(U646),T646,U646),IF(ISBLANK(T646),U646,T646)))</f>
        <v>6.5277777777777782E-3</v>
      </c>
      <c r="X646" s="57"/>
      <c r="Y646" s="57"/>
      <c r="Z646" s="59">
        <f>IF(MIN(IF(ISBLANK(X646),W646,X646),IF(ISBLANK(W646),X646,W646))=0,"",MIN(IF(ISBLANK(X646),W646,X646),IF(ISBLANK(W646),X646,W646)))</f>
        <v>6.5277777777777782E-3</v>
      </c>
      <c r="AA646" s="57"/>
      <c r="AB646" s="57"/>
      <c r="AC646" s="59">
        <f>IF(MIN(IF(ISBLANK(Z646),AA646,Z646),IF(ISBLANK(AA646),Z646,AA646))=0,"",MIN(IF(ISBLANK(Z646),AA646,Z646),IF(ISBLANK(AA646),Z646,AA646)))</f>
        <v>6.5277777777777782E-3</v>
      </c>
      <c r="AD646" s="57"/>
      <c r="AE646" s="57"/>
      <c r="AF646" s="59">
        <f t="shared" si="248"/>
        <v>6.5277777777777782E-3</v>
      </c>
      <c r="AG646" s="57"/>
      <c r="AH646" s="57"/>
      <c r="AI646" s="59">
        <f t="shared" si="249"/>
        <v>6.5277777777777782E-3</v>
      </c>
      <c r="AJ646" s="57"/>
      <c r="AK646" s="57"/>
      <c r="AL646" s="59">
        <f t="shared" si="250"/>
        <v>6.5277777777777782E-3</v>
      </c>
      <c r="AM646" s="57"/>
      <c r="AN646" s="57"/>
      <c r="AO646" s="59">
        <f t="shared" si="251"/>
        <v>6.5277777777777782E-3</v>
      </c>
      <c r="AP646" s="57"/>
      <c r="AQ646" s="59">
        <f t="shared" si="232"/>
        <v>6.5277777777777782E-3</v>
      </c>
      <c r="AR646" s="57"/>
      <c r="AS646" s="57"/>
      <c r="AT646" s="59">
        <f t="shared" si="233"/>
        <v>6.5277777777777782E-3</v>
      </c>
    </row>
    <row r="647" spans="1:46">
      <c r="A647" s="24" t="s">
        <v>792</v>
      </c>
      <c r="B647" s="26" t="s">
        <v>742</v>
      </c>
      <c r="C647" s="26"/>
      <c r="D647" s="50"/>
      <c r="E647" s="51"/>
      <c r="F647" s="50"/>
      <c r="G647" s="52"/>
      <c r="H647" s="50"/>
      <c r="I647" s="53"/>
      <c r="J647" s="50"/>
      <c r="K647" s="53"/>
      <c r="L647" s="50"/>
      <c r="M647" s="57"/>
      <c r="N647" s="55"/>
      <c r="O647" s="57"/>
      <c r="P647" s="57"/>
      <c r="Q647" s="59"/>
      <c r="R647" s="57"/>
      <c r="S647" s="57"/>
      <c r="T647" s="59"/>
      <c r="U647" s="57"/>
      <c r="V647" s="57"/>
      <c r="W647" s="59"/>
      <c r="X647" s="57"/>
      <c r="Y647" s="57"/>
      <c r="Z647" s="59"/>
      <c r="AA647" s="57"/>
      <c r="AB647" s="57"/>
      <c r="AC647" s="59"/>
      <c r="AD647" s="57"/>
      <c r="AE647" s="57"/>
      <c r="AF647" s="59" t="str">
        <f t="shared" si="248"/>
        <v/>
      </c>
      <c r="AG647" s="57">
        <v>6.3541666666666668E-3</v>
      </c>
      <c r="AH647" s="57"/>
      <c r="AI647" s="59">
        <f t="shared" si="249"/>
        <v>6.3541666666666668E-3</v>
      </c>
      <c r="AJ647" s="57"/>
      <c r="AK647" s="57"/>
      <c r="AL647" s="59">
        <f t="shared" si="250"/>
        <v>6.3541666666666668E-3</v>
      </c>
      <c r="AM647" s="57"/>
      <c r="AN647" s="57"/>
      <c r="AO647" s="59">
        <f t="shared" si="251"/>
        <v>6.3541666666666668E-3</v>
      </c>
      <c r="AP647" s="57"/>
      <c r="AQ647" s="59">
        <f t="shared" si="232"/>
        <v>6.3541666666666668E-3</v>
      </c>
      <c r="AR647" s="57"/>
      <c r="AS647" s="57"/>
      <c r="AT647" s="59">
        <f t="shared" si="233"/>
        <v>6.3541666666666668E-3</v>
      </c>
    </row>
    <row r="648" spans="1:46">
      <c r="A648" s="24" t="s">
        <v>792</v>
      </c>
      <c r="B648" s="26" t="s">
        <v>186</v>
      </c>
      <c r="C648" s="26" t="s">
        <v>444</v>
      </c>
      <c r="D648" s="50">
        <v>9.14</v>
      </c>
      <c r="E648" s="51" t="s">
        <v>316</v>
      </c>
      <c r="F648" s="50">
        <v>9.14</v>
      </c>
      <c r="G648" s="52" t="s">
        <v>359</v>
      </c>
      <c r="H648" s="50">
        <v>9.14</v>
      </c>
      <c r="I648" s="53">
        <v>9.16</v>
      </c>
      <c r="J648" s="50">
        <v>9.14</v>
      </c>
      <c r="K648" s="53">
        <v>9.14</v>
      </c>
      <c r="L648" s="50">
        <v>9.14</v>
      </c>
      <c r="M648" s="57">
        <v>6.9328703703703696E-3</v>
      </c>
      <c r="N648" s="55">
        <v>6.4120370370370364E-3</v>
      </c>
      <c r="O648" s="57">
        <v>6.4699074074074069E-3</v>
      </c>
      <c r="P648" s="57"/>
      <c r="Q648" s="59">
        <f t="shared" ref="Q648:Q654" si="252">IF(MIN(IF(ISBLANK(O648),N648,O648),IF(ISBLANK(N648),O648,N648))=0,"",MIN(IF(ISBLANK(O648),N648,O648),IF(ISBLANK(N648),O648,N648)))</f>
        <v>6.4120370370370364E-3</v>
      </c>
      <c r="R648" s="57">
        <v>6.3773148148148148E-3</v>
      </c>
      <c r="S648" s="57"/>
      <c r="T648" s="59">
        <f t="shared" ref="T648:T654" si="253">IF(MIN(IF(ISBLANK(R648),Q648,R648),IF(ISBLANK(Q648),R648,Q648))=0,"",MIN(IF(ISBLANK(R648),Q648,R648),IF(ISBLANK(Q648),R648,Q648)))</f>
        <v>6.3773148148148148E-3</v>
      </c>
      <c r="U648" s="57">
        <v>6.4814814814814813E-3</v>
      </c>
      <c r="V648" s="57"/>
      <c r="W648" s="59">
        <f t="shared" ref="W648:W654" si="254">IF(MIN(IF(ISBLANK(U648),T648,U648),IF(ISBLANK(T648),U648,T648))=0,"",MIN(IF(ISBLANK(U648),T648,U648),IF(ISBLANK(T648),U648,T648)))</f>
        <v>6.3773148148148148E-3</v>
      </c>
      <c r="X648" s="57">
        <v>6.5046296296296302E-3</v>
      </c>
      <c r="Y648" s="57"/>
      <c r="Z648" s="59">
        <f t="shared" ref="Z648:Z656" si="255">IF(MIN(IF(ISBLANK(X648),W648,X648),IF(ISBLANK(W648),X648,W648))=0,"",MIN(IF(ISBLANK(X648),W648,X648),IF(ISBLANK(W648),X648,W648)))</f>
        <v>6.3773148148148148E-3</v>
      </c>
      <c r="AA648" s="57"/>
      <c r="AB648" s="57"/>
      <c r="AC648" s="59">
        <f t="shared" ref="AC648:AC656" si="256">IF(MIN(IF(ISBLANK(Z648),AA648,Z648),IF(ISBLANK(AA648),Z648,AA648))=0,"",MIN(IF(ISBLANK(Z648),AA648,Z648),IF(ISBLANK(AA648),Z648,AA648)))</f>
        <v>6.3773148148148148E-3</v>
      </c>
      <c r="AD648" s="57">
        <v>6.6898148148148142E-3</v>
      </c>
      <c r="AE648" s="57"/>
      <c r="AF648" s="59">
        <f t="shared" si="248"/>
        <v>6.3773148148148148E-3</v>
      </c>
      <c r="AG648" s="57">
        <v>6.5856481481481469E-3</v>
      </c>
      <c r="AH648" s="57"/>
      <c r="AI648" s="59">
        <f t="shared" si="249"/>
        <v>6.3773148148148148E-3</v>
      </c>
      <c r="AJ648" s="57">
        <v>6.5740740740740733E-3</v>
      </c>
      <c r="AK648" s="57"/>
      <c r="AL648" s="59">
        <f t="shared" si="250"/>
        <v>6.3773148148148148E-3</v>
      </c>
      <c r="AM648" s="57">
        <v>6.4351851851851861E-3</v>
      </c>
      <c r="AN648" s="57"/>
      <c r="AO648" s="59">
        <f t="shared" si="251"/>
        <v>6.3773148148148148E-3</v>
      </c>
      <c r="AP648" s="57">
        <v>6.5162037037037037E-3</v>
      </c>
      <c r="AQ648" s="59">
        <f t="shared" si="232"/>
        <v>6.3773148148148148E-3</v>
      </c>
      <c r="AR648" s="57">
        <v>7.1296296296296307E-3</v>
      </c>
      <c r="AS648" s="57"/>
      <c r="AT648" s="59">
        <f t="shared" si="233"/>
        <v>6.3773148148148148E-3</v>
      </c>
    </row>
    <row r="649" spans="1:46" hidden="1">
      <c r="A649" s="24"/>
      <c r="B649" s="26" t="s">
        <v>429</v>
      </c>
      <c r="C649" s="26"/>
      <c r="D649" s="50"/>
      <c r="E649" s="51"/>
      <c r="F649" s="50"/>
      <c r="G649" s="52"/>
      <c r="H649" s="50"/>
      <c r="I649" s="53"/>
      <c r="J649" s="50" t="s">
        <v>448</v>
      </c>
      <c r="K649" s="53"/>
      <c r="L649" s="50"/>
      <c r="M649" s="57"/>
      <c r="N649" s="55"/>
      <c r="O649" s="57"/>
      <c r="P649" s="57"/>
      <c r="Q649" s="59" t="str">
        <f t="shared" si="252"/>
        <v/>
      </c>
      <c r="R649" s="57"/>
      <c r="S649" s="57"/>
      <c r="T649" s="59" t="str">
        <f t="shared" si="253"/>
        <v/>
      </c>
      <c r="U649" s="57"/>
      <c r="V649" s="57"/>
      <c r="W649" s="59" t="str">
        <f t="shared" si="254"/>
        <v/>
      </c>
      <c r="X649" s="57"/>
      <c r="Y649" s="57"/>
      <c r="Z649" s="59" t="str">
        <f t="shared" si="255"/>
        <v/>
      </c>
      <c r="AA649" s="57"/>
      <c r="AB649" s="57"/>
      <c r="AC649" s="59" t="str">
        <f t="shared" si="256"/>
        <v/>
      </c>
      <c r="AD649" s="57"/>
      <c r="AE649" s="57"/>
      <c r="AF649" s="59" t="str">
        <f t="shared" si="248"/>
        <v/>
      </c>
      <c r="AG649" s="57"/>
      <c r="AH649" s="57"/>
      <c r="AI649" s="59" t="str">
        <f t="shared" si="249"/>
        <v/>
      </c>
      <c r="AJ649" s="57"/>
      <c r="AK649" s="57"/>
      <c r="AL649" s="59" t="str">
        <f t="shared" si="250"/>
        <v/>
      </c>
      <c r="AM649" s="57"/>
      <c r="AN649" s="57"/>
      <c r="AO649" s="59" t="str">
        <f t="shared" si="251"/>
        <v/>
      </c>
      <c r="AP649" s="57"/>
      <c r="AQ649" s="59" t="str">
        <f t="shared" si="232"/>
        <v/>
      </c>
      <c r="AR649" s="57"/>
      <c r="AS649" s="57"/>
      <c r="AT649" s="59" t="str">
        <f t="shared" si="233"/>
        <v/>
      </c>
    </row>
    <row r="650" spans="1:46" hidden="1">
      <c r="A650" s="24"/>
      <c r="B650" s="26" t="s">
        <v>193</v>
      </c>
      <c r="C650" s="26" t="s">
        <v>444</v>
      </c>
      <c r="D650" s="50">
        <v>8.26</v>
      </c>
      <c r="E650" s="51"/>
      <c r="F650" s="50">
        <v>8.26</v>
      </c>
      <c r="G650" s="52"/>
      <c r="H650" s="50">
        <v>8.26</v>
      </c>
      <c r="I650" s="53"/>
      <c r="J650" s="50">
        <v>8.26</v>
      </c>
      <c r="K650" s="53"/>
      <c r="L650" s="50">
        <v>8.26</v>
      </c>
      <c r="M650" s="57"/>
      <c r="N650" s="55">
        <v>5.8564814814814825E-3</v>
      </c>
      <c r="O650" s="57"/>
      <c r="P650" s="57"/>
      <c r="Q650" s="59">
        <f t="shared" si="252"/>
        <v>5.8564814814814825E-3</v>
      </c>
      <c r="R650" s="57"/>
      <c r="S650" s="57"/>
      <c r="T650" s="59">
        <f t="shared" si="253"/>
        <v>5.8564814814814825E-3</v>
      </c>
      <c r="U650" s="57"/>
      <c r="V650" s="57"/>
      <c r="W650" s="59">
        <f t="shared" si="254"/>
        <v>5.8564814814814825E-3</v>
      </c>
      <c r="X650" s="57"/>
      <c r="Y650" s="57"/>
      <c r="Z650" s="59">
        <f t="shared" si="255"/>
        <v>5.8564814814814825E-3</v>
      </c>
      <c r="AA650" s="57"/>
      <c r="AB650" s="57"/>
      <c r="AC650" s="59">
        <f t="shared" si="256"/>
        <v>5.8564814814814825E-3</v>
      </c>
      <c r="AD650" s="57"/>
      <c r="AE650" s="57"/>
      <c r="AF650" s="59">
        <f t="shared" si="248"/>
        <v>5.8564814814814825E-3</v>
      </c>
      <c r="AG650" s="57"/>
      <c r="AH650" s="57"/>
      <c r="AI650" s="59">
        <f t="shared" si="249"/>
        <v>5.8564814814814825E-3</v>
      </c>
      <c r="AJ650" s="57"/>
      <c r="AK650" s="57"/>
      <c r="AL650" s="59">
        <f t="shared" si="250"/>
        <v>5.8564814814814825E-3</v>
      </c>
      <c r="AM650" s="57"/>
      <c r="AN650" s="57"/>
      <c r="AO650" s="59">
        <f t="shared" si="251"/>
        <v>5.8564814814814825E-3</v>
      </c>
      <c r="AP650" s="57"/>
      <c r="AQ650" s="59">
        <f t="shared" si="232"/>
        <v>5.8564814814814825E-3</v>
      </c>
      <c r="AR650" s="57"/>
      <c r="AS650" s="57"/>
      <c r="AT650" s="59">
        <f t="shared" si="233"/>
        <v>5.8564814814814825E-3</v>
      </c>
    </row>
    <row r="651" spans="1:46" hidden="1">
      <c r="A651" s="24"/>
      <c r="B651" s="26" t="s">
        <v>457</v>
      </c>
      <c r="C651" s="26" t="s">
        <v>444</v>
      </c>
      <c r="D651" s="50"/>
      <c r="E651" s="51"/>
      <c r="F651" s="50"/>
      <c r="G651" s="52"/>
      <c r="H651" s="50"/>
      <c r="I651" s="53"/>
      <c r="J651" s="50"/>
      <c r="K651" s="53"/>
      <c r="L651" s="50"/>
      <c r="M651" s="57"/>
      <c r="N651" s="55"/>
      <c r="O651" s="57"/>
      <c r="P651" s="57"/>
      <c r="Q651" s="59" t="str">
        <f t="shared" si="252"/>
        <v/>
      </c>
      <c r="R651" s="57"/>
      <c r="S651" s="57"/>
      <c r="T651" s="59" t="str">
        <f t="shared" si="253"/>
        <v/>
      </c>
      <c r="U651" s="57"/>
      <c r="V651" s="57"/>
      <c r="W651" s="59" t="str">
        <f t="shared" si="254"/>
        <v/>
      </c>
      <c r="X651" s="57"/>
      <c r="Y651" s="57"/>
      <c r="Z651" s="59" t="str">
        <f t="shared" si="255"/>
        <v/>
      </c>
      <c r="AA651" s="57"/>
      <c r="AB651" s="57"/>
      <c r="AC651" s="59" t="str">
        <f t="shared" si="256"/>
        <v/>
      </c>
      <c r="AD651" s="57"/>
      <c r="AE651" s="57"/>
      <c r="AF651" s="59" t="str">
        <f t="shared" si="248"/>
        <v/>
      </c>
      <c r="AG651" s="57"/>
      <c r="AH651" s="57"/>
      <c r="AI651" s="59" t="str">
        <f t="shared" si="249"/>
        <v/>
      </c>
      <c r="AJ651" s="57"/>
      <c r="AK651" s="57"/>
      <c r="AL651" s="59" t="str">
        <f t="shared" si="250"/>
        <v/>
      </c>
      <c r="AM651" s="57"/>
      <c r="AN651" s="57"/>
      <c r="AO651" s="59" t="str">
        <f t="shared" si="251"/>
        <v/>
      </c>
      <c r="AP651" s="57"/>
      <c r="AQ651" s="59" t="str">
        <f t="shared" ref="AQ651:AQ714" si="257">IF(MIN(IF(ISBLANK(AO651),AP651,AO651),IF(ISBLANK(AP651),AO651,AP651))=0,"",MIN(IF(ISBLANK(AO651),AP651,AO651),IF(ISBLANK(AP651),AO651,AP651)))</f>
        <v/>
      </c>
      <c r="AR651" s="57"/>
      <c r="AS651" s="57"/>
      <c r="AT651" s="59" t="str">
        <f t="shared" ref="AT651:AT714" si="258">IF(MIN(IF(ISBLANK(AQ651),AR651,AQ651),IF(ISBLANK(AR651),AQ651,AR651))=0,"",MIN(IF(ISBLANK(AQ651),AR651,AQ651),IF(ISBLANK(AR651),AQ651,AR651)))</f>
        <v/>
      </c>
    </row>
    <row r="652" spans="1:46" hidden="1">
      <c r="A652" s="24"/>
      <c r="B652" s="26" t="s">
        <v>242</v>
      </c>
      <c r="C652" s="26" t="s">
        <v>444</v>
      </c>
      <c r="D652" s="50">
        <v>8.52</v>
      </c>
      <c r="E652" s="51"/>
      <c r="F652" s="50">
        <v>8.52</v>
      </c>
      <c r="G652" s="52"/>
      <c r="H652" s="50">
        <v>8.52</v>
      </c>
      <c r="I652" s="53"/>
      <c r="J652" s="50">
        <v>8.52</v>
      </c>
      <c r="K652" s="53"/>
      <c r="L652" s="50">
        <v>8.52</v>
      </c>
      <c r="M652" s="57"/>
      <c r="N652" s="55">
        <v>6.1574074074074074E-3</v>
      </c>
      <c r="O652" s="57"/>
      <c r="P652" s="57"/>
      <c r="Q652" s="59">
        <f t="shared" si="252"/>
        <v>6.1574074074074074E-3</v>
      </c>
      <c r="R652" s="57"/>
      <c r="S652" s="57"/>
      <c r="T652" s="59">
        <f t="shared" si="253"/>
        <v>6.1574074074074074E-3</v>
      </c>
      <c r="U652" s="57"/>
      <c r="V652" s="57"/>
      <c r="W652" s="59">
        <f t="shared" si="254"/>
        <v>6.1574074074074074E-3</v>
      </c>
      <c r="X652" s="57"/>
      <c r="Y652" s="57"/>
      <c r="Z652" s="59">
        <f t="shared" si="255"/>
        <v>6.1574074074074074E-3</v>
      </c>
      <c r="AA652" s="57"/>
      <c r="AB652" s="57"/>
      <c r="AC652" s="59">
        <f t="shared" si="256"/>
        <v>6.1574074074074074E-3</v>
      </c>
      <c r="AD652" s="57"/>
      <c r="AE652" s="57"/>
      <c r="AF652" s="59">
        <f t="shared" si="248"/>
        <v>6.1574074074074074E-3</v>
      </c>
      <c r="AG652" s="57"/>
      <c r="AH652" s="57"/>
      <c r="AI652" s="59">
        <f t="shared" si="249"/>
        <v>6.1574074074074074E-3</v>
      </c>
      <c r="AJ652" s="57"/>
      <c r="AK652" s="57"/>
      <c r="AL652" s="59">
        <f t="shared" si="250"/>
        <v>6.1574074074074074E-3</v>
      </c>
      <c r="AM652" s="57"/>
      <c r="AN652" s="57"/>
      <c r="AO652" s="59">
        <f t="shared" si="251"/>
        <v>6.1574074074074074E-3</v>
      </c>
      <c r="AP652" s="57"/>
      <c r="AQ652" s="59">
        <f t="shared" si="257"/>
        <v>6.1574074074074074E-3</v>
      </c>
      <c r="AR652" s="57"/>
      <c r="AS652" s="57"/>
      <c r="AT652" s="59">
        <f t="shared" si="258"/>
        <v>6.1574074074074074E-3</v>
      </c>
    </row>
    <row r="653" spans="1:46" hidden="1">
      <c r="A653" s="24"/>
      <c r="B653" s="26" t="s">
        <v>199</v>
      </c>
      <c r="C653" s="26" t="s">
        <v>444</v>
      </c>
      <c r="D653" s="50">
        <v>9.35</v>
      </c>
      <c r="E653" s="51"/>
      <c r="F653" s="50">
        <v>9.35</v>
      </c>
      <c r="G653" s="52"/>
      <c r="H653" s="50">
        <v>9.35</v>
      </c>
      <c r="I653" s="53"/>
      <c r="J653" s="50">
        <v>9.35</v>
      </c>
      <c r="K653" s="53"/>
      <c r="L653" s="50">
        <v>9.35</v>
      </c>
      <c r="M653" s="57"/>
      <c r="N653" s="55">
        <v>6.6550925925925935E-3</v>
      </c>
      <c r="O653" s="57"/>
      <c r="P653" s="57"/>
      <c r="Q653" s="59">
        <f t="shared" si="252"/>
        <v>6.6550925925925935E-3</v>
      </c>
      <c r="R653" s="57"/>
      <c r="S653" s="57"/>
      <c r="T653" s="59">
        <f t="shared" si="253"/>
        <v>6.6550925925925935E-3</v>
      </c>
      <c r="U653" s="57"/>
      <c r="V653" s="57"/>
      <c r="W653" s="59">
        <f t="shared" si="254"/>
        <v>6.6550925925925935E-3</v>
      </c>
      <c r="X653" s="57">
        <v>6.2499999999999995E-3</v>
      </c>
      <c r="Y653" s="57"/>
      <c r="Z653" s="59">
        <f t="shared" si="255"/>
        <v>6.2499999999999995E-3</v>
      </c>
      <c r="AA653" s="57">
        <v>6.3541666666666668E-3</v>
      </c>
      <c r="AB653" s="57"/>
      <c r="AC653" s="59">
        <f t="shared" si="256"/>
        <v>6.2499999999999995E-3</v>
      </c>
      <c r="AD653" s="57">
        <v>6.168981481481481E-3</v>
      </c>
      <c r="AE653" s="57"/>
      <c r="AF653" s="59">
        <f t="shared" si="248"/>
        <v>6.168981481481481E-3</v>
      </c>
      <c r="AG653" s="57">
        <v>6.238425925925925E-3</v>
      </c>
      <c r="AH653" s="57"/>
      <c r="AI653" s="59">
        <f t="shared" si="249"/>
        <v>6.168981481481481E-3</v>
      </c>
      <c r="AJ653" s="57"/>
      <c r="AK653" s="57"/>
      <c r="AL653" s="59">
        <f t="shared" si="250"/>
        <v>6.168981481481481E-3</v>
      </c>
      <c r="AM653" s="57"/>
      <c r="AN653" s="57"/>
      <c r="AO653" s="59">
        <f t="shared" si="251"/>
        <v>6.168981481481481E-3</v>
      </c>
      <c r="AP653" s="57"/>
      <c r="AQ653" s="59">
        <f t="shared" si="257"/>
        <v>6.168981481481481E-3</v>
      </c>
      <c r="AR653" s="57"/>
      <c r="AS653" s="57"/>
      <c r="AT653" s="59">
        <f t="shared" si="258"/>
        <v>6.168981481481481E-3</v>
      </c>
    </row>
    <row r="654" spans="1:46" hidden="1">
      <c r="A654" s="24"/>
      <c r="B654" s="26" t="s">
        <v>274</v>
      </c>
      <c r="C654" s="26"/>
      <c r="D654" s="50"/>
      <c r="E654" s="51"/>
      <c r="F654" s="50" t="s">
        <v>448</v>
      </c>
      <c r="G654" s="52" t="s">
        <v>360</v>
      </c>
      <c r="H654" s="50">
        <v>8.3699999999999992</v>
      </c>
      <c r="I654" s="53"/>
      <c r="J654" s="50">
        <v>8.3699999999999992</v>
      </c>
      <c r="K654" s="53"/>
      <c r="L654" s="50">
        <v>8.3699999999999992</v>
      </c>
      <c r="M654" s="57"/>
      <c r="N654" s="55">
        <v>5.9837962962962961E-3</v>
      </c>
      <c r="O654" s="57"/>
      <c r="P654" s="57"/>
      <c r="Q654" s="59">
        <f t="shared" si="252"/>
        <v>5.9837962962962961E-3</v>
      </c>
      <c r="R654" s="57"/>
      <c r="S654" s="57"/>
      <c r="T654" s="59">
        <f t="shared" si="253"/>
        <v>5.9837962962962961E-3</v>
      </c>
      <c r="U654" s="57"/>
      <c r="V654" s="57"/>
      <c r="W654" s="59">
        <f t="shared" si="254"/>
        <v>5.9837962962962961E-3</v>
      </c>
      <c r="X654" s="57"/>
      <c r="Y654" s="57"/>
      <c r="Z654" s="59">
        <f t="shared" si="255"/>
        <v>5.9837962962962961E-3</v>
      </c>
      <c r="AA654" s="57"/>
      <c r="AB654" s="57"/>
      <c r="AC654" s="59">
        <f t="shared" si="256"/>
        <v>5.9837962962962961E-3</v>
      </c>
      <c r="AD654" s="57"/>
      <c r="AE654" s="57"/>
      <c r="AF654" s="59">
        <f t="shared" si="248"/>
        <v>5.9837962962962961E-3</v>
      </c>
      <c r="AG654" s="57"/>
      <c r="AH654" s="57"/>
      <c r="AI654" s="59">
        <f t="shared" si="249"/>
        <v>5.9837962962962961E-3</v>
      </c>
      <c r="AJ654" s="57"/>
      <c r="AK654" s="57"/>
      <c r="AL654" s="59">
        <f t="shared" si="250"/>
        <v>5.9837962962962961E-3</v>
      </c>
      <c r="AM654" s="57"/>
      <c r="AN654" s="57"/>
      <c r="AO654" s="59">
        <f t="shared" si="251"/>
        <v>5.9837962962962961E-3</v>
      </c>
      <c r="AP654" s="57"/>
      <c r="AQ654" s="59">
        <f t="shared" si="257"/>
        <v>5.9837962962962961E-3</v>
      </c>
      <c r="AR654" s="57"/>
      <c r="AS654" s="57"/>
      <c r="AT654" s="59">
        <f t="shared" si="258"/>
        <v>5.9837962962962961E-3</v>
      </c>
    </row>
    <row r="655" spans="1:46" hidden="1">
      <c r="A655" s="24"/>
      <c r="B655" s="26" t="s">
        <v>685</v>
      </c>
      <c r="C655" s="26"/>
      <c r="D655" s="50"/>
      <c r="E655" s="51"/>
      <c r="F655" s="50"/>
      <c r="G655" s="52"/>
      <c r="H655" s="50"/>
      <c r="I655" s="53"/>
      <c r="J655" s="50"/>
      <c r="K655" s="53"/>
      <c r="L655" s="50"/>
      <c r="M655" s="57"/>
      <c r="N655" s="55"/>
      <c r="O655" s="57"/>
      <c r="P655" s="57"/>
      <c r="Q655" s="59"/>
      <c r="R655" s="57"/>
      <c r="S655" s="57"/>
      <c r="T655" s="59"/>
      <c r="U655" s="57"/>
      <c r="V655" s="57"/>
      <c r="W655" s="59"/>
      <c r="X655" s="57"/>
      <c r="Y655" s="57"/>
      <c r="Z655" s="59" t="str">
        <f t="shared" si="255"/>
        <v/>
      </c>
      <c r="AA655" s="57"/>
      <c r="AB655" s="57"/>
      <c r="AC655" s="59" t="str">
        <f t="shared" si="256"/>
        <v/>
      </c>
      <c r="AD655" s="57"/>
      <c r="AE655" s="57"/>
      <c r="AF655" s="59" t="str">
        <f t="shared" si="248"/>
        <v/>
      </c>
      <c r="AG655" s="57"/>
      <c r="AH655" s="57"/>
      <c r="AI655" s="59" t="str">
        <f t="shared" si="249"/>
        <v/>
      </c>
      <c r="AJ655" s="57"/>
      <c r="AK655" s="57"/>
      <c r="AL655" s="59" t="str">
        <f t="shared" si="250"/>
        <v/>
      </c>
      <c r="AM655" s="57"/>
      <c r="AN655" s="57"/>
      <c r="AO655" s="59" t="str">
        <f t="shared" si="251"/>
        <v/>
      </c>
      <c r="AP655" s="57"/>
      <c r="AQ655" s="59" t="str">
        <f t="shared" si="257"/>
        <v/>
      </c>
      <c r="AR655" s="57"/>
      <c r="AS655" s="57"/>
      <c r="AT655" s="59" t="str">
        <f t="shared" si="258"/>
        <v/>
      </c>
    </row>
    <row r="656" spans="1:46" hidden="1">
      <c r="A656" s="24"/>
      <c r="B656" s="26" t="s">
        <v>361</v>
      </c>
      <c r="C656" s="26" t="s">
        <v>443</v>
      </c>
      <c r="D656" s="50"/>
      <c r="E656" s="51"/>
      <c r="F656" s="50" t="s">
        <v>448</v>
      </c>
      <c r="G656" s="52" t="s">
        <v>282</v>
      </c>
      <c r="H656" s="50" t="s">
        <v>282</v>
      </c>
      <c r="I656" s="53">
        <v>8.5299999999999994</v>
      </c>
      <c r="J656" s="50">
        <v>8.5299999999999994</v>
      </c>
      <c r="K656" s="53"/>
      <c r="L656" s="50">
        <v>8.5299999999999994</v>
      </c>
      <c r="M656" s="57"/>
      <c r="N656" s="55">
        <v>6.168981481481481E-3</v>
      </c>
      <c r="O656" s="57"/>
      <c r="P656" s="57"/>
      <c r="Q656" s="59">
        <f>IF(MIN(IF(ISBLANK(O656),N656,O656),IF(ISBLANK(N656),O656,N656))=0,"",MIN(IF(ISBLANK(O656),N656,O656),IF(ISBLANK(N656),O656,N656)))</f>
        <v>6.168981481481481E-3</v>
      </c>
      <c r="R656" s="57"/>
      <c r="S656" s="57"/>
      <c r="T656" s="59">
        <f>IF(MIN(IF(ISBLANK(R656),Q656,R656),IF(ISBLANK(Q656),R656,Q656))=0,"",MIN(IF(ISBLANK(R656),Q656,R656),IF(ISBLANK(Q656),R656,Q656)))</f>
        <v>6.168981481481481E-3</v>
      </c>
      <c r="U656" s="57">
        <v>6.2615740740740748E-3</v>
      </c>
      <c r="V656" s="57"/>
      <c r="W656" s="59">
        <f>IF(MIN(IF(ISBLANK(U656),T656,U656),IF(ISBLANK(T656),U656,T656))=0,"",MIN(IF(ISBLANK(U656),T656,U656),IF(ISBLANK(T656),U656,T656)))</f>
        <v>6.168981481481481E-3</v>
      </c>
      <c r="X656" s="57"/>
      <c r="Y656" s="57"/>
      <c r="Z656" s="59">
        <f t="shared" si="255"/>
        <v>6.168981481481481E-3</v>
      </c>
      <c r="AA656" s="57"/>
      <c r="AB656" s="57"/>
      <c r="AC656" s="59">
        <f t="shared" si="256"/>
        <v>6.168981481481481E-3</v>
      </c>
      <c r="AD656" s="57"/>
      <c r="AE656" s="57"/>
      <c r="AF656" s="59">
        <f t="shared" si="248"/>
        <v>6.168981481481481E-3</v>
      </c>
      <c r="AG656" s="57"/>
      <c r="AH656" s="57"/>
      <c r="AI656" s="59">
        <f t="shared" si="249"/>
        <v>6.168981481481481E-3</v>
      </c>
      <c r="AJ656" s="57"/>
      <c r="AK656" s="57"/>
      <c r="AL656" s="59">
        <f t="shared" si="250"/>
        <v>6.168981481481481E-3</v>
      </c>
      <c r="AM656" s="57"/>
      <c r="AN656" s="57"/>
      <c r="AO656" s="59">
        <f t="shared" si="251"/>
        <v>6.168981481481481E-3</v>
      </c>
      <c r="AP656" s="57"/>
      <c r="AQ656" s="59">
        <f t="shared" si="257"/>
        <v>6.168981481481481E-3</v>
      </c>
      <c r="AR656" s="57"/>
      <c r="AS656" s="57"/>
      <c r="AT656" s="59">
        <f t="shared" si="258"/>
        <v>6.168981481481481E-3</v>
      </c>
    </row>
    <row r="657" spans="1:46">
      <c r="A657" s="24" t="s">
        <v>792</v>
      </c>
      <c r="B657" s="26" t="s">
        <v>888</v>
      </c>
      <c r="C657" s="26"/>
      <c r="D657" s="50"/>
      <c r="E657" s="51"/>
      <c r="F657" s="50"/>
      <c r="G657" s="52"/>
      <c r="H657" s="50"/>
      <c r="I657" s="53"/>
      <c r="J657" s="50"/>
      <c r="K657" s="53"/>
      <c r="L657" s="50"/>
      <c r="M657" s="57"/>
      <c r="N657" s="55"/>
      <c r="O657" s="57"/>
      <c r="P657" s="57"/>
      <c r="Q657" s="59"/>
      <c r="R657" s="57"/>
      <c r="S657" s="57"/>
      <c r="T657" s="59"/>
      <c r="U657" s="57"/>
      <c r="V657" s="57"/>
      <c r="W657" s="59"/>
      <c r="X657" s="57"/>
      <c r="Y657" s="57"/>
      <c r="Z657" s="59"/>
      <c r="AA657" s="57"/>
      <c r="AB657" s="57"/>
      <c r="AC657" s="59"/>
      <c r="AD657" s="57"/>
      <c r="AE657" s="57"/>
      <c r="AF657" s="59"/>
      <c r="AG657" s="57"/>
      <c r="AH657" s="57"/>
      <c r="AI657" s="59"/>
      <c r="AJ657" s="57"/>
      <c r="AK657" s="57"/>
      <c r="AL657" s="59"/>
      <c r="AM657" s="57"/>
      <c r="AN657" s="57"/>
      <c r="AO657" s="59"/>
      <c r="AP657" s="57">
        <v>5.1504629629629635E-3</v>
      </c>
      <c r="AQ657" s="59">
        <f t="shared" si="257"/>
        <v>5.1504629629629635E-3</v>
      </c>
      <c r="AR657" s="57"/>
      <c r="AS657" s="57"/>
      <c r="AT657" s="59">
        <f t="shared" si="258"/>
        <v>5.1504629629629635E-3</v>
      </c>
    </row>
    <row r="658" spans="1:46">
      <c r="A658" s="24" t="s">
        <v>792</v>
      </c>
      <c r="B658" s="26" t="s">
        <v>743</v>
      </c>
      <c r="C658" s="26"/>
      <c r="D658" s="50"/>
      <c r="E658" s="51"/>
      <c r="F658" s="50"/>
      <c r="G658" s="52"/>
      <c r="H658" s="50"/>
      <c r="I658" s="53"/>
      <c r="J658" s="50"/>
      <c r="K658" s="53"/>
      <c r="L658" s="50"/>
      <c r="M658" s="57"/>
      <c r="N658" s="55"/>
      <c r="O658" s="57"/>
      <c r="P658" s="57"/>
      <c r="Q658" s="59"/>
      <c r="R658" s="57"/>
      <c r="S658" s="57"/>
      <c r="T658" s="59"/>
      <c r="U658" s="57"/>
      <c r="V658" s="57"/>
      <c r="W658" s="59"/>
      <c r="X658" s="57"/>
      <c r="Y658" s="57"/>
      <c r="Z658" s="59"/>
      <c r="AA658" s="57"/>
      <c r="AB658" s="57"/>
      <c r="AC658" s="59"/>
      <c r="AD658" s="57"/>
      <c r="AE658" s="57"/>
      <c r="AF658" s="59" t="str">
        <f t="shared" ref="AF658:AF679" si="259">IF(MIN(IF(ISBLANK(AC658),AD658,AC658),IF(ISBLANK(AD658),AC658,AD658))=0,"",MIN(IF(ISBLANK(AC658),AD658,AC658),IF(ISBLANK(AD658),AC658,AD658)))</f>
        <v/>
      </c>
      <c r="AG658" s="57">
        <v>6.4930555555555549E-3</v>
      </c>
      <c r="AH658" s="57"/>
      <c r="AI658" s="59">
        <f t="shared" ref="AI658:AI679" si="260">IF(MIN(IF(ISBLANK(AF658),AG658,AF658),IF(ISBLANK(AG658),AF658,AG658))=0,"",MIN(IF(ISBLANK(AF658),AG658,AF658),IF(ISBLANK(AG658),AF658,AG658)))</f>
        <v>6.4930555555555549E-3</v>
      </c>
      <c r="AJ658" s="57">
        <v>6.828703703703704E-3</v>
      </c>
      <c r="AK658" s="57"/>
      <c r="AL658" s="59">
        <f t="shared" ref="AL658:AL682" si="261">IF(MIN(IF(ISBLANK(AI658),AJ658,AI658),IF(ISBLANK(AJ658),AI658,AJ658))=0,"",MIN(IF(ISBLANK(AI658),AJ658,AI658),IF(ISBLANK(AJ658),AI658,AJ658)))</f>
        <v>6.4930555555555549E-3</v>
      </c>
      <c r="AM658" s="57"/>
      <c r="AN658" s="57"/>
      <c r="AO658" s="59">
        <f t="shared" ref="AO658:AO689" si="262">IF(MIN(IF(ISBLANK(AL658),AM658,AL658),IF(ISBLANK(AM658),AL658,AM658))=0,"",MIN(IF(ISBLANK(AL658),AM658,AL658),IF(ISBLANK(AM658),AL658,AM658)))</f>
        <v>6.4930555555555549E-3</v>
      </c>
      <c r="AP658" s="57">
        <v>6.2615740740740748E-3</v>
      </c>
      <c r="AQ658" s="59">
        <f t="shared" si="257"/>
        <v>6.2615740740740748E-3</v>
      </c>
      <c r="AR658" s="57"/>
      <c r="AS658" s="57"/>
      <c r="AT658" s="59">
        <f t="shared" si="258"/>
        <v>6.2615740740740748E-3</v>
      </c>
    </row>
    <row r="659" spans="1:46" hidden="1">
      <c r="A659" s="24"/>
      <c r="B659" s="26" t="s">
        <v>335</v>
      </c>
      <c r="C659" s="26" t="s">
        <v>443</v>
      </c>
      <c r="D659" s="50"/>
      <c r="E659" s="51"/>
      <c r="F659" s="50" t="s">
        <v>448</v>
      </c>
      <c r="G659" s="52"/>
      <c r="H659" s="50"/>
      <c r="I659" s="53"/>
      <c r="J659" s="50" t="s">
        <v>448</v>
      </c>
      <c r="K659" s="53"/>
      <c r="L659" s="50"/>
      <c r="M659" s="57"/>
      <c r="N659" s="55"/>
      <c r="O659" s="57"/>
      <c r="P659" s="57"/>
      <c r="Q659" s="59" t="str">
        <f>IF(MIN(IF(ISBLANK(O659),N659,O659),IF(ISBLANK(N659),O659,N659))=0,"",MIN(IF(ISBLANK(O659),N659,O659),IF(ISBLANK(N659),O659,N659)))</f>
        <v/>
      </c>
      <c r="R659" s="57"/>
      <c r="S659" s="57"/>
      <c r="T659" s="59" t="str">
        <f t="shared" ref="T659:T667" si="263">IF(MIN(IF(ISBLANK(R659),Q659,R659),IF(ISBLANK(Q659),R659,Q659))=0,"",MIN(IF(ISBLANK(R659),Q659,R659),IF(ISBLANK(Q659),R659,Q659)))</f>
        <v/>
      </c>
      <c r="U659" s="57"/>
      <c r="V659" s="57"/>
      <c r="W659" s="59" t="str">
        <f t="shared" ref="W659:W667" si="264">IF(MIN(IF(ISBLANK(U659),T659,U659),IF(ISBLANK(T659),U659,T659))=0,"",MIN(IF(ISBLANK(U659),T659,U659),IF(ISBLANK(T659),U659,T659)))</f>
        <v/>
      </c>
      <c r="X659" s="57"/>
      <c r="Y659" s="57"/>
      <c r="Z659" s="59" t="str">
        <f t="shared" ref="Z659:Z668" si="265">IF(MIN(IF(ISBLANK(X659),W659,X659),IF(ISBLANK(W659),X659,W659))=0,"",MIN(IF(ISBLANK(X659),W659,X659),IF(ISBLANK(W659),X659,W659)))</f>
        <v/>
      </c>
      <c r="AA659" s="57"/>
      <c r="AB659" s="57"/>
      <c r="AC659" s="59" t="str">
        <f t="shared" ref="AC659:AC668" si="266">IF(MIN(IF(ISBLANK(Z659),AA659,Z659),IF(ISBLANK(AA659),Z659,AA659))=0,"",MIN(IF(ISBLANK(Z659),AA659,Z659),IF(ISBLANK(AA659),Z659,AA659)))</f>
        <v/>
      </c>
      <c r="AD659" s="57"/>
      <c r="AE659" s="57"/>
      <c r="AF659" s="59" t="str">
        <f t="shared" si="259"/>
        <v/>
      </c>
      <c r="AG659" s="57"/>
      <c r="AH659" s="57"/>
      <c r="AI659" s="59" t="str">
        <f t="shared" si="260"/>
        <v/>
      </c>
      <c r="AJ659" s="57"/>
      <c r="AK659" s="57"/>
      <c r="AL659" s="59" t="str">
        <f t="shared" si="261"/>
        <v/>
      </c>
      <c r="AM659" s="57"/>
      <c r="AN659" s="57"/>
      <c r="AO659" s="59" t="str">
        <f t="shared" si="262"/>
        <v/>
      </c>
      <c r="AP659" s="57"/>
      <c r="AQ659" s="59" t="str">
        <f t="shared" si="257"/>
        <v/>
      </c>
      <c r="AR659" s="57"/>
      <c r="AS659" s="57"/>
      <c r="AT659" s="59" t="str">
        <f t="shared" si="258"/>
        <v/>
      </c>
    </row>
    <row r="660" spans="1:46" hidden="1">
      <c r="A660" s="24"/>
      <c r="B660" s="26" t="s">
        <v>422</v>
      </c>
      <c r="C660" s="26" t="s">
        <v>443</v>
      </c>
      <c r="D660" s="50"/>
      <c r="E660" s="51"/>
      <c r="F660" s="50"/>
      <c r="G660" s="52"/>
      <c r="H660" s="50"/>
      <c r="I660" s="53">
        <v>7</v>
      </c>
      <c r="J660" s="50" t="s">
        <v>452</v>
      </c>
      <c r="K660" s="53"/>
      <c r="L660" s="50" t="s">
        <v>452</v>
      </c>
      <c r="M660" s="57"/>
      <c r="N660" s="55">
        <v>4.8611111111111112E-3</v>
      </c>
      <c r="O660" s="57"/>
      <c r="P660" s="57"/>
      <c r="Q660" s="59">
        <f>IF(MIN(IF(ISBLANK(O660),N660,O660),IF(ISBLANK(N660),O660,N660))=0,"",MIN(IF(ISBLANK(O660),N660,O660),IF(ISBLANK(N660),O660,N660)))</f>
        <v>4.8611111111111112E-3</v>
      </c>
      <c r="R660" s="57"/>
      <c r="S660" s="57"/>
      <c r="T660" s="59">
        <f t="shared" si="263"/>
        <v>4.8611111111111112E-3</v>
      </c>
      <c r="U660" s="57"/>
      <c r="V660" s="57"/>
      <c r="W660" s="59">
        <f t="shared" si="264"/>
        <v>4.8611111111111112E-3</v>
      </c>
      <c r="X660" s="57"/>
      <c r="Y660" s="57"/>
      <c r="Z660" s="59">
        <f t="shared" si="265"/>
        <v>4.8611111111111112E-3</v>
      </c>
      <c r="AA660" s="57"/>
      <c r="AB660" s="57"/>
      <c r="AC660" s="59">
        <f t="shared" si="266"/>
        <v>4.8611111111111112E-3</v>
      </c>
      <c r="AD660" s="57"/>
      <c r="AE660" s="57"/>
      <c r="AF660" s="59">
        <f t="shared" si="259"/>
        <v>4.8611111111111112E-3</v>
      </c>
      <c r="AG660" s="57"/>
      <c r="AH660" s="57"/>
      <c r="AI660" s="59">
        <f t="shared" si="260"/>
        <v>4.8611111111111112E-3</v>
      </c>
      <c r="AJ660" s="57"/>
      <c r="AK660" s="57"/>
      <c r="AL660" s="59">
        <f t="shared" si="261"/>
        <v>4.8611111111111112E-3</v>
      </c>
      <c r="AM660" s="57"/>
      <c r="AN660" s="57"/>
      <c r="AO660" s="59">
        <f t="shared" si="262"/>
        <v>4.8611111111111112E-3</v>
      </c>
      <c r="AP660" s="57"/>
      <c r="AQ660" s="59">
        <f t="shared" si="257"/>
        <v>4.8611111111111112E-3</v>
      </c>
      <c r="AR660" s="57"/>
      <c r="AS660" s="57"/>
      <c r="AT660" s="59">
        <f t="shared" si="258"/>
        <v>4.8611111111111112E-3</v>
      </c>
    </row>
    <row r="661" spans="1:46" hidden="1">
      <c r="A661" s="24"/>
      <c r="B661" s="26" t="s">
        <v>245</v>
      </c>
      <c r="C661" s="26"/>
      <c r="D661" s="50"/>
      <c r="E661" s="51"/>
      <c r="F661" s="50" t="s">
        <v>448</v>
      </c>
      <c r="G661" s="52"/>
      <c r="H661" s="50"/>
      <c r="I661" s="53"/>
      <c r="J661" s="50" t="s">
        <v>448</v>
      </c>
      <c r="K661" s="53"/>
      <c r="L661" s="50"/>
      <c r="M661" s="57"/>
      <c r="N661" s="55"/>
      <c r="O661" s="57"/>
      <c r="P661" s="57"/>
      <c r="Q661" s="59" t="str">
        <f>IF(MIN(IF(ISBLANK(O661),N661,O661),IF(ISBLANK(N661),O661,N661))=0,"",MIN(IF(ISBLANK(O661),N661,O661),IF(ISBLANK(N661),O661,N661)))</f>
        <v/>
      </c>
      <c r="R661" s="57"/>
      <c r="S661" s="57"/>
      <c r="T661" s="59" t="str">
        <f t="shared" si="263"/>
        <v/>
      </c>
      <c r="U661" s="57"/>
      <c r="V661" s="57"/>
      <c r="W661" s="59" t="str">
        <f t="shared" si="264"/>
        <v/>
      </c>
      <c r="X661" s="57"/>
      <c r="Y661" s="57"/>
      <c r="Z661" s="59" t="str">
        <f t="shared" si="265"/>
        <v/>
      </c>
      <c r="AA661" s="57"/>
      <c r="AB661" s="57"/>
      <c r="AC661" s="59" t="str">
        <f t="shared" si="266"/>
        <v/>
      </c>
      <c r="AD661" s="57"/>
      <c r="AE661" s="57"/>
      <c r="AF661" s="59" t="str">
        <f t="shared" si="259"/>
        <v/>
      </c>
      <c r="AG661" s="57"/>
      <c r="AH661" s="57"/>
      <c r="AI661" s="59" t="str">
        <f t="shared" si="260"/>
        <v/>
      </c>
      <c r="AJ661" s="57"/>
      <c r="AK661" s="57"/>
      <c r="AL661" s="59" t="str">
        <f t="shared" si="261"/>
        <v/>
      </c>
      <c r="AM661" s="57"/>
      <c r="AN661" s="57"/>
      <c r="AO661" s="59" t="str">
        <f t="shared" si="262"/>
        <v/>
      </c>
      <c r="AP661" s="57"/>
      <c r="AQ661" s="59" t="str">
        <f t="shared" si="257"/>
        <v/>
      </c>
      <c r="AR661" s="57"/>
      <c r="AS661" s="57"/>
      <c r="AT661" s="59" t="str">
        <f t="shared" si="258"/>
        <v/>
      </c>
    </row>
    <row r="662" spans="1:46" hidden="1">
      <c r="A662" s="24"/>
      <c r="B662" s="26" t="s">
        <v>570</v>
      </c>
      <c r="C662" s="26"/>
      <c r="D662" s="50"/>
      <c r="E662" s="51"/>
      <c r="F662" s="50"/>
      <c r="G662" s="52"/>
      <c r="H662" s="50"/>
      <c r="I662" s="53"/>
      <c r="J662" s="50"/>
      <c r="K662" s="53"/>
      <c r="L662" s="50"/>
      <c r="M662" s="57"/>
      <c r="N662" s="55"/>
      <c r="O662" s="57"/>
      <c r="P662" s="57"/>
      <c r="Q662" s="59"/>
      <c r="R662" s="57"/>
      <c r="S662" s="57"/>
      <c r="T662" s="59" t="str">
        <f t="shared" si="263"/>
        <v/>
      </c>
      <c r="U662" s="57"/>
      <c r="V662" s="57"/>
      <c r="W662" s="59" t="str">
        <f t="shared" si="264"/>
        <v/>
      </c>
      <c r="X662" s="57"/>
      <c r="Y662" s="57"/>
      <c r="Z662" s="59" t="str">
        <f t="shared" si="265"/>
        <v/>
      </c>
      <c r="AA662" s="57"/>
      <c r="AB662" s="57"/>
      <c r="AC662" s="59" t="str">
        <f t="shared" si="266"/>
        <v/>
      </c>
      <c r="AD662" s="57"/>
      <c r="AE662" s="57"/>
      <c r="AF662" s="59" t="str">
        <f t="shared" si="259"/>
        <v/>
      </c>
      <c r="AG662" s="57"/>
      <c r="AH662" s="57"/>
      <c r="AI662" s="59" t="str">
        <f t="shared" si="260"/>
        <v/>
      </c>
      <c r="AJ662" s="57"/>
      <c r="AK662" s="57"/>
      <c r="AL662" s="59" t="str">
        <f t="shared" si="261"/>
        <v/>
      </c>
      <c r="AM662" s="57"/>
      <c r="AN662" s="57"/>
      <c r="AO662" s="59" t="str">
        <f t="shared" si="262"/>
        <v/>
      </c>
      <c r="AP662" s="57"/>
      <c r="AQ662" s="59" t="str">
        <f t="shared" si="257"/>
        <v/>
      </c>
      <c r="AR662" s="57"/>
      <c r="AS662" s="57"/>
      <c r="AT662" s="59" t="str">
        <f t="shared" si="258"/>
        <v/>
      </c>
    </row>
    <row r="663" spans="1:46" hidden="1">
      <c r="A663" s="24"/>
      <c r="B663" s="26" t="s">
        <v>205</v>
      </c>
      <c r="C663" s="26" t="s">
        <v>443</v>
      </c>
      <c r="D663" s="50">
        <v>8.11</v>
      </c>
      <c r="E663" s="51" t="s">
        <v>292</v>
      </c>
      <c r="F663" s="50">
        <v>8.11</v>
      </c>
      <c r="G663" s="52">
        <v>8.0299999999999994</v>
      </c>
      <c r="H663" s="50">
        <v>8.0299999999999994</v>
      </c>
      <c r="I663" s="53"/>
      <c r="J663" s="50">
        <v>8.0299999999999994</v>
      </c>
      <c r="K663" s="53"/>
      <c r="L663" s="50">
        <v>8.0299999999999994</v>
      </c>
      <c r="M663" s="57"/>
      <c r="N663" s="55">
        <v>5.5902777777777782E-3</v>
      </c>
      <c r="O663" s="57"/>
      <c r="P663" s="57"/>
      <c r="Q663" s="59">
        <f>IF(MIN(IF(ISBLANK(O663),N663,O663),IF(ISBLANK(N663),O663,N663))=0,"",MIN(IF(ISBLANK(O663),N663,O663),IF(ISBLANK(N663),O663,N663)))</f>
        <v>5.5902777777777782E-3</v>
      </c>
      <c r="R663" s="57"/>
      <c r="S663" s="57"/>
      <c r="T663" s="59">
        <f t="shared" si="263"/>
        <v>5.5902777777777782E-3</v>
      </c>
      <c r="U663" s="57"/>
      <c r="V663" s="57"/>
      <c r="W663" s="59">
        <f t="shared" si="264"/>
        <v>5.5902777777777782E-3</v>
      </c>
      <c r="X663" s="57"/>
      <c r="Y663" s="57"/>
      <c r="Z663" s="59">
        <f t="shared" si="265"/>
        <v>5.5902777777777782E-3</v>
      </c>
      <c r="AA663" s="57"/>
      <c r="AB663" s="57"/>
      <c r="AC663" s="59">
        <f t="shared" si="266"/>
        <v>5.5902777777777782E-3</v>
      </c>
      <c r="AD663" s="57"/>
      <c r="AE663" s="57"/>
      <c r="AF663" s="59">
        <f t="shared" si="259"/>
        <v>5.5902777777777782E-3</v>
      </c>
      <c r="AG663" s="57"/>
      <c r="AH663" s="57"/>
      <c r="AI663" s="59">
        <f t="shared" si="260"/>
        <v>5.5902777777777782E-3</v>
      </c>
      <c r="AJ663" s="57"/>
      <c r="AK663" s="57"/>
      <c r="AL663" s="59">
        <f t="shared" si="261"/>
        <v>5.5902777777777782E-3</v>
      </c>
      <c r="AM663" s="57"/>
      <c r="AN663" s="57"/>
      <c r="AO663" s="59">
        <f t="shared" si="262"/>
        <v>5.5902777777777782E-3</v>
      </c>
      <c r="AP663" s="57"/>
      <c r="AQ663" s="59">
        <f t="shared" si="257"/>
        <v>5.5902777777777782E-3</v>
      </c>
      <c r="AR663" s="57"/>
      <c r="AS663" s="57"/>
      <c r="AT663" s="59">
        <f t="shared" si="258"/>
        <v>5.5902777777777782E-3</v>
      </c>
    </row>
    <row r="664" spans="1:46" hidden="1">
      <c r="A664" s="24"/>
      <c r="B664" s="26" t="s">
        <v>209</v>
      </c>
      <c r="C664" s="26" t="s">
        <v>443</v>
      </c>
      <c r="D664" s="50">
        <v>8.23</v>
      </c>
      <c r="E664" s="51"/>
      <c r="F664" s="50">
        <v>8.23</v>
      </c>
      <c r="G664" s="52"/>
      <c r="H664" s="50">
        <v>8.23</v>
      </c>
      <c r="I664" s="53"/>
      <c r="J664" s="50">
        <v>8.23</v>
      </c>
      <c r="K664" s="53"/>
      <c r="L664" s="50">
        <v>8.23</v>
      </c>
      <c r="M664" s="57"/>
      <c r="N664" s="55">
        <v>5.8217592592592592E-3</v>
      </c>
      <c r="O664" s="57"/>
      <c r="P664" s="57"/>
      <c r="Q664" s="59">
        <f>IF(MIN(IF(ISBLANK(O664),N664,O664),IF(ISBLANK(N664),O664,N664))=0,"",MIN(IF(ISBLANK(O664),N664,O664),IF(ISBLANK(N664),O664,N664)))</f>
        <v>5.8217592592592592E-3</v>
      </c>
      <c r="R664" s="57"/>
      <c r="S664" s="57"/>
      <c r="T664" s="59">
        <f t="shared" si="263"/>
        <v>5.8217592592592592E-3</v>
      </c>
      <c r="U664" s="57"/>
      <c r="V664" s="57"/>
      <c r="W664" s="59">
        <f t="shared" si="264"/>
        <v>5.8217592592592592E-3</v>
      </c>
      <c r="X664" s="57"/>
      <c r="Y664" s="57"/>
      <c r="Z664" s="59">
        <f t="shared" si="265"/>
        <v>5.8217592592592592E-3</v>
      </c>
      <c r="AA664" s="57"/>
      <c r="AB664" s="57"/>
      <c r="AC664" s="59">
        <f t="shared" si="266"/>
        <v>5.8217592592592592E-3</v>
      </c>
      <c r="AD664" s="57"/>
      <c r="AE664" s="57"/>
      <c r="AF664" s="59">
        <f t="shared" si="259"/>
        <v>5.8217592592592592E-3</v>
      </c>
      <c r="AG664" s="57"/>
      <c r="AH664" s="57"/>
      <c r="AI664" s="59">
        <f t="shared" si="260"/>
        <v>5.8217592592592592E-3</v>
      </c>
      <c r="AJ664" s="57"/>
      <c r="AK664" s="57"/>
      <c r="AL664" s="59">
        <f t="shared" si="261"/>
        <v>5.8217592592592592E-3</v>
      </c>
      <c r="AM664" s="57"/>
      <c r="AN664" s="57"/>
      <c r="AO664" s="59">
        <f t="shared" si="262"/>
        <v>5.8217592592592592E-3</v>
      </c>
      <c r="AP664" s="57"/>
      <c r="AQ664" s="59">
        <f t="shared" si="257"/>
        <v>5.8217592592592592E-3</v>
      </c>
      <c r="AR664" s="57"/>
      <c r="AS664" s="57"/>
      <c r="AT664" s="59">
        <f t="shared" si="258"/>
        <v>5.8217592592592592E-3</v>
      </c>
    </row>
    <row r="665" spans="1:46" hidden="1">
      <c r="A665" s="24"/>
      <c r="B665" s="26" t="s">
        <v>334</v>
      </c>
      <c r="C665" s="26" t="s">
        <v>444</v>
      </c>
      <c r="D665" s="50"/>
      <c r="E665" s="51"/>
      <c r="F665" s="50" t="s">
        <v>448</v>
      </c>
      <c r="G665" s="52"/>
      <c r="H665" s="50"/>
      <c r="I665" s="53">
        <v>7.21</v>
      </c>
      <c r="J665" s="50">
        <v>7.21</v>
      </c>
      <c r="K665" s="53">
        <v>7.05</v>
      </c>
      <c r="L665" s="50">
        <v>7.05</v>
      </c>
      <c r="M665" s="57"/>
      <c r="N665" s="55">
        <v>4.9189814814814816E-3</v>
      </c>
      <c r="O665" s="57"/>
      <c r="P665" s="57"/>
      <c r="Q665" s="59">
        <f>IF(MIN(IF(ISBLANK(O665),N665,O665),IF(ISBLANK(N665),O665,N665))=0,"",MIN(IF(ISBLANK(O665),N665,O665),IF(ISBLANK(N665),O665,N665)))</f>
        <v>4.9189814814814816E-3</v>
      </c>
      <c r="R665" s="57"/>
      <c r="S665" s="57"/>
      <c r="T665" s="59">
        <f t="shared" si="263"/>
        <v>4.9189814814814816E-3</v>
      </c>
      <c r="U665" s="57"/>
      <c r="V665" s="57"/>
      <c r="W665" s="59">
        <f t="shared" si="264"/>
        <v>4.9189814814814816E-3</v>
      </c>
      <c r="X665" s="57"/>
      <c r="Y665" s="57"/>
      <c r="Z665" s="59">
        <f t="shared" si="265"/>
        <v>4.9189814814814816E-3</v>
      </c>
      <c r="AA665" s="57"/>
      <c r="AB665" s="57"/>
      <c r="AC665" s="59">
        <f t="shared" si="266"/>
        <v>4.9189814814814816E-3</v>
      </c>
      <c r="AD665" s="57"/>
      <c r="AE665" s="57"/>
      <c r="AF665" s="59">
        <f t="shared" si="259"/>
        <v>4.9189814814814816E-3</v>
      </c>
      <c r="AG665" s="57"/>
      <c r="AH665" s="57"/>
      <c r="AI665" s="59">
        <f t="shared" si="260"/>
        <v>4.9189814814814816E-3</v>
      </c>
      <c r="AJ665" s="57"/>
      <c r="AK665" s="57"/>
      <c r="AL665" s="59">
        <f t="shared" si="261"/>
        <v>4.9189814814814816E-3</v>
      </c>
      <c r="AM665" s="57"/>
      <c r="AN665" s="57"/>
      <c r="AO665" s="59">
        <f t="shared" si="262"/>
        <v>4.9189814814814816E-3</v>
      </c>
      <c r="AP665" s="57"/>
      <c r="AQ665" s="59">
        <f t="shared" si="257"/>
        <v>4.9189814814814816E-3</v>
      </c>
      <c r="AR665" s="57"/>
      <c r="AS665" s="57"/>
      <c r="AT665" s="59">
        <f t="shared" si="258"/>
        <v>4.9189814814814816E-3</v>
      </c>
    </row>
    <row r="666" spans="1:46" hidden="1">
      <c r="A666" s="24"/>
      <c r="B666" s="26" t="s">
        <v>426</v>
      </c>
      <c r="C666" s="26" t="s">
        <v>443</v>
      </c>
      <c r="D666" s="50"/>
      <c r="E666" s="51"/>
      <c r="F666" s="50"/>
      <c r="G666" s="52"/>
      <c r="H666" s="50"/>
      <c r="I666" s="53">
        <v>10</v>
      </c>
      <c r="J666" s="50" t="s">
        <v>453</v>
      </c>
      <c r="K666" s="53"/>
      <c r="L666" s="50" t="s">
        <v>453</v>
      </c>
      <c r="M666" s="57"/>
      <c r="N666" s="55">
        <v>6.9444444444444441E-3</v>
      </c>
      <c r="O666" s="57"/>
      <c r="P666" s="57"/>
      <c r="Q666" s="59">
        <f>IF(MIN(IF(ISBLANK(O666),N666,O666),IF(ISBLANK(N666),O666,N666))=0,"",MIN(IF(ISBLANK(O666),N666,O666),IF(ISBLANK(N666),O666,N666)))</f>
        <v>6.9444444444444441E-3</v>
      </c>
      <c r="R666" s="57"/>
      <c r="S666" s="57"/>
      <c r="T666" s="59">
        <f t="shared" si="263"/>
        <v>6.9444444444444441E-3</v>
      </c>
      <c r="U666" s="57"/>
      <c r="V666" s="57"/>
      <c r="W666" s="59">
        <f t="shared" si="264"/>
        <v>6.9444444444444441E-3</v>
      </c>
      <c r="X666" s="57"/>
      <c r="Y666" s="57"/>
      <c r="Z666" s="59">
        <f t="shared" si="265"/>
        <v>6.9444444444444441E-3</v>
      </c>
      <c r="AA666" s="57"/>
      <c r="AB666" s="57"/>
      <c r="AC666" s="59">
        <f t="shared" si="266"/>
        <v>6.9444444444444441E-3</v>
      </c>
      <c r="AD666" s="57"/>
      <c r="AE666" s="57"/>
      <c r="AF666" s="59">
        <f t="shared" si="259"/>
        <v>6.9444444444444441E-3</v>
      </c>
      <c r="AG666" s="57"/>
      <c r="AH666" s="57"/>
      <c r="AI666" s="59">
        <f t="shared" si="260"/>
        <v>6.9444444444444441E-3</v>
      </c>
      <c r="AJ666" s="57"/>
      <c r="AK666" s="57"/>
      <c r="AL666" s="59">
        <f t="shared" si="261"/>
        <v>6.9444444444444441E-3</v>
      </c>
      <c r="AM666" s="57"/>
      <c r="AN666" s="57"/>
      <c r="AO666" s="59">
        <f t="shared" si="262"/>
        <v>6.9444444444444441E-3</v>
      </c>
      <c r="AP666" s="57"/>
      <c r="AQ666" s="59">
        <f t="shared" si="257"/>
        <v>6.9444444444444441E-3</v>
      </c>
      <c r="AR666" s="57"/>
      <c r="AS666" s="57"/>
      <c r="AT666" s="59">
        <f t="shared" si="258"/>
        <v>6.9444444444444441E-3</v>
      </c>
    </row>
    <row r="667" spans="1:46" hidden="1">
      <c r="A667" s="24"/>
      <c r="B667" s="26" t="s">
        <v>219</v>
      </c>
      <c r="C667" s="26"/>
      <c r="D667" s="50">
        <v>10.59</v>
      </c>
      <c r="E667" s="51" t="s">
        <v>317</v>
      </c>
      <c r="F667" s="50">
        <v>10.59</v>
      </c>
      <c r="G667" s="52"/>
      <c r="H667" s="50">
        <v>10.59</v>
      </c>
      <c r="I667" s="53"/>
      <c r="J667" s="50">
        <v>10.59</v>
      </c>
      <c r="K667" s="53"/>
      <c r="L667" s="50">
        <v>10.59</v>
      </c>
      <c r="M667" s="57"/>
      <c r="N667" s="55">
        <v>7.6273148148148151E-3</v>
      </c>
      <c r="O667" s="57"/>
      <c r="P667" s="57"/>
      <c r="Q667" s="59">
        <f>IF(MIN(IF(ISBLANK(O667),N667,O667),IF(ISBLANK(N667),O667,N667))=0,"",MIN(IF(ISBLANK(O667),N667,O667),IF(ISBLANK(N667),O667,N667)))</f>
        <v>7.6273148148148151E-3</v>
      </c>
      <c r="R667" s="57"/>
      <c r="S667" s="57"/>
      <c r="T667" s="59">
        <f t="shared" si="263"/>
        <v>7.6273148148148151E-3</v>
      </c>
      <c r="U667" s="57"/>
      <c r="V667" s="57"/>
      <c r="W667" s="59">
        <f t="shared" si="264"/>
        <v>7.6273148148148151E-3</v>
      </c>
      <c r="X667" s="57"/>
      <c r="Y667" s="57"/>
      <c r="Z667" s="59">
        <f t="shared" si="265"/>
        <v>7.6273148148148151E-3</v>
      </c>
      <c r="AA667" s="57"/>
      <c r="AB667" s="57"/>
      <c r="AC667" s="59">
        <f t="shared" si="266"/>
        <v>7.6273148148148151E-3</v>
      </c>
      <c r="AD667" s="57"/>
      <c r="AE667" s="57"/>
      <c r="AF667" s="59">
        <f t="shared" si="259"/>
        <v>7.6273148148148151E-3</v>
      </c>
      <c r="AG667" s="57"/>
      <c r="AH667" s="57"/>
      <c r="AI667" s="59">
        <f t="shared" si="260"/>
        <v>7.6273148148148151E-3</v>
      </c>
      <c r="AJ667" s="57"/>
      <c r="AK667" s="57"/>
      <c r="AL667" s="59">
        <f t="shared" si="261"/>
        <v>7.6273148148148151E-3</v>
      </c>
      <c r="AM667" s="57"/>
      <c r="AN667" s="57"/>
      <c r="AO667" s="59">
        <f t="shared" si="262"/>
        <v>7.6273148148148151E-3</v>
      </c>
      <c r="AP667" s="57"/>
      <c r="AQ667" s="59">
        <f t="shared" si="257"/>
        <v>7.6273148148148151E-3</v>
      </c>
      <c r="AR667" s="57"/>
      <c r="AS667" s="57"/>
      <c r="AT667" s="59">
        <f t="shared" si="258"/>
        <v>7.6273148148148151E-3</v>
      </c>
    </row>
    <row r="668" spans="1:46" hidden="1">
      <c r="A668" s="24"/>
      <c r="B668" s="26" t="s">
        <v>671</v>
      </c>
      <c r="C668" s="26"/>
      <c r="D668" s="50"/>
      <c r="E668" s="51"/>
      <c r="F668" s="50"/>
      <c r="G668" s="52"/>
      <c r="H668" s="50"/>
      <c r="I668" s="53"/>
      <c r="J668" s="50"/>
      <c r="K668" s="53"/>
      <c r="L668" s="50"/>
      <c r="M668" s="57"/>
      <c r="N668" s="55"/>
      <c r="O668" s="57"/>
      <c r="P668" s="57"/>
      <c r="Q668" s="59"/>
      <c r="R668" s="57"/>
      <c r="S668" s="57"/>
      <c r="T668" s="59"/>
      <c r="U668" s="57"/>
      <c r="V668" s="57"/>
      <c r="W668" s="59"/>
      <c r="X668" s="57"/>
      <c r="Y668" s="57"/>
      <c r="Z668" s="59" t="str">
        <f t="shared" si="265"/>
        <v/>
      </c>
      <c r="AA668" s="57"/>
      <c r="AB668" s="57"/>
      <c r="AC668" s="59" t="str">
        <f t="shared" si="266"/>
        <v/>
      </c>
      <c r="AD668" s="57"/>
      <c r="AE668" s="57"/>
      <c r="AF668" s="59" t="str">
        <f t="shared" si="259"/>
        <v/>
      </c>
      <c r="AG668" s="57"/>
      <c r="AH668" s="57"/>
      <c r="AI668" s="59" t="str">
        <f t="shared" si="260"/>
        <v/>
      </c>
      <c r="AJ668" s="57"/>
      <c r="AK668" s="57"/>
      <c r="AL668" s="59" t="str">
        <f t="shared" si="261"/>
        <v/>
      </c>
      <c r="AM668" s="57"/>
      <c r="AN668" s="57"/>
      <c r="AO668" s="59" t="str">
        <f t="shared" si="262"/>
        <v/>
      </c>
      <c r="AP668" s="57"/>
      <c r="AQ668" s="59" t="str">
        <f t="shared" si="257"/>
        <v/>
      </c>
      <c r="AR668" s="57"/>
      <c r="AS668" s="57"/>
      <c r="AT668" s="59" t="str">
        <f t="shared" si="258"/>
        <v/>
      </c>
    </row>
    <row r="669" spans="1:46">
      <c r="A669" s="24" t="s">
        <v>792</v>
      </c>
      <c r="B669" s="26" t="s">
        <v>744</v>
      </c>
      <c r="C669" s="26"/>
      <c r="D669" s="50"/>
      <c r="E669" s="51"/>
      <c r="F669" s="50"/>
      <c r="G669" s="52"/>
      <c r="H669" s="50"/>
      <c r="I669" s="53"/>
      <c r="J669" s="50"/>
      <c r="K669" s="53"/>
      <c r="L669" s="50"/>
      <c r="M669" s="57"/>
      <c r="N669" s="55"/>
      <c r="O669" s="57"/>
      <c r="P669" s="57"/>
      <c r="Q669" s="59"/>
      <c r="R669" s="57"/>
      <c r="S669" s="57"/>
      <c r="T669" s="59"/>
      <c r="U669" s="57"/>
      <c r="V669" s="57"/>
      <c r="W669" s="59"/>
      <c r="X669" s="57"/>
      <c r="Y669" s="57"/>
      <c r="Z669" s="59"/>
      <c r="AA669" s="57"/>
      <c r="AB669" s="57"/>
      <c r="AC669" s="59"/>
      <c r="AD669" s="57"/>
      <c r="AE669" s="57"/>
      <c r="AF669" s="59" t="str">
        <f t="shared" si="259"/>
        <v/>
      </c>
      <c r="AG669" s="57"/>
      <c r="AH669" s="57"/>
      <c r="AI669" s="59" t="str">
        <f t="shared" si="260"/>
        <v/>
      </c>
      <c r="AJ669" s="57"/>
      <c r="AK669" s="57"/>
      <c r="AL669" s="59" t="str">
        <f t="shared" si="261"/>
        <v/>
      </c>
      <c r="AM669" s="57"/>
      <c r="AN669" s="57"/>
      <c r="AO669" s="59" t="str">
        <f t="shared" si="262"/>
        <v/>
      </c>
      <c r="AP669" s="57"/>
      <c r="AQ669" s="59" t="str">
        <f t="shared" si="257"/>
        <v/>
      </c>
      <c r="AR669" s="57"/>
      <c r="AS669" s="57"/>
      <c r="AT669" s="59" t="str">
        <f t="shared" si="258"/>
        <v/>
      </c>
    </row>
    <row r="670" spans="1:46" hidden="1">
      <c r="A670" s="24"/>
      <c r="B670" s="26" t="s">
        <v>6</v>
      </c>
      <c r="C670" s="26"/>
      <c r="D670" s="50"/>
      <c r="E670" s="51"/>
      <c r="F670" s="50" t="s">
        <v>448</v>
      </c>
      <c r="G670" s="52"/>
      <c r="H670" s="50"/>
      <c r="I670" s="53"/>
      <c r="J670" s="50" t="s">
        <v>448</v>
      </c>
      <c r="K670" s="53"/>
      <c r="L670" s="50"/>
      <c r="M670" s="57"/>
      <c r="N670" s="55"/>
      <c r="O670" s="57"/>
      <c r="P670" s="57"/>
      <c r="Q670" s="59" t="str">
        <f>IF(MIN(IF(ISBLANK(O670),N670,O670),IF(ISBLANK(N670),O670,N670))=0,"",MIN(IF(ISBLANK(O670),N670,O670),IF(ISBLANK(N670),O670,N670)))</f>
        <v/>
      </c>
      <c r="R670" s="57"/>
      <c r="S670" s="57"/>
      <c r="T670" s="59" t="str">
        <f t="shared" ref="T670:T679" si="267">IF(MIN(IF(ISBLANK(R670),Q670,R670),IF(ISBLANK(Q670),R670,Q670))=0,"",MIN(IF(ISBLANK(R670),Q670,R670),IF(ISBLANK(Q670),R670,Q670)))</f>
        <v/>
      </c>
      <c r="U670" s="57"/>
      <c r="V670" s="57"/>
      <c r="W670" s="59" t="str">
        <f t="shared" ref="W670:W679" si="268">IF(MIN(IF(ISBLANK(U670),T670,U670),IF(ISBLANK(T670),U670,T670))=0,"",MIN(IF(ISBLANK(U670),T670,U670),IF(ISBLANK(T670),U670,T670)))</f>
        <v/>
      </c>
      <c r="X670" s="57"/>
      <c r="Y670" s="57"/>
      <c r="Z670" s="59" t="str">
        <f t="shared" ref="Z670:Z679" si="269">IF(MIN(IF(ISBLANK(X670),W670,X670),IF(ISBLANK(W670),X670,W670))=0,"",MIN(IF(ISBLANK(X670),W670,X670),IF(ISBLANK(W670),X670,W670)))</f>
        <v/>
      </c>
      <c r="AA670" s="57"/>
      <c r="AB670" s="57"/>
      <c r="AC670" s="59" t="str">
        <f t="shared" ref="AC670:AC679" si="270">IF(MIN(IF(ISBLANK(Z670),AA670,Z670),IF(ISBLANK(AA670),Z670,AA670))=0,"",MIN(IF(ISBLANK(Z670),AA670,Z670),IF(ISBLANK(AA670),Z670,AA670)))</f>
        <v/>
      </c>
      <c r="AD670" s="57"/>
      <c r="AE670" s="57"/>
      <c r="AF670" s="59" t="str">
        <f t="shared" si="259"/>
        <v/>
      </c>
      <c r="AG670" s="57"/>
      <c r="AH670" s="57"/>
      <c r="AI670" s="59" t="str">
        <f t="shared" si="260"/>
        <v/>
      </c>
      <c r="AJ670" s="57"/>
      <c r="AK670" s="57"/>
      <c r="AL670" s="59" t="str">
        <f t="shared" si="261"/>
        <v/>
      </c>
      <c r="AM670" s="57"/>
      <c r="AN670" s="57"/>
      <c r="AO670" s="59" t="str">
        <f t="shared" si="262"/>
        <v/>
      </c>
      <c r="AP670" s="57"/>
      <c r="AQ670" s="59" t="str">
        <f t="shared" si="257"/>
        <v/>
      </c>
      <c r="AR670" s="57"/>
      <c r="AS670" s="57"/>
      <c r="AT670" s="59" t="str">
        <f t="shared" si="258"/>
        <v/>
      </c>
    </row>
    <row r="671" spans="1:46" hidden="1">
      <c r="A671" s="24"/>
      <c r="B671" s="26" t="s">
        <v>600</v>
      </c>
      <c r="C671" s="26"/>
      <c r="D671" s="50"/>
      <c r="E671" s="51"/>
      <c r="F671" s="50"/>
      <c r="G671" s="52"/>
      <c r="H671" s="50"/>
      <c r="I671" s="53"/>
      <c r="J671" s="50"/>
      <c r="K671" s="53"/>
      <c r="L671" s="50"/>
      <c r="M671" s="57"/>
      <c r="N671" s="55"/>
      <c r="O671" s="57"/>
      <c r="P671" s="57"/>
      <c r="Q671" s="59"/>
      <c r="R671" s="57"/>
      <c r="S671" s="57"/>
      <c r="T671" s="59" t="str">
        <f t="shared" si="267"/>
        <v/>
      </c>
      <c r="U671" s="57"/>
      <c r="V671" s="57"/>
      <c r="W671" s="59" t="str">
        <f t="shared" si="268"/>
        <v/>
      </c>
      <c r="X671" s="57"/>
      <c r="Y671" s="57"/>
      <c r="Z671" s="59" t="str">
        <f t="shared" si="269"/>
        <v/>
      </c>
      <c r="AA671" s="57"/>
      <c r="AB671" s="57"/>
      <c r="AC671" s="59" t="str">
        <f t="shared" si="270"/>
        <v/>
      </c>
      <c r="AD671" s="57"/>
      <c r="AE671" s="57"/>
      <c r="AF671" s="59" t="str">
        <f t="shared" si="259"/>
        <v/>
      </c>
      <c r="AG671" s="57"/>
      <c r="AH671" s="57"/>
      <c r="AI671" s="59" t="str">
        <f t="shared" si="260"/>
        <v/>
      </c>
      <c r="AJ671" s="57"/>
      <c r="AK671" s="57"/>
      <c r="AL671" s="59" t="str">
        <f t="shared" si="261"/>
        <v/>
      </c>
      <c r="AM671" s="57"/>
      <c r="AN671" s="57"/>
      <c r="AO671" s="59" t="str">
        <f t="shared" si="262"/>
        <v/>
      </c>
      <c r="AP671" s="57"/>
      <c r="AQ671" s="59" t="str">
        <f t="shared" si="257"/>
        <v/>
      </c>
      <c r="AR671" s="57"/>
      <c r="AS671" s="57"/>
      <c r="AT671" s="59" t="str">
        <f t="shared" si="258"/>
        <v/>
      </c>
    </row>
    <row r="672" spans="1:46" hidden="1">
      <c r="A672" s="24"/>
      <c r="B672" s="26" t="s">
        <v>11</v>
      </c>
      <c r="C672" s="26" t="s">
        <v>443</v>
      </c>
      <c r="D672" s="50">
        <v>6.12</v>
      </c>
      <c r="E672" s="51" t="s">
        <v>286</v>
      </c>
      <c r="F672" s="50">
        <v>6.12</v>
      </c>
      <c r="G672" s="52" t="s">
        <v>293</v>
      </c>
      <c r="H672" s="50">
        <v>6.12</v>
      </c>
      <c r="I672" s="53">
        <v>6.03</v>
      </c>
      <c r="J672" s="50">
        <v>6.03</v>
      </c>
      <c r="K672" s="53"/>
      <c r="L672" s="50">
        <v>6.03</v>
      </c>
      <c r="M672" s="57"/>
      <c r="N672" s="55">
        <v>4.2013888888888891E-3</v>
      </c>
      <c r="O672" s="57">
        <v>4.6527777777777774E-3</v>
      </c>
      <c r="P672" s="57"/>
      <c r="Q672" s="59">
        <f t="shared" ref="Q672:Q679" si="271">IF(MIN(IF(ISBLANK(O672),N672,O672),IF(ISBLANK(N672),O672,N672))=0,"",MIN(IF(ISBLANK(O672),N672,O672),IF(ISBLANK(N672),O672,N672)))</f>
        <v>4.2013888888888891E-3</v>
      </c>
      <c r="R672" s="57"/>
      <c r="S672" s="57"/>
      <c r="T672" s="59">
        <f t="shared" si="267"/>
        <v>4.2013888888888891E-3</v>
      </c>
      <c r="U672" s="57"/>
      <c r="V672" s="57"/>
      <c r="W672" s="59">
        <f t="shared" si="268"/>
        <v>4.2013888888888891E-3</v>
      </c>
      <c r="X672" s="57"/>
      <c r="Y672" s="57"/>
      <c r="Z672" s="59">
        <f t="shared" si="269"/>
        <v>4.2013888888888891E-3</v>
      </c>
      <c r="AA672" s="57"/>
      <c r="AB672" s="57"/>
      <c r="AC672" s="59">
        <f t="shared" si="270"/>
        <v>4.2013888888888891E-3</v>
      </c>
      <c r="AD672" s="57"/>
      <c r="AE672" s="57"/>
      <c r="AF672" s="59">
        <f t="shared" si="259"/>
        <v>4.2013888888888891E-3</v>
      </c>
      <c r="AG672" s="57"/>
      <c r="AH672" s="57"/>
      <c r="AI672" s="59">
        <f t="shared" si="260"/>
        <v>4.2013888888888891E-3</v>
      </c>
      <c r="AJ672" s="57"/>
      <c r="AK672" s="57"/>
      <c r="AL672" s="59">
        <f t="shared" si="261"/>
        <v>4.2013888888888891E-3</v>
      </c>
      <c r="AM672" s="57"/>
      <c r="AN672" s="57"/>
      <c r="AO672" s="59">
        <f t="shared" si="262"/>
        <v>4.2013888888888891E-3</v>
      </c>
      <c r="AP672" s="57"/>
      <c r="AQ672" s="59">
        <f t="shared" si="257"/>
        <v>4.2013888888888891E-3</v>
      </c>
      <c r="AR672" s="57"/>
      <c r="AS672" s="57"/>
      <c r="AT672" s="59">
        <f t="shared" si="258"/>
        <v>4.2013888888888891E-3</v>
      </c>
    </row>
    <row r="673" spans="1:46" hidden="1">
      <c r="A673" s="24"/>
      <c r="B673" s="26" t="s">
        <v>428</v>
      </c>
      <c r="C673" s="26" t="s">
        <v>443</v>
      </c>
      <c r="D673" s="50"/>
      <c r="E673" s="51"/>
      <c r="F673" s="50"/>
      <c r="G673" s="52"/>
      <c r="H673" s="50"/>
      <c r="I673" s="53"/>
      <c r="J673" s="50" t="s">
        <v>448</v>
      </c>
      <c r="K673" s="53"/>
      <c r="L673" s="50"/>
      <c r="M673" s="57"/>
      <c r="N673" s="55"/>
      <c r="O673" s="57">
        <v>5.9375000000000009E-3</v>
      </c>
      <c r="P673" s="57"/>
      <c r="Q673" s="59">
        <f t="shared" si="271"/>
        <v>5.9375000000000009E-3</v>
      </c>
      <c r="R673" s="57"/>
      <c r="S673" s="57"/>
      <c r="T673" s="59">
        <f t="shared" si="267"/>
        <v>5.9375000000000009E-3</v>
      </c>
      <c r="U673" s="57"/>
      <c r="V673" s="57"/>
      <c r="W673" s="59">
        <f t="shared" si="268"/>
        <v>5.9375000000000009E-3</v>
      </c>
      <c r="X673" s="57"/>
      <c r="Y673" s="57"/>
      <c r="Z673" s="59">
        <f t="shared" si="269"/>
        <v>5.9375000000000009E-3</v>
      </c>
      <c r="AA673" s="57"/>
      <c r="AB673" s="57"/>
      <c r="AC673" s="59">
        <f t="shared" si="270"/>
        <v>5.9375000000000009E-3</v>
      </c>
      <c r="AD673" s="57"/>
      <c r="AE673" s="57"/>
      <c r="AF673" s="59">
        <f t="shared" si="259"/>
        <v>5.9375000000000009E-3</v>
      </c>
      <c r="AG673" s="57">
        <v>6.0069444444444441E-3</v>
      </c>
      <c r="AH673" s="57"/>
      <c r="AI673" s="59">
        <f t="shared" si="260"/>
        <v>5.9375000000000009E-3</v>
      </c>
      <c r="AJ673" s="57"/>
      <c r="AK673" s="57"/>
      <c r="AL673" s="59">
        <f t="shared" si="261"/>
        <v>5.9375000000000009E-3</v>
      </c>
      <c r="AM673" s="57"/>
      <c r="AN673" s="57"/>
      <c r="AO673" s="59">
        <f t="shared" si="262"/>
        <v>5.9375000000000009E-3</v>
      </c>
      <c r="AP673" s="57"/>
      <c r="AQ673" s="59">
        <f t="shared" si="257"/>
        <v>5.9375000000000009E-3</v>
      </c>
      <c r="AR673" s="57"/>
      <c r="AS673" s="57"/>
      <c r="AT673" s="59">
        <f t="shared" si="258"/>
        <v>5.9375000000000009E-3</v>
      </c>
    </row>
    <row r="674" spans="1:46">
      <c r="A674" s="24" t="s">
        <v>792</v>
      </c>
      <c r="B674" s="26" t="s">
        <v>18</v>
      </c>
      <c r="C674" s="26" t="s">
        <v>443</v>
      </c>
      <c r="D674" s="50">
        <v>8.39</v>
      </c>
      <c r="E674" s="51" t="s">
        <v>318</v>
      </c>
      <c r="F674" s="50">
        <v>8.39</v>
      </c>
      <c r="G674" s="52"/>
      <c r="H674" s="50">
        <v>8.39</v>
      </c>
      <c r="I674" s="53"/>
      <c r="J674" s="50">
        <v>8.39</v>
      </c>
      <c r="K674" s="53"/>
      <c r="L674" s="50">
        <v>8.39</v>
      </c>
      <c r="M674" s="57"/>
      <c r="N674" s="55">
        <v>6.0069444444444441E-3</v>
      </c>
      <c r="O674" s="57">
        <v>6.6319444444444446E-3</v>
      </c>
      <c r="P674" s="57"/>
      <c r="Q674" s="59">
        <f t="shared" si="271"/>
        <v>6.0069444444444441E-3</v>
      </c>
      <c r="R674" s="57"/>
      <c r="S674" s="57"/>
      <c r="T674" s="59">
        <f t="shared" si="267"/>
        <v>6.0069444444444441E-3</v>
      </c>
      <c r="U674" s="57">
        <v>6.5856481481481469E-3</v>
      </c>
      <c r="V674" s="57"/>
      <c r="W674" s="59">
        <f t="shared" si="268"/>
        <v>6.0069444444444441E-3</v>
      </c>
      <c r="X674" s="57"/>
      <c r="Y674" s="57"/>
      <c r="Z674" s="59">
        <f t="shared" si="269"/>
        <v>6.0069444444444441E-3</v>
      </c>
      <c r="AA674" s="57">
        <v>6.6782407407407415E-3</v>
      </c>
      <c r="AB674" s="57"/>
      <c r="AC674" s="59">
        <f t="shared" si="270"/>
        <v>6.0069444444444441E-3</v>
      </c>
      <c r="AD674" s="57"/>
      <c r="AE674" s="57"/>
      <c r="AF674" s="59">
        <f t="shared" si="259"/>
        <v>6.0069444444444441E-3</v>
      </c>
      <c r="AG674" s="57">
        <v>6.7245370370370367E-3</v>
      </c>
      <c r="AH674" s="57"/>
      <c r="AI674" s="59">
        <f t="shared" si="260"/>
        <v>6.0069444444444441E-3</v>
      </c>
      <c r="AJ674" s="57"/>
      <c r="AK674" s="57"/>
      <c r="AL674" s="59">
        <f t="shared" si="261"/>
        <v>6.0069444444444441E-3</v>
      </c>
      <c r="AM674" s="57"/>
      <c r="AN674" s="57"/>
      <c r="AO674" s="59">
        <f t="shared" si="262"/>
        <v>6.0069444444444441E-3</v>
      </c>
      <c r="AP674" s="57">
        <v>6.8055555555555569E-3</v>
      </c>
      <c r="AQ674" s="59">
        <f t="shared" si="257"/>
        <v>6.0069444444444441E-3</v>
      </c>
      <c r="AR674" s="57"/>
      <c r="AS674" s="57"/>
      <c r="AT674" s="59">
        <f t="shared" si="258"/>
        <v>6.0069444444444441E-3</v>
      </c>
    </row>
    <row r="675" spans="1:46">
      <c r="A675" s="24" t="s">
        <v>792</v>
      </c>
      <c r="B675" s="26" t="s">
        <v>23</v>
      </c>
      <c r="C675" s="26" t="s">
        <v>443</v>
      </c>
      <c r="D675" s="50" t="s">
        <v>260</v>
      </c>
      <c r="E675" s="51"/>
      <c r="F675" s="50" t="s">
        <v>260</v>
      </c>
      <c r="G675" s="52"/>
      <c r="H675" s="50" t="s">
        <v>260</v>
      </c>
      <c r="I675" s="53"/>
      <c r="J675" s="50" t="s">
        <v>260</v>
      </c>
      <c r="K675" s="53">
        <v>6.33</v>
      </c>
      <c r="L675" s="50">
        <v>6.33</v>
      </c>
      <c r="M675" s="57"/>
      <c r="N675" s="55">
        <v>4.5486111111111109E-3</v>
      </c>
      <c r="O675" s="57"/>
      <c r="P675" s="57"/>
      <c r="Q675" s="59">
        <f t="shared" si="271"/>
        <v>4.5486111111111109E-3</v>
      </c>
      <c r="R675" s="57"/>
      <c r="S675" s="57"/>
      <c r="T675" s="59">
        <f t="shared" si="267"/>
        <v>4.5486111111111109E-3</v>
      </c>
      <c r="U675" s="57"/>
      <c r="V675" s="57"/>
      <c r="W675" s="59">
        <f t="shared" si="268"/>
        <v>4.5486111111111109E-3</v>
      </c>
      <c r="X675" s="57"/>
      <c r="Y675" s="57"/>
      <c r="Z675" s="59">
        <f t="shared" si="269"/>
        <v>4.5486111111111109E-3</v>
      </c>
      <c r="AA675" s="57"/>
      <c r="AB675" s="57"/>
      <c r="AC675" s="59">
        <f t="shared" si="270"/>
        <v>4.5486111111111109E-3</v>
      </c>
      <c r="AD675" s="57"/>
      <c r="AE675" s="57"/>
      <c r="AF675" s="59">
        <f t="shared" si="259"/>
        <v>4.5486111111111109E-3</v>
      </c>
      <c r="AG675" s="57">
        <v>4.8148148148148152E-3</v>
      </c>
      <c r="AH675" s="57"/>
      <c r="AI675" s="59">
        <f t="shared" si="260"/>
        <v>4.5486111111111109E-3</v>
      </c>
      <c r="AJ675" s="57"/>
      <c r="AK675" s="57"/>
      <c r="AL675" s="59">
        <f t="shared" si="261"/>
        <v>4.5486111111111109E-3</v>
      </c>
      <c r="AM675" s="57">
        <v>4.7916666666666672E-3</v>
      </c>
      <c r="AN675" s="57"/>
      <c r="AO675" s="59">
        <f t="shared" si="262"/>
        <v>4.5486111111111109E-3</v>
      </c>
      <c r="AP675" s="57"/>
      <c r="AQ675" s="59">
        <f t="shared" si="257"/>
        <v>4.5486111111111109E-3</v>
      </c>
      <c r="AR675" s="57">
        <v>4.7222222222222223E-3</v>
      </c>
      <c r="AS675" s="57"/>
      <c r="AT675" s="59">
        <f t="shared" si="258"/>
        <v>4.5486111111111109E-3</v>
      </c>
    </row>
    <row r="676" spans="1:46">
      <c r="A676" s="24" t="s">
        <v>792</v>
      </c>
      <c r="B676" s="26" t="s">
        <v>27</v>
      </c>
      <c r="C676" s="26" t="s">
        <v>443</v>
      </c>
      <c r="D676" s="50">
        <v>7.03</v>
      </c>
      <c r="E676" s="51" t="s">
        <v>319</v>
      </c>
      <c r="F676" s="50">
        <v>7.03</v>
      </c>
      <c r="G676" s="52">
        <v>6.49</v>
      </c>
      <c r="H676" s="50">
        <v>6.49</v>
      </c>
      <c r="I676" s="53">
        <v>6.49</v>
      </c>
      <c r="J676" s="50">
        <v>6.49</v>
      </c>
      <c r="K676" s="53">
        <v>6.54</v>
      </c>
      <c r="L676" s="50">
        <v>6.49</v>
      </c>
      <c r="M676" s="57">
        <v>5.3935185185185188E-3</v>
      </c>
      <c r="N676" s="55">
        <v>4.7337962962962958E-3</v>
      </c>
      <c r="O676" s="57">
        <v>4.9537037037037041E-3</v>
      </c>
      <c r="P676" s="57"/>
      <c r="Q676" s="59">
        <f t="shared" si="271"/>
        <v>4.7337962962962958E-3</v>
      </c>
      <c r="R676" s="57"/>
      <c r="S676" s="57"/>
      <c r="T676" s="59">
        <f t="shared" si="267"/>
        <v>4.7337962962962958E-3</v>
      </c>
      <c r="U676" s="57">
        <v>5.2893518518518515E-3</v>
      </c>
      <c r="V676" s="57"/>
      <c r="W676" s="59">
        <f t="shared" si="268"/>
        <v>4.7337962962962958E-3</v>
      </c>
      <c r="X676" s="57"/>
      <c r="Y676" s="57"/>
      <c r="Z676" s="59">
        <f t="shared" si="269"/>
        <v>4.7337962962962958E-3</v>
      </c>
      <c r="AA676" s="57">
        <v>5.6249999999999989E-3</v>
      </c>
      <c r="AB676" s="57"/>
      <c r="AC676" s="59">
        <f t="shared" si="270"/>
        <v>4.7337962962962958E-3</v>
      </c>
      <c r="AD676" s="57"/>
      <c r="AE676" s="57"/>
      <c r="AF676" s="59">
        <f t="shared" si="259"/>
        <v>4.7337962962962958E-3</v>
      </c>
      <c r="AG676" s="57">
        <v>4.8842592592592592E-3</v>
      </c>
      <c r="AH676" s="57"/>
      <c r="AI676" s="59">
        <f t="shared" si="260"/>
        <v>4.7337962962962958E-3</v>
      </c>
      <c r="AJ676" s="57">
        <v>5.2430555555555555E-3</v>
      </c>
      <c r="AK676" s="57"/>
      <c r="AL676" s="59">
        <f t="shared" si="261"/>
        <v>4.7337962962962958E-3</v>
      </c>
      <c r="AM676" s="57">
        <v>6.3194444444444444E-3</v>
      </c>
      <c r="AN676" s="57"/>
      <c r="AO676" s="59">
        <f t="shared" si="262"/>
        <v>4.7337962962962958E-3</v>
      </c>
      <c r="AP676" s="57">
        <v>5.6944444444444438E-3</v>
      </c>
      <c r="AQ676" s="59">
        <f t="shared" si="257"/>
        <v>4.7337962962962958E-3</v>
      </c>
      <c r="AR676" s="57"/>
      <c r="AS676" s="57"/>
      <c r="AT676" s="59">
        <f t="shared" si="258"/>
        <v>4.7337962962962958E-3</v>
      </c>
    </row>
    <row r="677" spans="1:46" hidden="1">
      <c r="A677" s="24"/>
      <c r="B677" s="26" t="s">
        <v>343</v>
      </c>
      <c r="C677" s="26" t="s">
        <v>443</v>
      </c>
      <c r="D677" s="50"/>
      <c r="E677" s="51"/>
      <c r="F677" s="50" t="s">
        <v>448</v>
      </c>
      <c r="G677" s="52"/>
      <c r="H677" s="50"/>
      <c r="I677" s="53"/>
      <c r="J677" s="50" t="s">
        <v>448</v>
      </c>
      <c r="K677" s="53"/>
      <c r="L677" s="50"/>
      <c r="M677" s="57"/>
      <c r="N677" s="55"/>
      <c r="O677" s="57"/>
      <c r="P677" s="57"/>
      <c r="Q677" s="59" t="str">
        <f t="shared" si="271"/>
        <v/>
      </c>
      <c r="R677" s="57"/>
      <c r="S677" s="57"/>
      <c r="T677" s="59" t="str">
        <f t="shared" si="267"/>
        <v/>
      </c>
      <c r="U677" s="57"/>
      <c r="V677" s="57"/>
      <c r="W677" s="59" t="str">
        <f t="shared" si="268"/>
        <v/>
      </c>
      <c r="X677" s="57"/>
      <c r="Y677" s="57"/>
      <c r="Z677" s="59" t="str">
        <f t="shared" si="269"/>
        <v/>
      </c>
      <c r="AA677" s="57"/>
      <c r="AB677" s="57"/>
      <c r="AC677" s="59" t="str">
        <f t="shared" si="270"/>
        <v/>
      </c>
      <c r="AD677" s="57"/>
      <c r="AE677" s="57"/>
      <c r="AF677" s="59" t="str">
        <f t="shared" si="259"/>
        <v/>
      </c>
      <c r="AG677" s="57"/>
      <c r="AH677" s="57"/>
      <c r="AI677" s="59" t="str">
        <f t="shared" si="260"/>
        <v/>
      </c>
      <c r="AJ677" s="57"/>
      <c r="AK677" s="57"/>
      <c r="AL677" s="59" t="str">
        <f t="shared" si="261"/>
        <v/>
      </c>
      <c r="AM677" s="57"/>
      <c r="AN677" s="57"/>
      <c r="AO677" s="59" t="str">
        <f t="shared" si="262"/>
        <v/>
      </c>
      <c r="AP677" s="57"/>
      <c r="AQ677" s="59" t="str">
        <f t="shared" si="257"/>
        <v/>
      </c>
      <c r="AR677" s="57"/>
      <c r="AS677" s="57"/>
      <c r="AT677" s="59" t="str">
        <f t="shared" si="258"/>
        <v/>
      </c>
    </row>
    <row r="678" spans="1:46" hidden="1">
      <c r="A678" s="24"/>
      <c r="B678" s="26" t="s">
        <v>427</v>
      </c>
      <c r="C678" s="26" t="s">
        <v>444</v>
      </c>
      <c r="D678" s="50"/>
      <c r="E678" s="51"/>
      <c r="F678" s="50"/>
      <c r="G678" s="52"/>
      <c r="H678" s="50"/>
      <c r="I678" s="53">
        <v>11.21</v>
      </c>
      <c r="J678" s="50">
        <v>11.21</v>
      </c>
      <c r="K678" s="53">
        <v>12.12</v>
      </c>
      <c r="L678" s="50">
        <v>11.21</v>
      </c>
      <c r="M678" s="57"/>
      <c r="N678" s="55">
        <v>7.8819444444444432E-3</v>
      </c>
      <c r="O678" s="57"/>
      <c r="P678" s="57"/>
      <c r="Q678" s="59">
        <f t="shared" si="271"/>
        <v>7.8819444444444432E-3</v>
      </c>
      <c r="R678" s="57"/>
      <c r="S678" s="57"/>
      <c r="T678" s="59">
        <f t="shared" si="267"/>
        <v>7.8819444444444432E-3</v>
      </c>
      <c r="U678" s="57"/>
      <c r="V678" s="57"/>
      <c r="W678" s="59">
        <f t="shared" si="268"/>
        <v>7.8819444444444432E-3</v>
      </c>
      <c r="X678" s="57"/>
      <c r="Y678" s="57"/>
      <c r="Z678" s="59">
        <f t="shared" si="269"/>
        <v>7.8819444444444432E-3</v>
      </c>
      <c r="AA678" s="57"/>
      <c r="AB678" s="57"/>
      <c r="AC678" s="59">
        <f t="shared" si="270"/>
        <v>7.8819444444444432E-3</v>
      </c>
      <c r="AD678" s="57"/>
      <c r="AE678" s="57"/>
      <c r="AF678" s="59">
        <f t="shared" si="259"/>
        <v>7.8819444444444432E-3</v>
      </c>
      <c r="AG678" s="57"/>
      <c r="AH678" s="57"/>
      <c r="AI678" s="59">
        <f t="shared" si="260"/>
        <v>7.8819444444444432E-3</v>
      </c>
      <c r="AJ678" s="57"/>
      <c r="AK678" s="57"/>
      <c r="AL678" s="59">
        <f t="shared" si="261"/>
        <v>7.8819444444444432E-3</v>
      </c>
      <c r="AM678" s="57"/>
      <c r="AN678" s="57"/>
      <c r="AO678" s="59">
        <f t="shared" si="262"/>
        <v>7.8819444444444432E-3</v>
      </c>
      <c r="AP678" s="57"/>
      <c r="AQ678" s="59">
        <f t="shared" si="257"/>
        <v>7.8819444444444432E-3</v>
      </c>
      <c r="AR678" s="57"/>
      <c r="AS678" s="57"/>
      <c r="AT678" s="59">
        <f t="shared" si="258"/>
        <v>7.8819444444444432E-3</v>
      </c>
    </row>
    <row r="679" spans="1:46" hidden="1">
      <c r="A679" s="24"/>
      <c r="B679" s="26" t="s">
        <v>511</v>
      </c>
      <c r="C679" s="26"/>
      <c r="D679" s="50"/>
      <c r="E679" s="51"/>
      <c r="F679" s="50"/>
      <c r="G679" s="52"/>
      <c r="H679" s="50"/>
      <c r="I679" s="53"/>
      <c r="J679" s="50"/>
      <c r="K679" s="53"/>
      <c r="L679" s="50"/>
      <c r="M679" s="57"/>
      <c r="N679" s="55"/>
      <c r="O679" s="57"/>
      <c r="P679" s="57"/>
      <c r="Q679" s="59" t="str">
        <f t="shared" si="271"/>
        <v/>
      </c>
      <c r="R679" s="57"/>
      <c r="S679" s="57"/>
      <c r="T679" s="59" t="str">
        <f t="shared" si="267"/>
        <v/>
      </c>
      <c r="U679" s="57"/>
      <c r="V679" s="57"/>
      <c r="W679" s="59" t="str">
        <f t="shared" si="268"/>
        <v/>
      </c>
      <c r="X679" s="57"/>
      <c r="Y679" s="57"/>
      <c r="Z679" s="59" t="str">
        <f t="shared" si="269"/>
        <v/>
      </c>
      <c r="AA679" s="57"/>
      <c r="AB679" s="57"/>
      <c r="AC679" s="59" t="str">
        <f t="shared" si="270"/>
        <v/>
      </c>
      <c r="AD679" s="57"/>
      <c r="AE679" s="57"/>
      <c r="AF679" s="59" t="str">
        <f t="shared" si="259"/>
        <v/>
      </c>
      <c r="AG679" s="57"/>
      <c r="AH679" s="57"/>
      <c r="AI679" s="59" t="str">
        <f t="shared" si="260"/>
        <v/>
      </c>
      <c r="AJ679" s="57"/>
      <c r="AK679" s="57"/>
      <c r="AL679" s="59" t="str">
        <f t="shared" si="261"/>
        <v/>
      </c>
      <c r="AM679" s="57"/>
      <c r="AN679" s="57"/>
      <c r="AO679" s="59" t="str">
        <f t="shared" si="262"/>
        <v/>
      </c>
      <c r="AP679" s="57"/>
      <c r="AQ679" s="59" t="str">
        <f t="shared" si="257"/>
        <v/>
      </c>
      <c r="AR679" s="57"/>
      <c r="AS679" s="57"/>
      <c r="AT679" s="59" t="str">
        <f t="shared" si="258"/>
        <v/>
      </c>
    </row>
    <row r="680" spans="1:46">
      <c r="A680" s="24" t="s">
        <v>792</v>
      </c>
      <c r="B680" s="26" t="s">
        <v>770</v>
      </c>
      <c r="C680" s="26"/>
      <c r="D680" s="50"/>
      <c r="E680" s="51"/>
      <c r="F680" s="50"/>
      <c r="G680" s="52"/>
      <c r="H680" s="50"/>
      <c r="I680" s="53"/>
      <c r="J680" s="50"/>
      <c r="K680" s="53"/>
      <c r="L680" s="50"/>
      <c r="M680" s="57"/>
      <c r="N680" s="55"/>
      <c r="O680" s="57"/>
      <c r="P680" s="57"/>
      <c r="Q680" s="59"/>
      <c r="R680" s="57"/>
      <c r="S680" s="57"/>
      <c r="T680" s="59"/>
      <c r="U680" s="57"/>
      <c r="V680" s="57"/>
      <c r="W680" s="59"/>
      <c r="X680" s="57"/>
      <c r="Y680" s="57"/>
      <c r="Z680" s="59"/>
      <c r="AA680" s="57"/>
      <c r="AB680" s="57"/>
      <c r="AC680" s="59"/>
      <c r="AD680" s="57"/>
      <c r="AE680" s="57"/>
      <c r="AF680" s="59"/>
      <c r="AG680" s="57"/>
      <c r="AH680" s="57"/>
      <c r="AI680" s="59"/>
      <c r="AJ680" s="57"/>
      <c r="AK680" s="57"/>
      <c r="AL680" s="59" t="str">
        <f t="shared" si="261"/>
        <v/>
      </c>
      <c r="AM680" s="57"/>
      <c r="AN680" s="57"/>
      <c r="AO680" s="59" t="str">
        <f t="shared" si="262"/>
        <v/>
      </c>
      <c r="AP680" s="57"/>
      <c r="AQ680" s="59" t="str">
        <f t="shared" si="257"/>
        <v/>
      </c>
      <c r="AR680" s="57"/>
      <c r="AS680" s="57"/>
      <c r="AT680" s="59" t="str">
        <f t="shared" si="258"/>
        <v/>
      </c>
    </row>
    <row r="681" spans="1:46" hidden="1">
      <c r="A681" s="24"/>
      <c r="B681" s="26" t="s">
        <v>672</v>
      </c>
      <c r="C681" s="26"/>
      <c r="D681" s="50"/>
      <c r="E681" s="51"/>
      <c r="F681" s="50"/>
      <c r="G681" s="52"/>
      <c r="H681" s="50"/>
      <c r="I681" s="53"/>
      <c r="J681" s="50"/>
      <c r="K681" s="53"/>
      <c r="L681" s="50"/>
      <c r="M681" s="57"/>
      <c r="N681" s="55"/>
      <c r="O681" s="57"/>
      <c r="P681" s="57"/>
      <c r="Q681" s="59"/>
      <c r="R681" s="57"/>
      <c r="S681" s="57"/>
      <c r="T681" s="59"/>
      <c r="U681" s="57"/>
      <c r="V681" s="57"/>
      <c r="W681" s="59"/>
      <c r="X681" s="57"/>
      <c r="Y681" s="57"/>
      <c r="Z681" s="59" t="str">
        <f>IF(MIN(IF(ISBLANK(X681),W681,X681),IF(ISBLANK(W681),X681,W681))=0,"",MIN(IF(ISBLANK(X681),W681,X681),IF(ISBLANK(W681),X681,W681)))</f>
        <v/>
      </c>
      <c r="AA681" s="57">
        <v>5.9259259259259256E-3</v>
      </c>
      <c r="AB681" s="57"/>
      <c r="AC681" s="59">
        <f>IF(MIN(IF(ISBLANK(Z681),AA681,Z681),IF(ISBLANK(AA681),Z681,AA681))=0,"",MIN(IF(ISBLANK(Z681),AA681,Z681),IF(ISBLANK(AA681),Z681,AA681)))</f>
        <v>5.9259259259259256E-3</v>
      </c>
      <c r="AD681" s="57">
        <v>5.8680555555555543E-3</v>
      </c>
      <c r="AE681" s="57"/>
      <c r="AF681" s="59">
        <f>IF(MIN(IF(ISBLANK(AC681),AD681,AC681),IF(ISBLANK(AD681),AC681,AD681))=0,"",MIN(IF(ISBLANK(AC681),AD681,AC681),IF(ISBLANK(AD681),AC681,AD681)))</f>
        <v>5.8680555555555543E-3</v>
      </c>
      <c r="AG681" s="57"/>
      <c r="AH681" s="57"/>
      <c r="AI681" s="59">
        <f>IF(MIN(IF(ISBLANK(AF681),AG681,AF681),IF(ISBLANK(AG681),AF681,AG681))=0,"",MIN(IF(ISBLANK(AF681),AG681,AF681),IF(ISBLANK(AG681),AF681,AG681)))</f>
        <v>5.8680555555555543E-3</v>
      </c>
      <c r="AJ681" s="57"/>
      <c r="AK681" s="57"/>
      <c r="AL681" s="59">
        <f t="shared" si="261"/>
        <v>5.8680555555555543E-3</v>
      </c>
      <c r="AM681" s="57"/>
      <c r="AN681" s="57"/>
      <c r="AO681" s="59">
        <f t="shared" si="262"/>
        <v>5.8680555555555543E-3</v>
      </c>
      <c r="AP681" s="57"/>
      <c r="AQ681" s="59">
        <f t="shared" si="257"/>
        <v>5.8680555555555543E-3</v>
      </c>
      <c r="AR681" s="57"/>
      <c r="AS681" s="57"/>
      <c r="AT681" s="59">
        <f t="shared" si="258"/>
        <v>5.8680555555555543E-3</v>
      </c>
    </row>
    <row r="682" spans="1:46" hidden="1">
      <c r="A682" s="24"/>
      <c r="B682" s="26" t="s">
        <v>673</v>
      </c>
      <c r="C682" s="26"/>
      <c r="D682" s="50"/>
      <c r="E682" s="51"/>
      <c r="F682" s="50"/>
      <c r="G682" s="52"/>
      <c r="H682" s="50"/>
      <c r="I682" s="53"/>
      <c r="J682" s="50"/>
      <c r="K682" s="53"/>
      <c r="L682" s="50"/>
      <c r="M682" s="57"/>
      <c r="N682" s="55"/>
      <c r="O682" s="57"/>
      <c r="P682" s="57"/>
      <c r="Q682" s="59"/>
      <c r="R682" s="57"/>
      <c r="S682" s="57"/>
      <c r="T682" s="59"/>
      <c r="U682" s="57"/>
      <c r="V682" s="57"/>
      <c r="W682" s="59"/>
      <c r="X682" s="57"/>
      <c r="Y682" s="57"/>
      <c r="Z682" s="59" t="str">
        <f>IF(MIN(IF(ISBLANK(X682),W682,X682),IF(ISBLANK(W682),X682,W682))=0,"",MIN(IF(ISBLANK(X682),W682,X682),IF(ISBLANK(W682),X682,W682)))</f>
        <v/>
      </c>
      <c r="AA682" s="57"/>
      <c r="AB682" s="57"/>
      <c r="AC682" s="59" t="str">
        <f>IF(MIN(IF(ISBLANK(Z682),AA682,Z682),IF(ISBLANK(AA682),Z682,AA682))=0,"",MIN(IF(ISBLANK(Z682),AA682,Z682),IF(ISBLANK(AA682),Z682,AA682)))</f>
        <v/>
      </c>
      <c r="AD682" s="57"/>
      <c r="AE682" s="57"/>
      <c r="AF682" s="59" t="str">
        <f>IF(MIN(IF(ISBLANK(AC682),AD682,AC682),IF(ISBLANK(AD682),AC682,AD682))=0,"",MIN(IF(ISBLANK(AC682),AD682,AC682),IF(ISBLANK(AD682),AC682,AD682)))</f>
        <v/>
      </c>
      <c r="AG682" s="57"/>
      <c r="AH682" s="57"/>
      <c r="AI682" s="59" t="str">
        <f>IF(MIN(IF(ISBLANK(AF682),AG682,AF682),IF(ISBLANK(AG682),AF682,AG682))=0,"",MIN(IF(ISBLANK(AF682),AG682,AF682),IF(ISBLANK(AG682),AF682,AG682)))</f>
        <v/>
      </c>
      <c r="AJ682" s="57"/>
      <c r="AK682" s="57"/>
      <c r="AL682" s="59" t="str">
        <f t="shared" si="261"/>
        <v/>
      </c>
      <c r="AM682" s="57"/>
      <c r="AN682" s="57"/>
      <c r="AO682" s="59" t="str">
        <f t="shared" si="262"/>
        <v/>
      </c>
      <c r="AP682" s="57"/>
      <c r="AQ682" s="59" t="str">
        <f t="shared" si="257"/>
        <v/>
      </c>
      <c r="AR682" s="57"/>
      <c r="AS682" s="57"/>
      <c r="AT682" s="59" t="str">
        <f t="shared" si="258"/>
        <v/>
      </c>
    </row>
    <row r="683" spans="1:46">
      <c r="A683" s="24" t="s">
        <v>792</v>
      </c>
      <c r="B683" s="26" t="s">
        <v>802</v>
      </c>
      <c r="C683" s="26"/>
      <c r="D683" s="50"/>
      <c r="E683" s="51"/>
      <c r="F683" s="50"/>
      <c r="G683" s="52"/>
      <c r="H683" s="50"/>
      <c r="I683" s="53"/>
      <c r="J683" s="50"/>
      <c r="K683" s="53"/>
      <c r="L683" s="50"/>
      <c r="M683" s="57"/>
      <c r="N683" s="55"/>
      <c r="O683" s="57"/>
      <c r="P683" s="57"/>
      <c r="Q683" s="59"/>
      <c r="R683" s="57"/>
      <c r="S683" s="57"/>
      <c r="T683" s="59"/>
      <c r="U683" s="57"/>
      <c r="V683" s="57"/>
      <c r="W683" s="59"/>
      <c r="X683" s="57"/>
      <c r="Y683" s="57"/>
      <c r="Z683" s="59"/>
      <c r="AA683" s="57"/>
      <c r="AB683" s="57"/>
      <c r="AC683" s="59"/>
      <c r="AD683" s="57"/>
      <c r="AE683" s="57"/>
      <c r="AF683" s="59"/>
      <c r="AG683" s="57"/>
      <c r="AH683" s="57"/>
      <c r="AI683" s="59"/>
      <c r="AJ683" s="57"/>
      <c r="AK683" s="57"/>
      <c r="AL683" s="59"/>
      <c r="AM683" s="57">
        <v>7.8356481481481489E-3</v>
      </c>
      <c r="AN683" s="57"/>
      <c r="AO683" s="59">
        <f t="shared" si="262"/>
        <v>7.8356481481481489E-3</v>
      </c>
      <c r="AP683" s="57"/>
      <c r="AQ683" s="59">
        <f t="shared" si="257"/>
        <v>7.8356481481481489E-3</v>
      </c>
      <c r="AR683" s="57"/>
      <c r="AS683" s="57"/>
      <c r="AT683" s="59">
        <f t="shared" si="258"/>
        <v>7.8356481481481489E-3</v>
      </c>
    </row>
    <row r="684" spans="1:46" hidden="1">
      <c r="A684" s="24"/>
      <c r="B684" s="26" t="s">
        <v>423</v>
      </c>
      <c r="C684" s="26" t="s">
        <v>444</v>
      </c>
      <c r="D684" s="50"/>
      <c r="E684" s="51"/>
      <c r="F684" s="50"/>
      <c r="G684" s="52"/>
      <c r="H684" s="50"/>
      <c r="I684" s="53"/>
      <c r="J684" s="50" t="s">
        <v>448</v>
      </c>
      <c r="K684" s="53"/>
      <c r="L684" s="50"/>
      <c r="M684" s="57"/>
      <c r="N684" s="55"/>
      <c r="O684" s="57"/>
      <c r="P684" s="57"/>
      <c r="Q684" s="59" t="str">
        <f>IF(MIN(IF(ISBLANK(O684),N684,O684),IF(ISBLANK(N684),O684,N684))=0,"",MIN(IF(ISBLANK(O684),N684,O684),IF(ISBLANK(N684),O684,N684)))</f>
        <v/>
      </c>
      <c r="R684" s="57"/>
      <c r="S684" s="57"/>
      <c r="T684" s="59" t="str">
        <f>IF(MIN(IF(ISBLANK(R684),Q684,R684),IF(ISBLANK(Q684),R684,Q684))=0,"",MIN(IF(ISBLANK(R684),Q684,R684),IF(ISBLANK(Q684),R684,Q684)))</f>
        <v/>
      </c>
      <c r="U684" s="57"/>
      <c r="V684" s="57"/>
      <c r="W684" s="59" t="str">
        <f>IF(MIN(IF(ISBLANK(U684),T684,U684),IF(ISBLANK(T684),U684,T684))=0,"",MIN(IF(ISBLANK(U684),T684,U684),IF(ISBLANK(T684),U684,T684)))</f>
        <v/>
      </c>
      <c r="X684" s="57"/>
      <c r="Y684" s="57"/>
      <c r="Z684" s="59" t="str">
        <f>IF(MIN(IF(ISBLANK(X684),W684,X684),IF(ISBLANK(W684),X684,W684))=0,"",MIN(IF(ISBLANK(X684),W684,X684),IF(ISBLANK(W684),X684,W684)))</f>
        <v/>
      </c>
      <c r="AA684" s="57"/>
      <c r="AB684" s="57"/>
      <c r="AC684" s="59" t="str">
        <f>IF(MIN(IF(ISBLANK(Z684),AA684,Z684),IF(ISBLANK(AA684),Z684,AA684))=0,"",MIN(IF(ISBLANK(Z684),AA684,Z684),IF(ISBLANK(AA684),Z684,AA684)))</f>
        <v/>
      </c>
      <c r="AD684" s="57"/>
      <c r="AE684" s="57"/>
      <c r="AF684" s="59" t="str">
        <f t="shared" ref="AF684:AF689" si="272">IF(MIN(IF(ISBLANK(AC684),AD684,AC684),IF(ISBLANK(AD684),AC684,AD684))=0,"",MIN(IF(ISBLANK(AC684),AD684,AC684),IF(ISBLANK(AD684),AC684,AD684)))</f>
        <v/>
      </c>
      <c r="AG684" s="57"/>
      <c r="AH684" s="57"/>
      <c r="AI684" s="59" t="str">
        <f t="shared" ref="AI684:AI689" si="273">IF(MIN(IF(ISBLANK(AF684),AG684,AF684),IF(ISBLANK(AG684),AF684,AG684))=0,"",MIN(IF(ISBLANK(AF684),AG684,AF684),IF(ISBLANK(AG684),AF684,AG684)))</f>
        <v/>
      </c>
      <c r="AJ684" s="57"/>
      <c r="AK684" s="57"/>
      <c r="AL684" s="59" t="str">
        <f t="shared" ref="AL684:AL689" si="274">IF(MIN(IF(ISBLANK(AI684),AJ684,AI684),IF(ISBLANK(AJ684),AI684,AJ684))=0,"",MIN(IF(ISBLANK(AI684),AJ684,AI684),IF(ISBLANK(AJ684),AI684,AJ684)))</f>
        <v/>
      </c>
      <c r="AM684" s="57"/>
      <c r="AN684" s="57"/>
      <c r="AO684" s="59" t="str">
        <f t="shared" si="262"/>
        <v/>
      </c>
      <c r="AP684" s="57"/>
      <c r="AQ684" s="59" t="str">
        <f t="shared" si="257"/>
        <v/>
      </c>
      <c r="AR684" s="57"/>
      <c r="AS684" s="57"/>
      <c r="AT684" s="59" t="str">
        <f t="shared" si="258"/>
        <v/>
      </c>
    </row>
    <row r="685" spans="1:46" hidden="1">
      <c r="A685" s="24"/>
      <c r="B685" s="26" t="s">
        <v>541</v>
      </c>
      <c r="C685" s="26" t="s">
        <v>443</v>
      </c>
      <c r="D685" s="50"/>
      <c r="E685" s="51"/>
      <c r="F685" s="50"/>
      <c r="G685" s="52"/>
      <c r="H685" s="50"/>
      <c r="I685" s="53"/>
      <c r="J685" s="50"/>
      <c r="K685" s="53"/>
      <c r="L685" s="50"/>
      <c r="M685" s="57"/>
      <c r="N685" s="55"/>
      <c r="O685" s="57">
        <v>5.7638888888888887E-3</v>
      </c>
      <c r="P685" s="57"/>
      <c r="Q685" s="59">
        <f>IF(MIN(IF(ISBLANK(O685),N685,O685),IF(ISBLANK(N685),O685,N685))=0,"",MIN(IF(ISBLANK(O685),N685,O685),IF(ISBLANK(N685),O685,N685)))</f>
        <v>5.7638888888888887E-3</v>
      </c>
      <c r="R685" s="57"/>
      <c r="S685" s="57"/>
      <c r="T685" s="59">
        <f>IF(MIN(IF(ISBLANK(R685),Q685,R685),IF(ISBLANK(Q685),R685,Q685))=0,"",MIN(IF(ISBLANK(R685),Q685,R685),IF(ISBLANK(Q685),R685,Q685)))</f>
        <v>5.7638888888888887E-3</v>
      </c>
      <c r="U685" s="57"/>
      <c r="V685" s="57"/>
      <c r="W685" s="59">
        <f>IF(MIN(IF(ISBLANK(U685),T685,U685),IF(ISBLANK(T685),U685,T685))=0,"",MIN(IF(ISBLANK(U685),T685,U685),IF(ISBLANK(T685),U685,T685)))</f>
        <v>5.7638888888888887E-3</v>
      </c>
      <c r="X685" s="57"/>
      <c r="Y685" s="57"/>
      <c r="Z685" s="59">
        <f>IF(MIN(IF(ISBLANK(X685),W685,X685),IF(ISBLANK(W685),X685,W685))=0,"",MIN(IF(ISBLANK(X685),W685,X685),IF(ISBLANK(W685),X685,W685)))</f>
        <v>5.7638888888888887E-3</v>
      </c>
      <c r="AA685" s="57"/>
      <c r="AB685" s="57"/>
      <c r="AC685" s="59">
        <f>IF(MIN(IF(ISBLANK(Z685),AA685,Z685),IF(ISBLANK(AA685),Z685,AA685))=0,"",MIN(IF(ISBLANK(Z685),AA685,Z685),IF(ISBLANK(AA685),Z685,AA685)))</f>
        <v>5.7638888888888887E-3</v>
      </c>
      <c r="AD685" s="57"/>
      <c r="AE685" s="57"/>
      <c r="AF685" s="59">
        <f t="shared" si="272"/>
        <v>5.7638888888888887E-3</v>
      </c>
      <c r="AG685" s="57"/>
      <c r="AH685" s="57"/>
      <c r="AI685" s="59">
        <f t="shared" si="273"/>
        <v>5.7638888888888887E-3</v>
      </c>
      <c r="AJ685" s="57"/>
      <c r="AK685" s="57"/>
      <c r="AL685" s="59">
        <f t="shared" si="274"/>
        <v>5.7638888888888887E-3</v>
      </c>
      <c r="AM685" s="57"/>
      <c r="AN685" s="57"/>
      <c r="AO685" s="59">
        <f t="shared" si="262"/>
        <v>5.7638888888888887E-3</v>
      </c>
      <c r="AP685" s="57"/>
      <c r="AQ685" s="59">
        <f t="shared" si="257"/>
        <v>5.7638888888888887E-3</v>
      </c>
      <c r="AR685" s="57"/>
      <c r="AS685" s="57"/>
      <c r="AT685" s="59">
        <f t="shared" si="258"/>
        <v>5.7638888888888887E-3</v>
      </c>
    </row>
    <row r="686" spans="1:46" hidden="1">
      <c r="A686" s="24"/>
      <c r="B686" s="26" t="s">
        <v>39</v>
      </c>
      <c r="C686" s="26" t="s">
        <v>444</v>
      </c>
      <c r="D686" s="50"/>
      <c r="E686" s="51"/>
      <c r="F686" s="50" t="s">
        <v>448</v>
      </c>
      <c r="G686" s="52"/>
      <c r="H686" s="50"/>
      <c r="I686" s="53"/>
      <c r="J686" s="50" t="s">
        <v>448</v>
      </c>
      <c r="K686" s="53"/>
      <c r="L686" s="50"/>
      <c r="M686" s="57"/>
      <c r="N686" s="55"/>
      <c r="O686" s="57"/>
      <c r="P686" s="57"/>
      <c r="Q686" s="59" t="str">
        <f>IF(MIN(IF(ISBLANK(O686),N686,O686),IF(ISBLANK(N686),O686,N686))=0,"",MIN(IF(ISBLANK(O686),N686,O686),IF(ISBLANK(N686),O686,N686)))</f>
        <v/>
      </c>
      <c r="R686" s="57"/>
      <c r="S686" s="57"/>
      <c r="T686" s="59" t="str">
        <f>IF(MIN(IF(ISBLANK(R686),Q686,R686),IF(ISBLANK(Q686),R686,Q686))=0,"",MIN(IF(ISBLANK(R686),Q686,R686),IF(ISBLANK(Q686),R686,Q686)))</f>
        <v/>
      </c>
      <c r="U686" s="57"/>
      <c r="V686" s="57"/>
      <c r="W686" s="59" t="str">
        <f>IF(MIN(IF(ISBLANK(U686),T686,U686),IF(ISBLANK(T686),U686,T686))=0,"",MIN(IF(ISBLANK(U686),T686,U686),IF(ISBLANK(T686),U686,T686)))</f>
        <v/>
      </c>
      <c r="X686" s="57"/>
      <c r="Y686" s="57"/>
      <c r="Z686" s="59" t="str">
        <f>IF(MIN(IF(ISBLANK(X686),W686,X686),IF(ISBLANK(W686),X686,W686))=0,"",MIN(IF(ISBLANK(X686),W686,X686),IF(ISBLANK(W686),X686,W686)))</f>
        <v/>
      </c>
      <c r="AA686" s="57"/>
      <c r="AB686" s="57"/>
      <c r="AC686" s="59" t="str">
        <f>IF(MIN(IF(ISBLANK(Z686),AA686,Z686),IF(ISBLANK(AA686),Z686,AA686))=0,"",MIN(IF(ISBLANK(Z686),AA686,Z686),IF(ISBLANK(AA686),Z686,AA686)))</f>
        <v/>
      </c>
      <c r="AD686" s="57"/>
      <c r="AE686" s="57"/>
      <c r="AF686" s="59" t="str">
        <f t="shared" si="272"/>
        <v/>
      </c>
      <c r="AG686" s="57"/>
      <c r="AH686" s="57"/>
      <c r="AI686" s="59" t="str">
        <f t="shared" si="273"/>
        <v/>
      </c>
      <c r="AJ686" s="57"/>
      <c r="AK686" s="57"/>
      <c r="AL686" s="59" t="str">
        <f t="shared" si="274"/>
        <v/>
      </c>
      <c r="AM686" s="57"/>
      <c r="AN686" s="57"/>
      <c r="AO686" s="59" t="str">
        <f t="shared" si="262"/>
        <v/>
      </c>
      <c r="AP686" s="57"/>
      <c r="AQ686" s="59" t="str">
        <f t="shared" si="257"/>
        <v/>
      </c>
      <c r="AR686" s="57"/>
      <c r="AS686" s="57"/>
      <c r="AT686" s="59" t="str">
        <f t="shared" si="258"/>
        <v/>
      </c>
    </row>
    <row r="687" spans="1:46" hidden="1">
      <c r="A687" s="24"/>
      <c r="B687" s="26" t="s">
        <v>33</v>
      </c>
      <c r="C687" s="26" t="s">
        <v>444</v>
      </c>
      <c r="D687" s="50">
        <v>10.25</v>
      </c>
      <c r="E687" s="51"/>
      <c r="F687" s="50">
        <v>10.25</v>
      </c>
      <c r="G687" s="52"/>
      <c r="H687" s="50">
        <v>10.25</v>
      </c>
      <c r="I687" s="53"/>
      <c r="J687" s="50">
        <v>10.25</v>
      </c>
      <c r="K687" s="53"/>
      <c r="L687" s="50">
        <v>10.25</v>
      </c>
      <c r="M687" s="57"/>
      <c r="N687" s="55">
        <v>7.2337962962962963E-3</v>
      </c>
      <c r="O687" s="57"/>
      <c r="P687" s="57"/>
      <c r="Q687" s="59">
        <f>IF(MIN(IF(ISBLANK(O687),N687,O687),IF(ISBLANK(N687),O687,N687))=0,"",MIN(IF(ISBLANK(O687),N687,O687),IF(ISBLANK(N687),O687,N687)))</f>
        <v>7.2337962962962963E-3</v>
      </c>
      <c r="R687" s="57"/>
      <c r="S687" s="57"/>
      <c r="T687" s="59">
        <f>IF(MIN(IF(ISBLANK(R687),Q687,R687),IF(ISBLANK(Q687),R687,Q687))=0,"",MIN(IF(ISBLANK(R687),Q687,R687),IF(ISBLANK(Q687),R687,Q687)))</f>
        <v>7.2337962962962963E-3</v>
      </c>
      <c r="U687" s="57"/>
      <c r="V687" s="57"/>
      <c r="W687" s="59">
        <f>IF(MIN(IF(ISBLANK(U687),T687,U687),IF(ISBLANK(T687),U687,T687))=0,"",MIN(IF(ISBLANK(U687),T687,U687),IF(ISBLANK(T687),U687,T687)))</f>
        <v>7.2337962962962963E-3</v>
      </c>
      <c r="X687" s="57"/>
      <c r="Y687" s="57"/>
      <c r="Z687" s="59">
        <f>IF(MIN(IF(ISBLANK(X687),W687,X687),IF(ISBLANK(W687),X687,W687))=0,"",MIN(IF(ISBLANK(X687),W687,X687),IF(ISBLANK(W687),X687,W687)))</f>
        <v>7.2337962962962963E-3</v>
      </c>
      <c r="AA687" s="57"/>
      <c r="AB687" s="57"/>
      <c r="AC687" s="59">
        <f>IF(MIN(IF(ISBLANK(Z687),AA687,Z687),IF(ISBLANK(AA687),Z687,AA687))=0,"",MIN(IF(ISBLANK(Z687),AA687,Z687),IF(ISBLANK(AA687),Z687,AA687)))</f>
        <v>7.2337962962962963E-3</v>
      </c>
      <c r="AD687" s="57"/>
      <c r="AE687" s="57"/>
      <c r="AF687" s="59">
        <f t="shared" si="272"/>
        <v>7.2337962962962963E-3</v>
      </c>
      <c r="AG687" s="57"/>
      <c r="AH687" s="57"/>
      <c r="AI687" s="59">
        <f t="shared" si="273"/>
        <v>7.2337962962962963E-3</v>
      </c>
      <c r="AJ687" s="57"/>
      <c r="AK687" s="57"/>
      <c r="AL687" s="59">
        <f t="shared" si="274"/>
        <v>7.2337962962962963E-3</v>
      </c>
      <c r="AM687" s="57"/>
      <c r="AN687" s="57"/>
      <c r="AO687" s="59">
        <f t="shared" si="262"/>
        <v>7.2337962962962963E-3</v>
      </c>
      <c r="AP687" s="57"/>
      <c r="AQ687" s="59">
        <f t="shared" si="257"/>
        <v>7.2337962962962963E-3</v>
      </c>
      <c r="AR687" s="57"/>
      <c r="AS687" s="57"/>
      <c r="AT687" s="59">
        <f t="shared" si="258"/>
        <v>7.2337962962962963E-3</v>
      </c>
    </row>
    <row r="688" spans="1:46" hidden="1">
      <c r="A688" s="24"/>
      <c r="B688" s="26" t="s">
        <v>238</v>
      </c>
      <c r="C688" s="26" t="s">
        <v>444</v>
      </c>
      <c r="D688" s="50"/>
      <c r="E688" s="51"/>
      <c r="F688" s="50" t="s">
        <v>448</v>
      </c>
      <c r="G688" s="52"/>
      <c r="H688" s="50"/>
      <c r="I688" s="53"/>
      <c r="J688" s="50" t="s">
        <v>448</v>
      </c>
      <c r="K688" s="53"/>
      <c r="L688" s="50"/>
      <c r="M688" s="57"/>
      <c r="N688" s="55"/>
      <c r="O688" s="57"/>
      <c r="P688" s="57"/>
      <c r="Q688" s="59" t="str">
        <f>IF(MIN(IF(ISBLANK(O688),N688,O688),IF(ISBLANK(N688),O688,N688))=0,"",MIN(IF(ISBLANK(O688),N688,O688),IF(ISBLANK(N688),O688,N688)))</f>
        <v/>
      </c>
      <c r="R688" s="57"/>
      <c r="S688" s="57"/>
      <c r="T688" s="59" t="str">
        <f>IF(MIN(IF(ISBLANK(R688),Q688,R688),IF(ISBLANK(Q688),R688,Q688))=0,"",MIN(IF(ISBLANK(R688),Q688,R688),IF(ISBLANK(Q688),R688,Q688)))</f>
        <v/>
      </c>
      <c r="U688" s="57"/>
      <c r="V688" s="57"/>
      <c r="W688" s="59" t="str">
        <f>IF(MIN(IF(ISBLANK(U688),T688,U688),IF(ISBLANK(T688),U688,T688))=0,"",MIN(IF(ISBLANK(U688),T688,U688),IF(ISBLANK(T688),U688,T688)))</f>
        <v/>
      </c>
      <c r="X688" s="57"/>
      <c r="Y688" s="57"/>
      <c r="Z688" s="59" t="str">
        <f>IF(MIN(IF(ISBLANK(X688),W688,X688),IF(ISBLANK(W688),X688,W688))=0,"",MIN(IF(ISBLANK(X688),W688,X688),IF(ISBLANK(W688),X688,W688)))</f>
        <v/>
      </c>
      <c r="AA688" s="57"/>
      <c r="AB688" s="57"/>
      <c r="AC688" s="59" t="str">
        <f>IF(MIN(IF(ISBLANK(Z688),AA688,Z688),IF(ISBLANK(AA688),Z688,AA688))=0,"",MIN(IF(ISBLANK(Z688),AA688,Z688),IF(ISBLANK(AA688),Z688,AA688)))</f>
        <v/>
      </c>
      <c r="AD688" s="57"/>
      <c r="AE688" s="57"/>
      <c r="AF688" s="59" t="str">
        <f t="shared" si="272"/>
        <v/>
      </c>
      <c r="AG688" s="57"/>
      <c r="AH688" s="57"/>
      <c r="AI688" s="59" t="str">
        <f t="shared" si="273"/>
        <v/>
      </c>
      <c r="AJ688" s="57"/>
      <c r="AK688" s="57"/>
      <c r="AL688" s="59" t="str">
        <f t="shared" si="274"/>
        <v/>
      </c>
      <c r="AM688" s="57"/>
      <c r="AN688" s="57"/>
      <c r="AO688" s="59" t="str">
        <f t="shared" si="262"/>
        <v/>
      </c>
      <c r="AP688" s="57"/>
      <c r="AQ688" s="59" t="str">
        <f t="shared" si="257"/>
        <v/>
      </c>
      <c r="AR688" s="57"/>
      <c r="AS688" s="57"/>
      <c r="AT688" s="59" t="str">
        <f t="shared" si="258"/>
        <v/>
      </c>
    </row>
    <row r="689" spans="1:46">
      <c r="A689" s="24" t="s">
        <v>792</v>
      </c>
      <c r="B689" s="26" t="s">
        <v>745</v>
      </c>
      <c r="C689" s="26"/>
      <c r="D689" s="50"/>
      <c r="E689" s="51"/>
      <c r="F689" s="50"/>
      <c r="G689" s="52"/>
      <c r="H689" s="50"/>
      <c r="I689" s="53"/>
      <c r="J689" s="50"/>
      <c r="K689" s="53"/>
      <c r="L689" s="50"/>
      <c r="M689" s="57"/>
      <c r="N689" s="55"/>
      <c r="O689" s="57"/>
      <c r="P689" s="57"/>
      <c r="Q689" s="59"/>
      <c r="R689" s="57"/>
      <c r="S689" s="57"/>
      <c r="T689" s="59"/>
      <c r="U689" s="57"/>
      <c r="V689" s="57"/>
      <c r="W689" s="59"/>
      <c r="X689" s="57"/>
      <c r="Y689" s="57"/>
      <c r="Z689" s="59"/>
      <c r="AA689" s="57"/>
      <c r="AB689" s="57"/>
      <c r="AC689" s="59"/>
      <c r="AD689" s="57"/>
      <c r="AE689" s="57"/>
      <c r="AF689" s="59" t="str">
        <f t="shared" si="272"/>
        <v/>
      </c>
      <c r="AG689" s="57"/>
      <c r="AH689" s="57"/>
      <c r="AI689" s="59" t="str">
        <f t="shared" si="273"/>
        <v/>
      </c>
      <c r="AJ689" s="57"/>
      <c r="AK689" s="57"/>
      <c r="AL689" s="59" t="str">
        <f t="shared" si="274"/>
        <v/>
      </c>
      <c r="AM689" s="57"/>
      <c r="AN689" s="57"/>
      <c r="AO689" s="59" t="str">
        <f t="shared" si="262"/>
        <v/>
      </c>
      <c r="AP689" s="57"/>
      <c r="AQ689" s="59" t="str">
        <f t="shared" si="257"/>
        <v/>
      </c>
      <c r="AR689" s="57"/>
      <c r="AS689" s="57"/>
      <c r="AT689" s="59" t="str">
        <f t="shared" si="258"/>
        <v/>
      </c>
    </row>
    <row r="690" spans="1:46" hidden="1">
      <c r="A690" s="24"/>
      <c r="B690" s="26" t="s">
        <v>845</v>
      </c>
      <c r="C690" s="26"/>
      <c r="D690" s="50"/>
      <c r="E690" s="51"/>
      <c r="F690" s="50"/>
      <c r="G690" s="52"/>
      <c r="H690" s="50"/>
      <c r="I690" s="53"/>
      <c r="J690" s="50"/>
      <c r="K690" s="53"/>
      <c r="L690" s="50"/>
      <c r="M690" s="57"/>
      <c r="N690" s="55"/>
      <c r="O690" s="57"/>
      <c r="P690" s="57"/>
      <c r="Q690" s="59"/>
      <c r="R690" s="57"/>
      <c r="S690" s="57"/>
      <c r="T690" s="59"/>
      <c r="U690" s="57"/>
      <c r="V690" s="57"/>
      <c r="W690" s="59"/>
      <c r="X690" s="57"/>
      <c r="Y690" s="57"/>
      <c r="Z690" s="59"/>
      <c r="AA690" s="57"/>
      <c r="AB690" s="57"/>
      <c r="AC690" s="59"/>
      <c r="AD690" s="57"/>
      <c r="AE690" s="57"/>
      <c r="AF690" s="59"/>
      <c r="AG690" s="57"/>
      <c r="AH690" s="57"/>
      <c r="AI690" s="59"/>
      <c r="AJ690" s="57"/>
      <c r="AK690" s="57"/>
      <c r="AL690" s="59"/>
      <c r="AM690" s="57"/>
      <c r="AN690" s="57"/>
      <c r="AO690" s="59"/>
      <c r="AP690" s="57"/>
      <c r="AQ690" s="59" t="str">
        <f t="shared" si="257"/>
        <v/>
      </c>
      <c r="AR690" s="57"/>
      <c r="AS690" s="57"/>
      <c r="AT690" s="59" t="str">
        <f t="shared" si="258"/>
        <v/>
      </c>
    </row>
    <row r="691" spans="1:46" hidden="1">
      <c r="A691" s="24"/>
      <c r="B691" s="26" t="s">
        <v>46</v>
      </c>
      <c r="C691" s="26" t="s">
        <v>443</v>
      </c>
      <c r="D691" s="50"/>
      <c r="E691" s="51"/>
      <c r="F691" s="50" t="s">
        <v>448</v>
      </c>
      <c r="G691" s="52"/>
      <c r="H691" s="50"/>
      <c r="I691" s="53"/>
      <c r="J691" s="50" t="s">
        <v>448</v>
      </c>
      <c r="K691" s="53"/>
      <c r="L691" s="50"/>
      <c r="M691" s="57"/>
      <c r="N691" s="55"/>
      <c r="O691" s="57"/>
      <c r="P691" s="57"/>
      <c r="Q691" s="59" t="str">
        <f>IF(MIN(IF(ISBLANK(O691),N691,O691),IF(ISBLANK(N691),O691,N691))=0,"",MIN(IF(ISBLANK(O691),N691,O691),IF(ISBLANK(N691),O691,N691)))</f>
        <v/>
      </c>
      <c r="R691" s="57"/>
      <c r="S691" s="57"/>
      <c r="T691" s="59" t="str">
        <f>IF(MIN(IF(ISBLANK(R691),Q691,R691),IF(ISBLANK(Q691),R691,Q691))=0,"",MIN(IF(ISBLANK(R691),Q691,R691),IF(ISBLANK(Q691),R691,Q691)))</f>
        <v/>
      </c>
      <c r="U691" s="57"/>
      <c r="V691" s="57"/>
      <c r="W691" s="59" t="str">
        <f>IF(MIN(IF(ISBLANK(U691),T691,U691),IF(ISBLANK(T691),U691,T691))=0,"",MIN(IF(ISBLANK(U691),T691,U691),IF(ISBLANK(T691),U691,T691)))</f>
        <v/>
      </c>
      <c r="X691" s="57"/>
      <c r="Y691" s="57"/>
      <c r="Z691" s="59" t="str">
        <f t="shared" ref="Z691:Z697" si="275">IF(MIN(IF(ISBLANK(X691),W691,X691),IF(ISBLANK(W691),X691,W691))=0,"",MIN(IF(ISBLANK(X691),W691,X691),IF(ISBLANK(W691),X691,W691)))</f>
        <v/>
      </c>
      <c r="AA691" s="57"/>
      <c r="AB691" s="57"/>
      <c r="AC691" s="59" t="str">
        <f t="shared" ref="AC691:AC697" si="276">IF(MIN(IF(ISBLANK(Z691),AA691,Z691),IF(ISBLANK(AA691),Z691,AA691))=0,"",MIN(IF(ISBLANK(Z691),AA691,Z691),IF(ISBLANK(AA691),Z691,AA691)))</f>
        <v/>
      </c>
      <c r="AD691" s="57"/>
      <c r="AE691" s="57"/>
      <c r="AF691" s="59" t="str">
        <f t="shared" ref="AF691:AF705" si="277">IF(MIN(IF(ISBLANK(AC691),AD691,AC691),IF(ISBLANK(AD691),AC691,AD691))=0,"",MIN(IF(ISBLANK(AC691),AD691,AC691),IF(ISBLANK(AD691),AC691,AD691)))</f>
        <v/>
      </c>
      <c r="AG691" s="57"/>
      <c r="AH691" s="57"/>
      <c r="AI691" s="59" t="str">
        <f t="shared" ref="AI691:AI705" si="278">IF(MIN(IF(ISBLANK(AF691),AG691,AF691),IF(ISBLANK(AG691),AF691,AG691))=0,"",MIN(IF(ISBLANK(AF691),AG691,AF691),IF(ISBLANK(AG691),AF691,AG691)))</f>
        <v/>
      </c>
      <c r="AJ691" s="57"/>
      <c r="AK691" s="57"/>
      <c r="AL691" s="59" t="str">
        <f t="shared" ref="AL691:AL705" si="279">IF(MIN(IF(ISBLANK(AI691),AJ691,AI691),IF(ISBLANK(AJ691),AI691,AJ691))=0,"",MIN(IF(ISBLANK(AI691),AJ691,AI691),IF(ISBLANK(AJ691),AI691,AJ691)))</f>
        <v/>
      </c>
      <c r="AM691" s="57"/>
      <c r="AN691" s="57"/>
      <c r="AO691" s="59" t="str">
        <f t="shared" ref="AO691:AO705" si="280">IF(MIN(IF(ISBLANK(AL691),AM691,AL691),IF(ISBLANK(AM691),AL691,AM691))=0,"",MIN(IF(ISBLANK(AL691),AM691,AL691),IF(ISBLANK(AM691),AL691,AM691)))</f>
        <v/>
      </c>
      <c r="AP691" s="57"/>
      <c r="AQ691" s="59" t="str">
        <f t="shared" si="257"/>
        <v/>
      </c>
      <c r="AR691" s="57"/>
      <c r="AS691" s="57"/>
      <c r="AT691" s="59" t="str">
        <f t="shared" si="258"/>
        <v/>
      </c>
    </row>
    <row r="692" spans="1:46">
      <c r="A692" s="24" t="s">
        <v>792</v>
      </c>
      <c r="B692" s="26" t="s">
        <v>674</v>
      </c>
      <c r="C692" s="26"/>
      <c r="D692" s="50"/>
      <c r="E692" s="51"/>
      <c r="F692" s="50"/>
      <c r="G692" s="52"/>
      <c r="H692" s="50"/>
      <c r="I692" s="53"/>
      <c r="J692" s="50"/>
      <c r="K692" s="53"/>
      <c r="L692" s="50"/>
      <c r="M692" s="57"/>
      <c r="N692" s="55"/>
      <c r="O692" s="57"/>
      <c r="P692" s="57"/>
      <c r="Q692" s="59"/>
      <c r="R692" s="57"/>
      <c r="S692" s="57"/>
      <c r="T692" s="59"/>
      <c r="U692" s="57"/>
      <c r="V692" s="57"/>
      <c r="W692" s="59"/>
      <c r="X692" s="57"/>
      <c r="Y692" s="57"/>
      <c r="Z692" s="59" t="str">
        <f t="shared" si="275"/>
        <v/>
      </c>
      <c r="AA692" s="57">
        <v>6.5162037037037037E-3</v>
      </c>
      <c r="AB692" s="57"/>
      <c r="AC692" s="59">
        <f t="shared" si="276"/>
        <v>6.5162037037037037E-3</v>
      </c>
      <c r="AD692" s="57"/>
      <c r="AE692" s="57"/>
      <c r="AF692" s="59">
        <f t="shared" si="277"/>
        <v>6.5162037037037037E-3</v>
      </c>
      <c r="AG692" s="57"/>
      <c r="AH692" s="57"/>
      <c r="AI692" s="59">
        <f t="shared" si="278"/>
        <v>6.5162037037037037E-3</v>
      </c>
      <c r="AJ692" s="57"/>
      <c r="AK692" s="57"/>
      <c r="AL692" s="59">
        <f t="shared" si="279"/>
        <v>6.5162037037037037E-3</v>
      </c>
      <c r="AM692" s="57"/>
      <c r="AN692" s="57"/>
      <c r="AO692" s="59">
        <f t="shared" si="280"/>
        <v>6.5162037037037037E-3</v>
      </c>
      <c r="AP692" s="57"/>
      <c r="AQ692" s="59">
        <f t="shared" si="257"/>
        <v>6.5162037037037037E-3</v>
      </c>
      <c r="AR692" s="57"/>
      <c r="AS692" s="57"/>
      <c r="AT692" s="59">
        <f t="shared" si="258"/>
        <v>6.5162037037037037E-3</v>
      </c>
    </row>
    <row r="693" spans="1:46" hidden="1">
      <c r="A693" s="24"/>
      <c r="B693" s="26" t="s">
        <v>465</v>
      </c>
      <c r="C693" s="26" t="s">
        <v>443</v>
      </c>
      <c r="D693" s="50"/>
      <c r="E693" s="51"/>
      <c r="F693" s="50"/>
      <c r="G693" s="52"/>
      <c r="H693" s="50"/>
      <c r="I693" s="53"/>
      <c r="J693" s="50"/>
      <c r="K693" s="53"/>
      <c r="L693" s="50"/>
      <c r="M693" s="57"/>
      <c r="N693" s="55"/>
      <c r="O693" s="57"/>
      <c r="P693" s="57"/>
      <c r="Q693" s="59" t="str">
        <f>IF(MIN(IF(ISBLANK(O693),N693,O693),IF(ISBLANK(N693),O693,N693))=0,"",MIN(IF(ISBLANK(O693),N693,O693),IF(ISBLANK(N693),O693,N693)))</f>
        <v/>
      </c>
      <c r="R693" s="57"/>
      <c r="S693" s="57"/>
      <c r="T693" s="59" t="str">
        <f>IF(MIN(IF(ISBLANK(R693),Q693,R693),IF(ISBLANK(Q693),R693,Q693))=0,"",MIN(IF(ISBLANK(R693),Q693,R693),IF(ISBLANK(Q693),R693,Q693)))</f>
        <v/>
      </c>
      <c r="U693" s="57"/>
      <c r="V693" s="57"/>
      <c r="W693" s="59" t="str">
        <f>IF(MIN(IF(ISBLANK(U693),T693,U693),IF(ISBLANK(T693),U693,T693))=0,"",MIN(IF(ISBLANK(U693),T693,U693),IF(ISBLANK(T693),U693,T693)))</f>
        <v/>
      </c>
      <c r="X693" s="57"/>
      <c r="Y693" s="57"/>
      <c r="Z693" s="59" t="str">
        <f t="shared" si="275"/>
        <v/>
      </c>
      <c r="AA693" s="57"/>
      <c r="AB693" s="57"/>
      <c r="AC693" s="59" t="str">
        <f t="shared" si="276"/>
        <v/>
      </c>
      <c r="AD693" s="57"/>
      <c r="AE693" s="57"/>
      <c r="AF693" s="59" t="str">
        <f t="shared" si="277"/>
        <v/>
      </c>
      <c r="AG693" s="57"/>
      <c r="AH693" s="57"/>
      <c r="AI693" s="59" t="str">
        <f t="shared" si="278"/>
        <v/>
      </c>
      <c r="AJ693" s="57"/>
      <c r="AK693" s="57"/>
      <c r="AL693" s="59" t="str">
        <f t="shared" si="279"/>
        <v/>
      </c>
      <c r="AM693" s="57"/>
      <c r="AN693" s="57"/>
      <c r="AO693" s="59" t="str">
        <f t="shared" si="280"/>
        <v/>
      </c>
      <c r="AP693" s="57"/>
      <c r="AQ693" s="59" t="str">
        <f t="shared" si="257"/>
        <v/>
      </c>
      <c r="AR693" s="57"/>
      <c r="AS693" s="57"/>
      <c r="AT693" s="59" t="str">
        <f t="shared" si="258"/>
        <v/>
      </c>
    </row>
    <row r="694" spans="1:46" hidden="1">
      <c r="A694" s="24"/>
      <c r="B694" s="26" t="s">
        <v>52</v>
      </c>
      <c r="C694" s="26" t="s">
        <v>443</v>
      </c>
      <c r="D694" s="50">
        <v>6.03</v>
      </c>
      <c r="E694" s="51" t="s">
        <v>320</v>
      </c>
      <c r="F694" s="50">
        <v>6.03</v>
      </c>
      <c r="G694" s="52">
        <v>6.01</v>
      </c>
      <c r="H694" s="50">
        <v>6.01</v>
      </c>
      <c r="I694" s="53">
        <v>6.11</v>
      </c>
      <c r="J694" s="50">
        <v>6.01</v>
      </c>
      <c r="K694" s="53">
        <v>6.16</v>
      </c>
      <c r="L694" s="50">
        <v>6.01</v>
      </c>
      <c r="M694" s="57">
        <v>4.7685185185185183E-3</v>
      </c>
      <c r="N694" s="55">
        <v>4.1782407407407402E-3</v>
      </c>
      <c r="O694" s="57"/>
      <c r="P694" s="57"/>
      <c r="Q694" s="59">
        <f>IF(MIN(IF(ISBLANK(O694),N694,O694),IF(ISBLANK(N694),O694,N694))=0,"",MIN(IF(ISBLANK(O694),N694,O694),IF(ISBLANK(N694),O694,N694)))</f>
        <v>4.1782407407407402E-3</v>
      </c>
      <c r="R694" s="57">
        <v>4.2939814814814811E-3</v>
      </c>
      <c r="S694" s="57"/>
      <c r="T694" s="59">
        <f>IF(MIN(IF(ISBLANK(R694),Q694,R694),IF(ISBLANK(Q694),R694,Q694))=0,"",MIN(IF(ISBLANK(R694),Q694,R694),IF(ISBLANK(Q694),R694,Q694)))</f>
        <v>4.1782407407407402E-3</v>
      </c>
      <c r="U694" s="57">
        <v>4.6064814814814814E-3</v>
      </c>
      <c r="V694" s="57"/>
      <c r="W694" s="59">
        <f>IF(MIN(IF(ISBLANK(U694),T694,U694),IF(ISBLANK(T694),U694,T694))=0,"",MIN(IF(ISBLANK(U694),T694,U694),IF(ISBLANK(T694),U694,T694)))</f>
        <v>4.1782407407407402E-3</v>
      </c>
      <c r="X694" s="57"/>
      <c r="Y694" s="57"/>
      <c r="Z694" s="59">
        <f t="shared" si="275"/>
        <v>4.1782407407407402E-3</v>
      </c>
      <c r="AA694" s="57"/>
      <c r="AB694" s="57"/>
      <c r="AC694" s="59">
        <f t="shared" si="276"/>
        <v>4.1782407407407402E-3</v>
      </c>
      <c r="AD694" s="57">
        <v>4.5254629629629629E-3</v>
      </c>
      <c r="AE694" s="57"/>
      <c r="AF694" s="59">
        <f t="shared" si="277"/>
        <v>4.1782407407407402E-3</v>
      </c>
      <c r="AG694" s="57">
        <v>4.5023148148148149E-3</v>
      </c>
      <c r="AH694" s="57"/>
      <c r="AI694" s="59">
        <f t="shared" si="278"/>
        <v>4.1782407407407402E-3</v>
      </c>
      <c r="AJ694" s="57">
        <v>4.5370370370370365E-3</v>
      </c>
      <c r="AK694" s="57"/>
      <c r="AL694" s="59">
        <f t="shared" si="279"/>
        <v>4.1782407407407402E-3</v>
      </c>
      <c r="AM694" s="57"/>
      <c r="AN694" s="57"/>
      <c r="AO694" s="59">
        <f t="shared" si="280"/>
        <v>4.1782407407407402E-3</v>
      </c>
      <c r="AP694" s="57"/>
      <c r="AQ694" s="59">
        <f t="shared" si="257"/>
        <v>4.1782407407407402E-3</v>
      </c>
      <c r="AR694" s="57"/>
      <c r="AS694" s="57"/>
      <c r="AT694" s="59">
        <f t="shared" si="258"/>
        <v>4.1782407407407402E-3</v>
      </c>
    </row>
    <row r="695" spans="1:46" hidden="1">
      <c r="A695" s="24"/>
      <c r="B695" s="26" t="s">
        <v>57</v>
      </c>
      <c r="C695" s="26" t="s">
        <v>443</v>
      </c>
      <c r="D695" s="50">
        <v>13.11</v>
      </c>
      <c r="E695" s="51"/>
      <c r="F695" s="50">
        <v>13.11</v>
      </c>
      <c r="G695" s="52"/>
      <c r="H695" s="50">
        <v>13.11</v>
      </c>
      <c r="I695" s="53"/>
      <c r="J695" s="50">
        <v>13.11</v>
      </c>
      <c r="K695" s="53"/>
      <c r="L695" s="50">
        <v>13.11</v>
      </c>
      <c r="M695" s="57"/>
      <c r="N695" s="55">
        <v>9.1550925925925931E-3</v>
      </c>
      <c r="O695" s="57"/>
      <c r="P695" s="57"/>
      <c r="Q695" s="59">
        <f>IF(MIN(IF(ISBLANK(O695),N695,O695),IF(ISBLANK(N695),O695,N695))=0,"",MIN(IF(ISBLANK(O695),N695,O695),IF(ISBLANK(N695),O695,N695)))</f>
        <v>9.1550925925925931E-3</v>
      </c>
      <c r="R695" s="57"/>
      <c r="S695" s="57"/>
      <c r="T695" s="59">
        <f>IF(MIN(IF(ISBLANK(R695),Q695,R695),IF(ISBLANK(Q695),R695,Q695))=0,"",MIN(IF(ISBLANK(R695),Q695,R695),IF(ISBLANK(Q695),R695,Q695)))</f>
        <v>9.1550925925925931E-3</v>
      </c>
      <c r="U695" s="57"/>
      <c r="V695" s="57"/>
      <c r="W695" s="59">
        <f>IF(MIN(IF(ISBLANK(U695),T695,U695),IF(ISBLANK(T695),U695,T695))=0,"",MIN(IF(ISBLANK(U695),T695,U695),IF(ISBLANK(T695),U695,T695)))</f>
        <v>9.1550925925925931E-3</v>
      </c>
      <c r="X695" s="57"/>
      <c r="Y695" s="57"/>
      <c r="Z695" s="59">
        <f t="shared" si="275"/>
        <v>9.1550925925925931E-3</v>
      </c>
      <c r="AA695" s="57"/>
      <c r="AB695" s="57"/>
      <c r="AC695" s="59">
        <f t="shared" si="276"/>
        <v>9.1550925925925931E-3</v>
      </c>
      <c r="AD695" s="57"/>
      <c r="AE695" s="57"/>
      <c r="AF695" s="59">
        <f t="shared" si="277"/>
        <v>9.1550925925925931E-3</v>
      </c>
      <c r="AG695" s="57"/>
      <c r="AH695" s="57"/>
      <c r="AI695" s="59">
        <f t="shared" si="278"/>
        <v>9.1550925925925931E-3</v>
      </c>
      <c r="AJ695" s="57"/>
      <c r="AK695" s="57"/>
      <c r="AL695" s="59">
        <f t="shared" si="279"/>
        <v>9.1550925925925931E-3</v>
      </c>
      <c r="AM695" s="57"/>
      <c r="AN695" s="57"/>
      <c r="AO695" s="59">
        <f t="shared" si="280"/>
        <v>9.1550925925925931E-3</v>
      </c>
      <c r="AP695" s="57"/>
      <c r="AQ695" s="59">
        <f t="shared" si="257"/>
        <v>9.1550925925925931E-3</v>
      </c>
      <c r="AR695" s="57"/>
      <c r="AS695" s="57"/>
      <c r="AT695" s="59">
        <f t="shared" si="258"/>
        <v>9.1550925925925931E-3</v>
      </c>
    </row>
    <row r="696" spans="1:46" hidden="1">
      <c r="A696" s="24"/>
      <c r="B696" s="26" t="s">
        <v>62</v>
      </c>
      <c r="C696" s="26" t="s">
        <v>443</v>
      </c>
      <c r="D696" s="50"/>
      <c r="E696" s="51"/>
      <c r="F696" s="50" t="s">
        <v>448</v>
      </c>
      <c r="G696" s="52"/>
      <c r="H696" s="50"/>
      <c r="I696" s="53"/>
      <c r="J696" s="50" t="s">
        <v>448</v>
      </c>
      <c r="K696" s="53"/>
      <c r="L696" s="50"/>
      <c r="M696" s="57"/>
      <c r="N696" s="55"/>
      <c r="O696" s="57"/>
      <c r="P696" s="57"/>
      <c r="Q696" s="59" t="str">
        <f>IF(MIN(IF(ISBLANK(O696),N696,O696),IF(ISBLANK(N696),O696,N696))=0,"",MIN(IF(ISBLANK(O696),N696,O696),IF(ISBLANK(N696),O696,N696)))</f>
        <v/>
      </c>
      <c r="R696" s="57"/>
      <c r="S696" s="57"/>
      <c r="T696" s="59" t="str">
        <f>IF(MIN(IF(ISBLANK(R696),Q696,R696),IF(ISBLANK(Q696),R696,Q696))=0,"",MIN(IF(ISBLANK(R696),Q696,R696),IF(ISBLANK(Q696),R696,Q696)))</f>
        <v/>
      </c>
      <c r="U696" s="57"/>
      <c r="V696" s="57"/>
      <c r="W696" s="59" t="str">
        <f>IF(MIN(IF(ISBLANK(U696),T696,U696),IF(ISBLANK(T696),U696,T696))=0,"",MIN(IF(ISBLANK(U696),T696,U696),IF(ISBLANK(T696),U696,T696)))</f>
        <v/>
      </c>
      <c r="X696" s="57"/>
      <c r="Y696" s="57"/>
      <c r="Z696" s="59" t="str">
        <f t="shared" si="275"/>
        <v/>
      </c>
      <c r="AA696" s="57"/>
      <c r="AB696" s="57"/>
      <c r="AC696" s="59" t="str">
        <f t="shared" si="276"/>
        <v/>
      </c>
      <c r="AD696" s="57"/>
      <c r="AE696" s="57"/>
      <c r="AF696" s="59" t="str">
        <f t="shared" si="277"/>
        <v/>
      </c>
      <c r="AG696" s="57"/>
      <c r="AH696" s="57"/>
      <c r="AI696" s="59" t="str">
        <f t="shared" si="278"/>
        <v/>
      </c>
      <c r="AJ696" s="57"/>
      <c r="AK696" s="57"/>
      <c r="AL696" s="59" t="str">
        <f t="shared" si="279"/>
        <v/>
      </c>
      <c r="AM696" s="57"/>
      <c r="AN696" s="57"/>
      <c r="AO696" s="59" t="str">
        <f t="shared" si="280"/>
        <v/>
      </c>
      <c r="AP696" s="57"/>
      <c r="AQ696" s="59" t="str">
        <f t="shared" si="257"/>
        <v/>
      </c>
      <c r="AR696" s="57"/>
      <c r="AS696" s="57"/>
      <c r="AT696" s="59" t="str">
        <f t="shared" si="258"/>
        <v/>
      </c>
    </row>
    <row r="697" spans="1:46" hidden="1">
      <c r="A697" s="24"/>
      <c r="B697" s="26" t="s">
        <v>496</v>
      </c>
      <c r="C697" s="26"/>
      <c r="D697" s="50"/>
      <c r="E697" s="51"/>
      <c r="F697" s="50"/>
      <c r="G697" s="52"/>
      <c r="H697" s="50"/>
      <c r="I697" s="53"/>
      <c r="J697" s="50"/>
      <c r="K697" s="53"/>
      <c r="L697" s="50"/>
      <c r="M697" s="57">
        <v>6.5624999999999998E-3</v>
      </c>
      <c r="N697" s="55">
        <v>6.5624999999999998E-3</v>
      </c>
      <c r="O697" s="57">
        <v>5.7754629629629623E-3</v>
      </c>
      <c r="P697" s="57"/>
      <c r="Q697" s="59">
        <f>IF(MIN(IF(ISBLANK(O697),N697,O697),IF(ISBLANK(N697),O697,N697))=0,"",MIN(IF(ISBLANK(O697),N697,O697),IF(ISBLANK(N697),O697,N697)))</f>
        <v>5.7754629629629623E-3</v>
      </c>
      <c r="R697" s="57">
        <v>6.5972222222222222E-3</v>
      </c>
      <c r="S697" s="57"/>
      <c r="T697" s="59">
        <f>IF(MIN(IF(ISBLANK(R697),Q697,R697),IF(ISBLANK(Q697),R697,Q697))=0,"",MIN(IF(ISBLANK(R697),Q697,R697),IF(ISBLANK(Q697),R697,Q697)))</f>
        <v>5.7754629629629623E-3</v>
      </c>
      <c r="U697" s="57"/>
      <c r="V697" s="57"/>
      <c r="W697" s="59">
        <f>IF(MIN(IF(ISBLANK(U697),T697,U697),IF(ISBLANK(T697),U697,T697))=0,"",MIN(IF(ISBLANK(U697),T697,U697),IF(ISBLANK(T697),U697,T697)))</f>
        <v>5.7754629629629623E-3</v>
      </c>
      <c r="X697" s="57"/>
      <c r="Y697" s="57"/>
      <c r="Z697" s="59">
        <f t="shared" si="275"/>
        <v>5.7754629629629623E-3</v>
      </c>
      <c r="AA697" s="57"/>
      <c r="AB697" s="57"/>
      <c r="AC697" s="59">
        <f t="shared" si="276"/>
        <v>5.7754629629629623E-3</v>
      </c>
      <c r="AD697" s="57"/>
      <c r="AE697" s="57"/>
      <c r="AF697" s="59">
        <f t="shared" si="277"/>
        <v>5.7754629629629623E-3</v>
      </c>
      <c r="AG697" s="57"/>
      <c r="AH697" s="57"/>
      <c r="AI697" s="59">
        <f t="shared" si="278"/>
        <v>5.7754629629629623E-3</v>
      </c>
      <c r="AJ697" s="57"/>
      <c r="AK697" s="57"/>
      <c r="AL697" s="59">
        <f t="shared" si="279"/>
        <v>5.7754629629629623E-3</v>
      </c>
      <c r="AM697" s="57"/>
      <c r="AN697" s="57"/>
      <c r="AO697" s="59">
        <f t="shared" si="280"/>
        <v>5.7754629629629623E-3</v>
      </c>
      <c r="AP697" s="57"/>
      <c r="AQ697" s="59">
        <f t="shared" si="257"/>
        <v>5.7754629629629623E-3</v>
      </c>
      <c r="AR697" s="57"/>
      <c r="AS697" s="57"/>
      <c r="AT697" s="59">
        <f t="shared" si="258"/>
        <v>5.7754629629629623E-3</v>
      </c>
    </row>
    <row r="698" spans="1:46" hidden="1">
      <c r="A698" s="24"/>
      <c r="B698" s="26" t="s">
        <v>746</v>
      </c>
      <c r="C698" s="26"/>
      <c r="D698" s="50"/>
      <c r="E698" s="51"/>
      <c r="F698" s="50"/>
      <c r="G698" s="52"/>
      <c r="H698" s="50"/>
      <c r="I698" s="53"/>
      <c r="J698" s="50"/>
      <c r="K698" s="53"/>
      <c r="L698" s="50"/>
      <c r="M698" s="57"/>
      <c r="N698" s="55"/>
      <c r="O698" s="57"/>
      <c r="P698" s="57"/>
      <c r="Q698" s="59"/>
      <c r="R698" s="57"/>
      <c r="S698" s="57"/>
      <c r="T698" s="59"/>
      <c r="U698" s="57"/>
      <c r="V698" s="57"/>
      <c r="W698" s="59"/>
      <c r="X698" s="57"/>
      <c r="Y698" s="57"/>
      <c r="Z698" s="59"/>
      <c r="AA698" s="57"/>
      <c r="AB698" s="57"/>
      <c r="AC698" s="59"/>
      <c r="AD698" s="57"/>
      <c r="AE698" s="57"/>
      <c r="AF698" s="59" t="str">
        <f t="shared" si="277"/>
        <v/>
      </c>
      <c r="AG698" s="57"/>
      <c r="AH698" s="57"/>
      <c r="AI698" s="59" t="str">
        <f t="shared" si="278"/>
        <v/>
      </c>
      <c r="AJ698" s="57"/>
      <c r="AK698" s="57"/>
      <c r="AL698" s="59" t="str">
        <f t="shared" si="279"/>
        <v/>
      </c>
      <c r="AM698" s="57"/>
      <c r="AN698" s="57"/>
      <c r="AO698" s="59" t="str">
        <f t="shared" si="280"/>
        <v/>
      </c>
      <c r="AP698" s="57"/>
      <c r="AQ698" s="59" t="str">
        <f t="shared" si="257"/>
        <v/>
      </c>
      <c r="AR698" s="57"/>
      <c r="AS698" s="57"/>
      <c r="AT698" s="59" t="str">
        <f t="shared" si="258"/>
        <v/>
      </c>
    </row>
    <row r="699" spans="1:46" hidden="1">
      <c r="A699" s="24"/>
      <c r="B699" s="26" t="s">
        <v>68</v>
      </c>
      <c r="C699" s="26"/>
      <c r="D699" s="50">
        <v>10.25</v>
      </c>
      <c r="E699" s="51"/>
      <c r="F699" s="50">
        <v>10.25</v>
      </c>
      <c r="G699" s="52"/>
      <c r="H699" s="50">
        <v>10.25</v>
      </c>
      <c r="I699" s="53"/>
      <c r="J699" s="50">
        <v>10.25</v>
      </c>
      <c r="K699" s="53"/>
      <c r="L699" s="50">
        <v>10.25</v>
      </c>
      <c r="M699" s="57"/>
      <c r="N699" s="55">
        <v>7.2337962962962963E-3</v>
      </c>
      <c r="O699" s="57"/>
      <c r="P699" s="57"/>
      <c r="Q699" s="59">
        <f>IF(MIN(IF(ISBLANK(O699),N699,O699),IF(ISBLANK(N699),O699,N699))=0,"",MIN(IF(ISBLANK(O699),N699,O699),IF(ISBLANK(N699),O699,N699)))</f>
        <v>7.2337962962962963E-3</v>
      </c>
      <c r="R699" s="57"/>
      <c r="S699" s="57"/>
      <c r="T699" s="59">
        <f t="shared" ref="T699:T705" si="281">IF(MIN(IF(ISBLANK(R699),Q699,R699),IF(ISBLANK(Q699),R699,Q699))=0,"",MIN(IF(ISBLANK(R699),Q699,R699),IF(ISBLANK(Q699),R699,Q699)))</f>
        <v>7.2337962962962963E-3</v>
      </c>
      <c r="U699" s="57"/>
      <c r="V699" s="57"/>
      <c r="W699" s="59">
        <f t="shared" ref="W699:W705" si="282">IF(MIN(IF(ISBLANK(U699),T699,U699),IF(ISBLANK(T699),U699,T699))=0,"",MIN(IF(ISBLANK(U699),T699,U699),IF(ISBLANK(T699),U699,T699)))</f>
        <v>7.2337962962962963E-3</v>
      </c>
      <c r="X699" s="57"/>
      <c r="Y699" s="57"/>
      <c r="Z699" s="59">
        <f t="shared" ref="Z699:Z705" si="283">IF(MIN(IF(ISBLANK(X699),W699,X699),IF(ISBLANK(W699),X699,W699))=0,"",MIN(IF(ISBLANK(X699),W699,X699),IF(ISBLANK(W699),X699,W699)))</f>
        <v>7.2337962962962963E-3</v>
      </c>
      <c r="AA699" s="57"/>
      <c r="AB699" s="57"/>
      <c r="AC699" s="59">
        <f t="shared" ref="AC699:AC705" si="284">IF(MIN(IF(ISBLANK(Z699),AA699,Z699),IF(ISBLANK(AA699),Z699,AA699))=0,"",MIN(IF(ISBLANK(Z699),AA699,Z699),IF(ISBLANK(AA699),Z699,AA699)))</f>
        <v>7.2337962962962963E-3</v>
      </c>
      <c r="AD699" s="57"/>
      <c r="AE699" s="57"/>
      <c r="AF699" s="59">
        <f t="shared" si="277"/>
        <v>7.2337962962962963E-3</v>
      </c>
      <c r="AG699" s="57"/>
      <c r="AH699" s="57"/>
      <c r="AI699" s="59">
        <f t="shared" si="278"/>
        <v>7.2337962962962963E-3</v>
      </c>
      <c r="AJ699" s="57"/>
      <c r="AK699" s="57"/>
      <c r="AL699" s="59">
        <f t="shared" si="279"/>
        <v>7.2337962962962963E-3</v>
      </c>
      <c r="AM699" s="57"/>
      <c r="AN699" s="57"/>
      <c r="AO699" s="59">
        <f t="shared" si="280"/>
        <v>7.2337962962962963E-3</v>
      </c>
      <c r="AP699" s="57"/>
      <c r="AQ699" s="59">
        <f t="shared" si="257"/>
        <v>7.2337962962962963E-3</v>
      </c>
      <c r="AR699" s="57"/>
      <c r="AS699" s="57"/>
      <c r="AT699" s="59">
        <f t="shared" si="258"/>
        <v>7.2337962962962963E-3</v>
      </c>
    </row>
    <row r="700" spans="1:46" hidden="1">
      <c r="A700" s="24"/>
      <c r="B700" s="26" t="s">
        <v>73</v>
      </c>
      <c r="C700" s="26"/>
      <c r="D700" s="50">
        <v>8.56</v>
      </c>
      <c r="E700" s="51"/>
      <c r="F700" s="50">
        <v>8.56</v>
      </c>
      <c r="G700" s="52"/>
      <c r="H700" s="50">
        <v>8.56</v>
      </c>
      <c r="I700" s="53"/>
      <c r="J700" s="50">
        <v>8.56</v>
      </c>
      <c r="K700" s="53"/>
      <c r="L700" s="50">
        <v>8.56</v>
      </c>
      <c r="M700" s="57"/>
      <c r="N700" s="55">
        <v>6.2037037037037043E-3</v>
      </c>
      <c r="O700" s="57"/>
      <c r="P700" s="57"/>
      <c r="Q700" s="59">
        <f>IF(MIN(IF(ISBLANK(O700),N700,O700),IF(ISBLANK(N700),O700,N700))=0,"",MIN(IF(ISBLANK(O700),N700,O700),IF(ISBLANK(N700),O700,N700)))</f>
        <v>6.2037037037037043E-3</v>
      </c>
      <c r="R700" s="57"/>
      <c r="S700" s="57"/>
      <c r="T700" s="59">
        <f t="shared" si="281"/>
        <v>6.2037037037037043E-3</v>
      </c>
      <c r="U700" s="57"/>
      <c r="V700" s="57"/>
      <c r="W700" s="59">
        <f t="shared" si="282"/>
        <v>6.2037037037037043E-3</v>
      </c>
      <c r="X700" s="57"/>
      <c r="Y700" s="57"/>
      <c r="Z700" s="59">
        <f t="shared" si="283"/>
        <v>6.2037037037037043E-3</v>
      </c>
      <c r="AA700" s="57"/>
      <c r="AB700" s="57"/>
      <c r="AC700" s="59">
        <f t="shared" si="284"/>
        <v>6.2037037037037043E-3</v>
      </c>
      <c r="AD700" s="57"/>
      <c r="AE700" s="57"/>
      <c r="AF700" s="59">
        <f t="shared" si="277"/>
        <v>6.2037037037037043E-3</v>
      </c>
      <c r="AG700" s="57"/>
      <c r="AH700" s="57"/>
      <c r="AI700" s="59">
        <f t="shared" si="278"/>
        <v>6.2037037037037043E-3</v>
      </c>
      <c r="AJ700" s="57"/>
      <c r="AK700" s="57"/>
      <c r="AL700" s="59">
        <f t="shared" si="279"/>
        <v>6.2037037037037043E-3</v>
      </c>
      <c r="AM700" s="57"/>
      <c r="AN700" s="57"/>
      <c r="AO700" s="59">
        <f t="shared" si="280"/>
        <v>6.2037037037037043E-3</v>
      </c>
      <c r="AP700" s="57"/>
      <c r="AQ700" s="59">
        <f t="shared" si="257"/>
        <v>6.2037037037037043E-3</v>
      </c>
      <c r="AR700" s="57"/>
      <c r="AS700" s="57"/>
      <c r="AT700" s="59">
        <f t="shared" si="258"/>
        <v>6.2037037037037043E-3</v>
      </c>
    </row>
    <row r="701" spans="1:46" hidden="1">
      <c r="A701" s="24"/>
      <c r="B701" s="26" t="s">
        <v>535</v>
      </c>
      <c r="C701" s="26"/>
      <c r="D701" s="50"/>
      <c r="E701" s="51"/>
      <c r="F701" s="50"/>
      <c r="G701" s="52"/>
      <c r="H701" s="50"/>
      <c r="I701" s="53"/>
      <c r="J701" s="50"/>
      <c r="K701" s="53"/>
      <c r="L701" s="50"/>
      <c r="M701" s="57"/>
      <c r="N701" s="55"/>
      <c r="O701" s="57"/>
      <c r="P701" s="57"/>
      <c r="Q701" s="59" t="str">
        <f>IF(MIN(IF(ISBLANK(O701),N701,O701),IF(ISBLANK(N701),O701,N701))=0,"",MIN(IF(ISBLANK(O701),N701,O701),IF(ISBLANK(N701),O701,N701)))</f>
        <v/>
      </c>
      <c r="R701" s="57"/>
      <c r="S701" s="57"/>
      <c r="T701" s="59" t="str">
        <f t="shared" si="281"/>
        <v/>
      </c>
      <c r="U701" s="57"/>
      <c r="V701" s="57"/>
      <c r="W701" s="59" t="str">
        <f t="shared" si="282"/>
        <v/>
      </c>
      <c r="X701" s="57"/>
      <c r="Y701" s="57"/>
      <c r="Z701" s="59" t="str">
        <f t="shared" si="283"/>
        <v/>
      </c>
      <c r="AA701" s="57"/>
      <c r="AB701" s="57"/>
      <c r="AC701" s="59" t="str">
        <f t="shared" si="284"/>
        <v/>
      </c>
      <c r="AD701" s="57"/>
      <c r="AE701" s="57"/>
      <c r="AF701" s="59" t="str">
        <f t="shared" si="277"/>
        <v/>
      </c>
      <c r="AG701" s="57"/>
      <c r="AH701" s="57"/>
      <c r="AI701" s="59" t="str">
        <f t="shared" si="278"/>
        <v/>
      </c>
      <c r="AJ701" s="57"/>
      <c r="AK701" s="57"/>
      <c r="AL701" s="59" t="str">
        <f t="shared" si="279"/>
        <v/>
      </c>
      <c r="AM701" s="57"/>
      <c r="AN701" s="57"/>
      <c r="AO701" s="59" t="str">
        <f t="shared" si="280"/>
        <v/>
      </c>
      <c r="AP701" s="57"/>
      <c r="AQ701" s="59" t="str">
        <f t="shared" si="257"/>
        <v/>
      </c>
      <c r="AR701" s="57"/>
      <c r="AS701" s="57"/>
      <c r="AT701" s="59" t="str">
        <f t="shared" si="258"/>
        <v/>
      </c>
    </row>
    <row r="702" spans="1:46" hidden="1">
      <c r="A702" s="24"/>
      <c r="B702" s="26" t="s">
        <v>591</v>
      </c>
      <c r="C702" s="26"/>
      <c r="D702" s="50"/>
      <c r="E702" s="51"/>
      <c r="F702" s="50"/>
      <c r="G702" s="52"/>
      <c r="H702" s="50"/>
      <c r="I702" s="53"/>
      <c r="J702" s="50"/>
      <c r="K702" s="53"/>
      <c r="L702" s="50"/>
      <c r="M702" s="57"/>
      <c r="N702" s="55"/>
      <c r="O702" s="57"/>
      <c r="P702" s="57"/>
      <c r="Q702" s="59"/>
      <c r="R702" s="57"/>
      <c r="S702" s="57"/>
      <c r="T702" s="59" t="str">
        <f t="shared" si="281"/>
        <v/>
      </c>
      <c r="U702" s="57">
        <v>6.2499999999999995E-3</v>
      </c>
      <c r="V702" s="57"/>
      <c r="W702" s="59">
        <f t="shared" si="282"/>
        <v>6.2499999999999995E-3</v>
      </c>
      <c r="X702" s="57"/>
      <c r="Y702" s="57"/>
      <c r="Z702" s="59">
        <f t="shared" si="283"/>
        <v>6.2499999999999995E-3</v>
      </c>
      <c r="AA702" s="57"/>
      <c r="AB702" s="57"/>
      <c r="AC702" s="59">
        <f t="shared" si="284"/>
        <v>6.2499999999999995E-3</v>
      </c>
      <c r="AD702" s="57"/>
      <c r="AE702" s="57"/>
      <c r="AF702" s="59">
        <f t="shared" si="277"/>
        <v>6.2499999999999995E-3</v>
      </c>
      <c r="AG702" s="57"/>
      <c r="AH702" s="57"/>
      <c r="AI702" s="59">
        <f t="shared" si="278"/>
        <v>6.2499999999999995E-3</v>
      </c>
      <c r="AJ702" s="57"/>
      <c r="AK702" s="57"/>
      <c r="AL702" s="59">
        <f t="shared" si="279"/>
        <v>6.2499999999999995E-3</v>
      </c>
      <c r="AM702" s="57"/>
      <c r="AN702" s="57"/>
      <c r="AO702" s="59">
        <f t="shared" si="280"/>
        <v>6.2499999999999995E-3</v>
      </c>
      <c r="AP702" s="57"/>
      <c r="AQ702" s="59">
        <f t="shared" si="257"/>
        <v>6.2499999999999995E-3</v>
      </c>
      <c r="AR702" s="57"/>
      <c r="AS702" s="57"/>
      <c r="AT702" s="59">
        <f t="shared" si="258"/>
        <v>6.2499999999999995E-3</v>
      </c>
    </row>
    <row r="703" spans="1:46" hidden="1">
      <c r="A703" s="24"/>
      <c r="B703" s="26" t="s">
        <v>80</v>
      </c>
      <c r="C703" s="26" t="s">
        <v>444</v>
      </c>
      <c r="D703" s="50" t="s">
        <v>223</v>
      </c>
      <c r="E703" s="51"/>
      <c r="F703" s="50" t="s">
        <v>223</v>
      </c>
      <c r="G703" s="52"/>
      <c r="H703" s="50" t="s">
        <v>223</v>
      </c>
      <c r="I703" s="53"/>
      <c r="J703" s="50" t="s">
        <v>223</v>
      </c>
      <c r="K703" s="53"/>
      <c r="L703" s="50" t="s">
        <v>223</v>
      </c>
      <c r="M703" s="57"/>
      <c r="N703" s="55">
        <v>7.8703703703703713E-3</v>
      </c>
      <c r="O703" s="57"/>
      <c r="P703" s="57"/>
      <c r="Q703" s="59">
        <f>IF(MIN(IF(ISBLANK(O703),N703,O703),IF(ISBLANK(N703),O703,N703))=0,"",MIN(IF(ISBLANK(O703),N703,O703),IF(ISBLANK(N703),O703,N703)))</f>
        <v>7.8703703703703713E-3</v>
      </c>
      <c r="R703" s="57"/>
      <c r="S703" s="57"/>
      <c r="T703" s="59">
        <f t="shared" si="281"/>
        <v>7.8703703703703713E-3</v>
      </c>
      <c r="U703" s="57"/>
      <c r="V703" s="57"/>
      <c r="W703" s="59">
        <f t="shared" si="282"/>
        <v>7.8703703703703713E-3</v>
      </c>
      <c r="X703" s="57"/>
      <c r="Y703" s="57"/>
      <c r="Z703" s="59">
        <f t="shared" si="283"/>
        <v>7.8703703703703713E-3</v>
      </c>
      <c r="AA703" s="57"/>
      <c r="AB703" s="57"/>
      <c r="AC703" s="59">
        <f t="shared" si="284"/>
        <v>7.8703703703703713E-3</v>
      </c>
      <c r="AD703" s="57"/>
      <c r="AE703" s="57"/>
      <c r="AF703" s="59">
        <f t="shared" si="277"/>
        <v>7.8703703703703713E-3</v>
      </c>
      <c r="AG703" s="57"/>
      <c r="AH703" s="57"/>
      <c r="AI703" s="59">
        <f t="shared" si="278"/>
        <v>7.8703703703703713E-3</v>
      </c>
      <c r="AJ703" s="57"/>
      <c r="AK703" s="57"/>
      <c r="AL703" s="59">
        <f t="shared" si="279"/>
        <v>7.8703703703703713E-3</v>
      </c>
      <c r="AM703" s="57"/>
      <c r="AN703" s="57"/>
      <c r="AO703" s="59">
        <f t="shared" si="280"/>
        <v>7.8703703703703713E-3</v>
      </c>
      <c r="AP703" s="57"/>
      <c r="AQ703" s="59">
        <f t="shared" si="257"/>
        <v>7.8703703703703713E-3</v>
      </c>
      <c r="AR703" s="57"/>
      <c r="AS703" s="57"/>
      <c r="AT703" s="59">
        <f t="shared" si="258"/>
        <v>7.8703703703703713E-3</v>
      </c>
    </row>
    <row r="704" spans="1:46" hidden="1">
      <c r="A704" s="24"/>
      <c r="B704" s="26" t="s">
        <v>84</v>
      </c>
      <c r="C704" s="26"/>
      <c r="D704" s="50"/>
      <c r="E704" s="51"/>
      <c r="F704" s="50" t="s">
        <v>448</v>
      </c>
      <c r="G704" s="52"/>
      <c r="H704" s="50"/>
      <c r="I704" s="53">
        <v>11.54</v>
      </c>
      <c r="J704" s="50">
        <v>11.54</v>
      </c>
      <c r="K704" s="53"/>
      <c r="L704" s="50">
        <v>11.54</v>
      </c>
      <c r="M704" s="57"/>
      <c r="N704" s="55">
        <v>8.2638888888888883E-3</v>
      </c>
      <c r="O704" s="57"/>
      <c r="P704" s="57"/>
      <c r="Q704" s="59">
        <f>IF(MIN(IF(ISBLANK(O704),N704,O704),IF(ISBLANK(N704),O704,N704))=0,"",MIN(IF(ISBLANK(O704),N704,O704),IF(ISBLANK(N704),O704,N704)))</f>
        <v>8.2638888888888883E-3</v>
      </c>
      <c r="R704" s="57"/>
      <c r="S704" s="57"/>
      <c r="T704" s="59">
        <f t="shared" si="281"/>
        <v>8.2638888888888883E-3</v>
      </c>
      <c r="U704" s="57"/>
      <c r="V704" s="57"/>
      <c r="W704" s="59">
        <f t="shared" si="282"/>
        <v>8.2638888888888883E-3</v>
      </c>
      <c r="X704" s="57"/>
      <c r="Y704" s="57"/>
      <c r="Z704" s="59">
        <f t="shared" si="283"/>
        <v>8.2638888888888883E-3</v>
      </c>
      <c r="AA704" s="57"/>
      <c r="AB704" s="57"/>
      <c r="AC704" s="59">
        <f t="shared" si="284"/>
        <v>8.2638888888888883E-3</v>
      </c>
      <c r="AD704" s="57"/>
      <c r="AE704" s="57"/>
      <c r="AF704" s="59">
        <f t="shared" si="277"/>
        <v>8.2638888888888883E-3</v>
      </c>
      <c r="AG704" s="57"/>
      <c r="AH704" s="57"/>
      <c r="AI704" s="59">
        <f t="shared" si="278"/>
        <v>8.2638888888888883E-3</v>
      </c>
      <c r="AJ704" s="57"/>
      <c r="AK704" s="57"/>
      <c r="AL704" s="59">
        <f t="shared" si="279"/>
        <v>8.2638888888888883E-3</v>
      </c>
      <c r="AM704" s="57"/>
      <c r="AN704" s="57"/>
      <c r="AO704" s="59">
        <f t="shared" si="280"/>
        <v>8.2638888888888883E-3</v>
      </c>
      <c r="AP704" s="57"/>
      <c r="AQ704" s="59">
        <f t="shared" si="257"/>
        <v>8.2638888888888883E-3</v>
      </c>
      <c r="AR704" s="57"/>
      <c r="AS704" s="57"/>
      <c r="AT704" s="59">
        <f t="shared" si="258"/>
        <v>8.2638888888888883E-3</v>
      </c>
    </row>
    <row r="705" spans="1:46" hidden="1">
      <c r="A705" s="24"/>
      <c r="B705" s="26" t="s">
        <v>90</v>
      </c>
      <c r="C705" s="26" t="s">
        <v>444</v>
      </c>
      <c r="D705" s="50"/>
      <c r="E705" s="51"/>
      <c r="F705" s="50" t="s">
        <v>448</v>
      </c>
      <c r="G705" s="52"/>
      <c r="H705" s="50"/>
      <c r="I705" s="53"/>
      <c r="J705" s="50" t="s">
        <v>448</v>
      </c>
      <c r="K705" s="53"/>
      <c r="L705" s="50"/>
      <c r="M705" s="57"/>
      <c r="N705" s="55"/>
      <c r="O705" s="57"/>
      <c r="P705" s="57"/>
      <c r="Q705" s="59" t="str">
        <f>IF(MIN(IF(ISBLANK(O705),N705,O705),IF(ISBLANK(N705),O705,N705))=0,"",MIN(IF(ISBLANK(O705),N705,O705),IF(ISBLANK(N705),O705,N705)))</f>
        <v/>
      </c>
      <c r="R705" s="57"/>
      <c r="S705" s="57"/>
      <c r="T705" s="59" t="str">
        <f t="shared" si="281"/>
        <v/>
      </c>
      <c r="U705" s="57"/>
      <c r="V705" s="57"/>
      <c r="W705" s="59" t="str">
        <f t="shared" si="282"/>
        <v/>
      </c>
      <c r="X705" s="57"/>
      <c r="Y705" s="57"/>
      <c r="Z705" s="59" t="str">
        <f t="shared" si="283"/>
        <v/>
      </c>
      <c r="AA705" s="57"/>
      <c r="AB705" s="57"/>
      <c r="AC705" s="59" t="str">
        <f t="shared" si="284"/>
        <v/>
      </c>
      <c r="AD705" s="57"/>
      <c r="AE705" s="57"/>
      <c r="AF705" s="59" t="str">
        <f t="shared" si="277"/>
        <v/>
      </c>
      <c r="AG705" s="57"/>
      <c r="AH705" s="57"/>
      <c r="AI705" s="59" t="str">
        <f t="shared" si="278"/>
        <v/>
      </c>
      <c r="AJ705" s="57"/>
      <c r="AK705" s="57"/>
      <c r="AL705" s="59" t="str">
        <f t="shared" si="279"/>
        <v/>
      </c>
      <c r="AM705" s="57"/>
      <c r="AN705" s="57"/>
      <c r="AO705" s="59" t="str">
        <f t="shared" si="280"/>
        <v/>
      </c>
      <c r="AP705" s="57"/>
      <c r="AQ705" s="59" t="str">
        <f t="shared" si="257"/>
        <v/>
      </c>
      <c r="AR705" s="57"/>
      <c r="AS705" s="57"/>
      <c r="AT705" s="59" t="str">
        <f t="shared" si="258"/>
        <v/>
      </c>
    </row>
    <row r="706" spans="1:46">
      <c r="A706" s="24" t="s">
        <v>792</v>
      </c>
      <c r="B706" s="26" t="s">
        <v>848</v>
      </c>
      <c r="C706" s="26"/>
      <c r="D706" s="50"/>
      <c r="E706" s="51"/>
      <c r="F706" s="50"/>
      <c r="G706" s="52"/>
      <c r="H706" s="50"/>
      <c r="I706" s="53"/>
      <c r="J706" s="50"/>
      <c r="K706" s="53"/>
      <c r="L706" s="50"/>
      <c r="M706" s="57"/>
      <c r="N706" s="55"/>
      <c r="O706" s="57"/>
      <c r="P706" s="57"/>
      <c r="Q706" s="59"/>
      <c r="R706" s="57"/>
      <c r="S706" s="57"/>
      <c r="T706" s="59"/>
      <c r="U706" s="57"/>
      <c r="V706" s="57"/>
      <c r="W706" s="59"/>
      <c r="X706" s="57"/>
      <c r="Y706" s="57"/>
      <c r="Z706" s="59"/>
      <c r="AA706" s="57"/>
      <c r="AB706" s="57"/>
      <c r="AC706" s="59"/>
      <c r="AD706" s="57"/>
      <c r="AE706" s="57"/>
      <c r="AF706" s="59"/>
      <c r="AG706" s="57"/>
      <c r="AH706" s="57"/>
      <c r="AI706" s="59"/>
      <c r="AJ706" s="57"/>
      <c r="AK706" s="57"/>
      <c r="AL706" s="59"/>
      <c r="AM706" s="57"/>
      <c r="AN706" s="57"/>
      <c r="AO706" s="59"/>
      <c r="AP706" s="57"/>
      <c r="AQ706" s="59" t="str">
        <f t="shared" si="257"/>
        <v/>
      </c>
      <c r="AR706" s="57"/>
      <c r="AS706" s="57"/>
      <c r="AT706" s="59" t="str">
        <f t="shared" si="258"/>
        <v/>
      </c>
    </row>
    <row r="707" spans="1:46">
      <c r="A707" s="24" t="s">
        <v>792</v>
      </c>
      <c r="B707" s="26" t="s">
        <v>95</v>
      </c>
      <c r="C707" s="26" t="s">
        <v>443</v>
      </c>
      <c r="D707" s="50">
        <v>7.17</v>
      </c>
      <c r="E707" s="51"/>
      <c r="F707" s="50">
        <v>7.17</v>
      </c>
      <c r="G707" s="52"/>
      <c r="H707" s="50">
        <v>7.17</v>
      </c>
      <c r="I707" s="53"/>
      <c r="J707" s="50">
        <v>7.17</v>
      </c>
      <c r="K707" s="53"/>
      <c r="L707" s="50">
        <v>7.17</v>
      </c>
      <c r="M707" s="57"/>
      <c r="N707" s="55">
        <v>5.0578703703703706E-3</v>
      </c>
      <c r="O707" s="57"/>
      <c r="P707" s="57"/>
      <c r="Q707" s="59">
        <f>IF(MIN(IF(ISBLANK(O707),N707,O707),IF(ISBLANK(N707),O707,N707))=0,"",MIN(IF(ISBLANK(O707),N707,O707),IF(ISBLANK(N707),O707,N707)))</f>
        <v>5.0578703703703706E-3</v>
      </c>
      <c r="R707" s="57"/>
      <c r="S707" s="57"/>
      <c r="T707" s="59">
        <f>IF(MIN(IF(ISBLANK(R707),Q707,R707),IF(ISBLANK(Q707),R707,Q707))=0,"",MIN(IF(ISBLANK(R707),Q707,R707),IF(ISBLANK(Q707),R707,Q707)))</f>
        <v>5.0578703703703706E-3</v>
      </c>
      <c r="U707" s="57"/>
      <c r="V707" s="57"/>
      <c r="W707" s="59">
        <f>IF(MIN(IF(ISBLANK(U707),T707,U707),IF(ISBLANK(T707),U707,T707))=0,"",MIN(IF(ISBLANK(U707),T707,U707),IF(ISBLANK(T707),U707,T707)))</f>
        <v>5.0578703703703706E-3</v>
      </c>
      <c r="X707" s="57">
        <v>5.1041666666666666E-3</v>
      </c>
      <c r="Y707" s="57"/>
      <c r="Z707" s="59">
        <f>IF(MIN(IF(ISBLANK(X707),W707,X707),IF(ISBLANK(W707),X707,W707))=0,"",MIN(IF(ISBLANK(X707),W707,X707),IF(ISBLANK(W707),X707,W707)))</f>
        <v>5.0578703703703706E-3</v>
      </c>
      <c r="AA707" s="57">
        <v>5.0000000000000001E-3</v>
      </c>
      <c r="AB707" s="57"/>
      <c r="AC707" s="59">
        <f>IF(MIN(IF(ISBLANK(Z707),AA707,Z707),IF(ISBLANK(AA707),Z707,AA707))=0,"",MIN(IF(ISBLANK(Z707),AA707,Z707),IF(ISBLANK(AA707),Z707,AA707)))</f>
        <v>5.0000000000000001E-3</v>
      </c>
      <c r="AD707" s="57">
        <v>5.2546296296296299E-3</v>
      </c>
      <c r="AE707" s="57"/>
      <c r="AF707" s="59">
        <f>IF(MIN(IF(ISBLANK(AC707),AD707,AC707),IF(ISBLANK(AD707),AC707,AD707))=0,"",MIN(IF(ISBLANK(AC707),AD707,AC707),IF(ISBLANK(AD707),AC707,AD707)))</f>
        <v>5.0000000000000001E-3</v>
      </c>
      <c r="AG707" s="57">
        <v>5.1967592592592595E-3</v>
      </c>
      <c r="AH707" s="57"/>
      <c r="AI707" s="59">
        <f>IF(MIN(IF(ISBLANK(AF707),AG707,AF707),IF(ISBLANK(AG707),AF707,AG707))=0,"",MIN(IF(ISBLANK(AF707),AG707,AF707),IF(ISBLANK(AG707),AF707,AG707)))</f>
        <v>5.0000000000000001E-3</v>
      </c>
      <c r="AJ707" s="57"/>
      <c r="AK707" s="57"/>
      <c r="AL707" s="59">
        <f>IF(MIN(IF(ISBLANK(AI707),AJ707,AI707),IF(ISBLANK(AJ707),AI707,AJ707))=0,"",MIN(IF(ISBLANK(AI707),AJ707,AI707),IF(ISBLANK(AJ707),AI707,AJ707)))</f>
        <v>5.0000000000000001E-3</v>
      </c>
      <c r="AM707" s="57"/>
      <c r="AN707" s="57"/>
      <c r="AO707" s="59">
        <f>IF(MIN(IF(ISBLANK(AL707),AM707,AL707),IF(ISBLANK(AM707),AL707,AM707))=0,"",MIN(IF(ISBLANK(AL707),AM707,AL707),IF(ISBLANK(AM707),AL707,AM707)))</f>
        <v>5.0000000000000001E-3</v>
      </c>
      <c r="AP707" s="57"/>
      <c r="AQ707" s="59">
        <f t="shared" si="257"/>
        <v>5.0000000000000001E-3</v>
      </c>
      <c r="AR707" s="57"/>
      <c r="AS707" s="57"/>
      <c r="AT707" s="59">
        <f t="shared" si="258"/>
        <v>5.0000000000000001E-3</v>
      </c>
    </row>
    <row r="708" spans="1:46">
      <c r="A708" s="24" t="s">
        <v>792</v>
      </c>
      <c r="B708" s="26" t="s">
        <v>806</v>
      </c>
      <c r="C708" s="26"/>
      <c r="D708" s="50"/>
      <c r="E708" s="51"/>
      <c r="F708" s="50"/>
      <c r="G708" s="52"/>
      <c r="H708" s="50"/>
      <c r="I708" s="53"/>
      <c r="J708" s="50"/>
      <c r="K708" s="53"/>
      <c r="L708" s="50"/>
      <c r="M708" s="57"/>
      <c r="N708" s="55"/>
      <c r="O708" s="57"/>
      <c r="P708" s="57"/>
      <c r="Q708" s="59"/>
      <c r="R708" s="57"/>
      <c r="S708" s="57"/>
      <c r="T708" s="59"/>
      <c r="U708" s="57"/>
      <c r="V708" s="57"/>
      <c r="W708" s="59"/>
      <c r="X708" s="57"/>
      <c r="Y708" s="57"/>
      <c r="Z708" s="59"/>
      <c r="AA708" s="57"/>
      <c r="AB708" s="57"/>
      <c r="AC708" s="59"/>
      <c r="AD708" s="57"/>
      <c r="AE708" s="57"/>
      <c r="AF708" s="59"/>
      <c r="AG708" s="57"/>
      <c r="AH708" s="57"/>
      <c r="AI708" s="59"/>
      <c r="AJ708" s="57"/>
      <c r="AK708" s="57"/>
      <c r="AL708" s="59" t="str">
        <f>IF(MIN(IF(ISBLANK(AI708),AJ708,AI708),IF(ISBLANK(AJ708),AI708,AJ708))=0,"",MIN(IF(ISBLANK(AI708),AJ708,AI708),IF(ISBLANK(AJ708),AI708,AJ708)))</f>
        <v/>
      </c>
      <c r="AM708" s="57">
        <v>6.2037037037037043E-3</v>
      </c>
      <c r="AN708" s="57"/>
      <c r="AO708" s="59">
        <f>IF(MIN(IF(ISBLANK(AL708),AM708,AL708),IF(ISBLANK(AM708),AL708,AM708))=0,"",MIN(IF(ISBLANK(AL708),AM708,AL708),IF(ISBLANK(AM708),AL708,AM708)))</f>
        <v>6.2037037037037043E-3</v>
      </c>
      <c r="AP708" s="57"/>
      <c r="AQ708" s="59">
        <f t="shared" si="257"/>
        <v>6.2037037037037043E-3</v>
      </c>
      <c r="AR708" s="57"/>
      <c r="AS708" s="57"/>
      <c r="AT708" s="59">
        <f t="shared" si="258"/>
        <v>6.2037037037037043E-3</v>
      </c>
    </row>
    <row r="709" spans="1:46">
      <c r="A709" s="24" t="s">
        <v>792</v>
      </c>
      <c r="B709" s="26" t="s">
        <v>851</v>
      </c>
      <c r="C709" s="26"/>
      <c r="D709" s="50"/>
      <c r="E709" s="51"/>
      <c r="F709" s="50"/>
      <c r="G709" s="52"/>
      <c r="H709" s="50"/>
      <c r="I709" s="53"/>
      <c r="J709" s="50"/>
      <c r="K709" s="53"/>
      <c r="L709" s="50"/>
      <c r="M709" s="57"/>
      <c r="N709" s="55"/>
      <c r="O709" s="57"/>
      <c r="P709" s="57"/>
      <c r="Q709" s="59"/>
      <c r="R709" s="57"/>
      <c r="S709" s="57"/>
      <c r="T709" s="59"/>
      <c r="U709" s="57"/>
      <c r="V709" s="57"/>
      <c r="W709" s="59"/>
      <c r="X709" s="57"/>
      <c r="Y709" s="57"/>
      <c r="Z709" s="59"/>
      <c r="AA709" s="57"/>
      <c r="AB709" s="57"/>
      <c r="AC709" s="59"/>
      <c r="AD709" s="57"/>
      <c r="AE709" s="57"/>
      <c r="AF709" s="59"/>
      <c r="AG709" s="57"/>
      <c r="AH709" s="57"/>
      <c r="AI709" s="59"/>
      <c r="AJ709" s="57"/>
      <c r="AK709" s="57"/>
      <c r="AL709" s="59"/>
      <c r="AM709" s="57"/>
      <c r="AN709" s="57"/>
      <c r="AO709" s="59"/>
      <c r="AP709" s="57">
        <v>7.7662037037037031E-3</v>
      </c>
      <c r="AQ709" s="59">
        <f t="shared" si="257"/>
        <v>7.7662037037037031E-3</v>
      </c>
      <c r="AR709" s="57"/>
      <c r="AS709" s="57"/>
      <c r="AT709" s="59">
        <f t="shared" si="258"/>
        <v>7.7662037037037031E-3</v>
      </c>
    </row>
    <row r="710" spans="1:46">
      <c r="A710" s="24" t="s">
        <v>792</v>
      </c>
      <c r="B710" s="26" t="s">
        <v>675</v>
      </c>
      <c r="C710" s="26"/>
      <c r="D710" s="50"/>
      <c r="E710" s="51"/>
      <c r="F710" s="50"/>
      <c r="G710" s="52"/>
      <c r="H710" s="50"/>
      <c r="I710" s="53"/>
      <c r="J710" s="50"/>
      <c r="K710" s="53"/>
      <c r="L710" s="50"/>
      <c r="M710" s="57"/>
      <c r="N710" s="55"/>
      <c r="O710" s="57"/>
      <c r="P710" s="57"/>
      <c r="Q710" s="59"/>
      <c r="R710" s="57"/>
      <c r="S710" s="57"/>
      <c r="T710" s="59"/>
      <c r="U710" s="57"/>
      <c r="V710" s="57"/>
      <c r="W710" s="59"/>
      <c r="X710" s="57"/>
      <c r="Y710" s="57"/>
      <c r="Z710" s="59" t="str">
        <f t="shared" ref="Z710:Z715" si="285">IF(MIN(IF(ISBLANK(X710),W710,X710),IF(ISBLANK(W710),X710,W710))=0,"",MIN(IF(ISBLANK(X710),W710,X710),IF(ISBLANK(W710),X710,W710)))</f>
        <v/>
      </c>
      <c r="AA710" s="57">
        <v>5.3125000000000004E-3</v>
      </c>
      <c r="AB710" s="57"/>
      <c r="AC710" s="59">
        <f t="shared" ref="AC710:AC715" si="286">IF(MIN(IF(ISBLANK(Z710),AA710,Z710),IF(ISBLANK(AA710),Z710,AA710))=0,"",MIN(IF(ISBLANK(Z710),AA710,Z710),IF(ISBLANK(AA710),Z710,AA710)))</f>
        <v>5.3125000000000004E-3</v>
      </c>
      <c r="AD710" s="57"/>
      <c r="AE710" s="57"/>
      <c r="AF710" s="59">
        <f t="shared" ref="AF710:AF715" si="287">IF(MIN(IF(ISBLANK(AC710),AD710,AC710),IF(ISBLANK(AD710),AC710,AD710))=0,"",MIN(IF(ISBLANK(AC710),AD710,AC710),IF(ISBLANK(AD710),AC710,AD710)))</f>
        <v>5.3125000000000004E-3</v>
      </c>
      <c r="AG710" s="57">
        <v>5.115740740740741E-3</v>
      </c>
      <c r="AH710" s="57"/>
      <c r="AI710" s="59">
        <f t="shared" ref="AI710:AI715" si="288">IF(MIN(IF(ISBLANK(AF710),AG710,AF710),IF(ISBLANK(AG710),AF710,AG710))=0,"",MIN(IF(ISBLANK(AF710),AG710,AF710),IF(ISBLANK(AG710),AF710,AG710)))</f>
        <v>5.115740740740741E-3</v>
      </c>
      <c r="AJ710" s="57">
        <v>5.4398148148148149E-3</v>
      </c>
      <c r="AK710" s="57"/>
      <c r="AL710" s="59">
        <f t="shared" ref="AL710:AL715" si="289">IF(MIN(IF(ISBLANK(AI710),AJ710,AI710),IF(ISBLANK(AJ710),AI710,AJ710))=0,"",MIN(IF(ISBLANK(AI710),AJ710,AI710),IF(ISBLANK(AJ710),AI710,AJ710)))</f>
        <v>5.115740740740741E-3</v>
      </c>
      <c r="AM710" s="57"/>
      <c r="AN710" s="57"/>
      <c r="AO710" s="59">
        <f t="shared" ref="AO710:AO715" si="290">IF(MIN(IF(ISBLANK(AL710),AM710,AL710),IF(ISBLANK(AM710),AL710,AM710))=0,"",MIN(IF(ISBLANK(AL710),AM710,AL710),IF(ISBLANK(AM710),AL710,AM710)))</f>
        <v>5.115740740740741E-3</v>
      </c>
      <c r="AP710" s="57"/>
      <c r="AQ710" s="59">
        <f t="shared" si="257"/>
        <v>5.115740740740741E-3</v>
      </c>
      <c r="AR710" s="57"/>
      <c r="AS710" s="57"/>
      <c r="AT710" s="59">
        <f t="shared" si="258"/>
        <v>5.115740740740741E-3</v>
      </c>
    </row>
    <row r="711" spans="1:46" hidden="1">
      <c r="A711" s="24"/>
      <c r="B711" s="26" t="s">
        <v>690</v>
      </c>
      <c r="C711" s="26"/>
      <c r="D711" s="50"/>
      <c r="E711" s="51"/>
      <c r="F711" s="50"/>
      <c r="G711" s="52"/>
      <c r="H711" s="50"/>
      <c r="I711" s="53"/>
      <c r="J711" s="50"/>
      <c r="K711" s="54"/>
      <c r="L711" s="50"/>
      <c r="M711" s="56"/>
      <c r="N711" s="55"/>
      <c r="O711" s="56"/>
      <c r="P711" s="56"/>
      <c r="Q711" s="59"/>
      <c r="R711" s="56"/>
      <c r="S711" s="56"/>
      <c r="T711" s="59"/>
      <c r="U711" s="56"/>
      <c r="V711" s="56"/>
      <c r="W711" s="59"/>
      <c r="X711" s="56"/>
      <c r="Y711" s="56"/>
      <c r="Z711" s="59" t="str">
        <f t="shared" si="285"/>
        <v/>
      </c>
      <c r="AA711" s="56"/>
      <c r="AB711" s="56"/>
      <c r="AC711" s="59" t="str">
        <f t="shared" si="286"/>
        <v/>
      </c>
      <c r="AD711" s="56"/>
      <c r="AE711" s="56"/>
      <c r="AF711" s="59" t="str">
        <f t="shared" si="287"/>
        <v/>
      </c>
      <c r="AG711" s="56"/>
      <c r="AH711" s="56"/>
      <c r="AI711" s="59" t="str">
        <f t="shared" si="288"/>
        <v/>
      </c>
      <c r="AJ711" s="56"/>
      <c r="AK711" s="56"/>
      <c r="AL711" s="59" t="str">
        <f t="shared" si="289"/>
        <v/>
      </c>
      <c r="AM711" s="56"/>
      <c r="AN711" s="56"/>
      <c r="AO711" s="59" t="str">
        <f t="shared" si="290"/>
        <v/>
      </c>
      <c r="AP711" s="56"/>
      <c r="AQ711" s="59" t="str">
        <f t="shared" si="257"/>
        <v/>
      </c>
      <c r="AR711" s="56"/>
      <c r="AS711" s="56"/>
      <c r="AT711" s="59" t="str">
        <f t="shared" si="258"/>
        <v/>
      </c>
    </row>
    <row r="712" spans="1:46" hidden="1">
      <c r="A712" s="24"/>
      <c r="B712" s="26" t="s">
        <v>424</v>
      </c>
      <c r="C712" s="26" t="s">
        <v>443</v>
      </c>
      <c r="D712" s="50"/>
      <c r="E712" s="51"/>
      <c r="F712" s="50"/>
      <c r="G712" s="52"/>
      <c r="H712" s="50"/>
      <c r="I712" s="53"/>
      <c r="J712" s="50" t="s">
        <v>448</v>
      </c>
      <c r="K712" s="53"/>
      <c r="L712" s="50"/>
      <c r="M712" s="57"/>
      <c r="N712" s="55"/>
      <c r="O712" s="57"/>
      <c r="P712" s="57"/>
      <c r="Q712" s="59" t="str">
        <f>IF(MIN(IF(ISBLANK(O712),N712,O712),IF(ISBLANK(N712),O712,N712))=0,"",MIN(IF(ISBLANK(O712),N712,O712),IF(ISBLANK(N712),O712,N712)))</f>
        <v/>
      </c>
      <c r="R712" s="57"/>
      <c r="S712" s="57"/>
      <c r="T712" s="59" t="str">
        <f>IF(MIN(IF(ISBLANK(R712),Q712,R712),IF(ISBLANK(Q712),R712,Q712))=0,"",MIN(IF(ISBLANK(R712),Q712,R712),IF(ISBLANK(Q712),R712,Q712)))</f>
        <v/>
      </c>
      <c r="U712" s="57"/>
      <c r="V712" s="57"/>
      <c r="W712" s="59" t="str">
        <f>IF(MIN(IF(ISBLANK(U712),T712,U712),IF(ISBLANK(T712),U712,T712))=0,"",MIN(IF(ISBLANK(U712),T712,U712),IF(ISBLANK(T712),U712,T712)))</f>
        <v/>
      </c>
      <c r="X712" s="57"/>
      <c r="Y712" s="57"/>
      <c r="Z712" s="59" t="str">
        <f t="shared" si="285"/>
        <v/>
      </c>
      <c r="AA712" s="57"/>
      <c r="AB712" s="57"/>
      <c r="AC712" s="59" t="str">
        <f t="shared" si="286"/>
        <v/>
      </c>
      <c r="AD712" s="57"/>
      <c r="AE712" s="57"/>
      <c r="AF712" s="59" t="str">
        <f t="shared" si="287"/>
        <v/>
      </c>
      <c r="AG712" s="57"/>
      <c r="AH712" s="57"/>
      <c r="AI712" s="59" t="str">
        <f t="shared" si="288"/>
        <v/>
      </c>
      <c r="AJ712" s="57"/>
      <c r="AK712" s="57"/>
      <c r="AL712" s="59" t="str">
        <f t="shared" si="289"/>
        <v/>
      </c>
      <c r="AM712" s="57"/>
      <c r="AN712" s="57"/>
      <c r="AO712" s="59" t="str">
        <f t="shared" si="290"/>
        <v/>
      </c>
      <c r="AP712" s="57"/>
      <c r="AQ712" s="59" t="str">
        <f t="shared" si="257"/>
        <v/>
      </c>
      <c r="AR712" s="57"/>
      <c r="AS712" s="57"/>
      <c r="AT712" s="59" t="str">
        <f t="shared" si="258"/>
        <v/>
      </c>
    </row>
    <row r="713" spans="1:46" hidden="1">
      <c r="A713" s="24"/>
      <c r="B713" s="26" t="s">
        <v>101</v>
      </c>
      <c r="C713" s="26" t="s">
        <v>443</v>
      </c>
      <c r="D713" s="50">
        <v>8.1199999999999992</v>
      </c>
      <c r="E713" s="51"/>
      <c r="F713" s="50">
        <v>8.1199999999999992</v>
      </c>
      <c r="G713" s="52"/>
      <c r="H713" s="50">
        <v>8.1199999999999992</v>
      </c>
      <c r="I713" s="53"/>
      <c r="J713" s="50">
        <v>8.1199999999999992</v>
      </c>
      <c r="K713" s="53"/>
      <c r="L713" s="50">
        <v>8.1199999999999992</v>
      </c>
      <c r="M713" s="57"/>
      <c r="N713" s="55">
        <v>5.6944444444444438E-3</v>
      </c>
      <c r="O713" s="57"/>
      <c r="P713" s="57"/>
      <c r="Q713" s="59">
        <f>IF(MIN(IF(ISBLANK(O713),N713,O713),IF(ISBLANK(N713),O713,N713))=0,"",MIN(IF(ISBLANK(O713),N713,O713),IF(ISBLANK(N713),O713,N713)))</f>
        <v>5.6944444444444438E-3</v>
      </c>
      <c r="R713" s="57"/>
      <c r="S713" s="57"/>
      <c r="T713" s="59">
        <f>IF(MIN(IF(ISBLANK(R713),Q713,R713),IF(ISBLANK(Q713),R713,Q713))=0,"",MIN(IF(ISBLANK(R713),Q713,R713),IF(ISBLANK(Q713),R713,Q713)))</f>
        <v>5.6944444444444438E-3</v>
      </c>
      <c r="U713" s="57"/>
      <c r="V713" s="57"/>
      <c r="W713" s="59">
        <f>IF(MIN(IF(ISBLANK(U713),T713,U713),IF(ISBLANK(T713),U713,T713))=0,"",MIN(IF(ISBLANK(U713),T713,U713),IF(ISBLANK(T713),U713,T713)))</f>
        <v>5.6944444444444438E-3</v>
      </c>
      <c r="X713" s="57"/>
      <c r="Y713" s="57"/>
      <c r="Z713" s="59">
        <f t="shared" si="285"/>
        <v>5.6944444444444438E-3</v>
      </c>
      <c r="AA713" s="57"/>
      <c r="AB713" s="57"/>
      <c r="AC713" s="59">
        <f t="shared" si="286"/>
        <v>5.6944444444444438E-3</v>
      </c>
      <c r="AD713" s="57"/>
      <c r="AE713" s="57"/>
      <c r="AF713" s="59">
        <f t="shared" si="287"/>
        <v>5.6944444444444438E-3</v>
      </c>
      <c r="AG713" s="57"/>
      <c r="AH713" s="57"/>
      <c r="AI713" s="59">
        <f t="shared" si="288"/>
        <v>5.6944444444444438E-3</v>
      </c>
      <c r="AJ713" s="57"/>
      <c r="AK713" s="57"/>
      <c r="AL713" s="59">
        <f t="shared" si="289"/>
        <v>5.6944444444444438E-3</v>
      </c>
      <c r="AM713" s="57"/>
      <c r="AN713" s="57"/>
      <c r="AO713" s="59">
        <f t="shared" si="290"/>
        <v>5.6944444444444438E-3</v>
      </c>
      <c r="AP713" s="57"/>
      <c r="AQ713" s="59">
        <f t="shared" si="257"/>
        <v>5.6944444444444438E-3</v>
      </c>
      <c r="AR713" s="57"/>
      <c r="AS713" s="57"/>
      <c r="AT713" s="59">
        <f t="shared" si="258"/>
        <v>5.6944444444444438E-3</v>
      </c>
    </row>
    <row r="714" spans="1:46">
      <c r="A714" s="24" t="s">
        <v>792</v>
      </c>
      <c r="B714" s="26" t="s">
        <v>108</v>
      </c>
      <c r="C714" s="26" t="s">
        <v>443</v>
      </c>
      <c r="D714" s="50">
        <v>6.57</v>
      </c>
      <c r="E714" s="51"/>
      <c r="F714" s="50">
        <v>6.57</v>
      </c>
      <c r="G714" s="52"/>
      <c r="H714" s="50">
        <v>6.57</v>
      </c>
      <c r="I714" s="53">
        <v>6.52</v>
      </c>
      <c r="J714" s="50">
        <v>6.52</v>
      </c>
      <c r="K714" s="53"/>
      <c r="L714" s="50">
        <v>6.52</v>
      </c>
      <c r="M714" s="57"/>
      <c r="N714" s="55">
        <v>4.7685185185185183E-3</v>
      </c>
      <c r="O714" s="57"/>
      <c r="P714" s="57"/>
      <c r="Q714" s="59">
        <f>IF(MIN(IF(ISBLANK(O714),N714,O714),IF(ISBLANK(N714),O714,N714))=0,"",MIN(IF(ISBLANK(O714),N714,O714),IF(ISBLANK(N714),O714,N714)))</f>
        <v>4.7685185185185183E-3</v>
      </c>
      <c r="R714" s="57"/>
      <c r="S714" s="57"/>
      <c r="T714" s="59">
        <f>IF(MIN(IF(ISBLANK(R714),Q714,R714),IF(ISBLANK(Q714),R714,Q714))=0,"",MIN(IF(ISBLANK(R714),Q714,R714),IF(ISBLANK(Q714),R714,Q714)))</f>
        <v>4.7685185185185183E-3</v>
      </c>
      <c r="U714" s="57"/>
      <c r="V714" s="57"/>
      <c r="W714" s="59">
        <f>IF(MIN(IF(ISBLANK(U714),T714,U714),IF(ISBLANK(T714),U714,T714))=0,"",MIN(IF(ISBLANK(U714),T714,U714),IF(ISBLANK(T714),U714,T714)))</f>
        <v>4.7685185185185183E-3</v>
      </c>
      <c r="X714" s="57"/>
      <c r="Y714" s="57"/>
      <c r="Z714" s="59">
        <f t="shared" si="285"/>
        <v>4.7685185185185183E-3</v>
      </c>
      <c r="AA714" s="57"/>
      <c r="AB714" s="57"/>
      <c r="AC714" s="59">
        <f t="shared" si="286"/>
        <v>4.7685185185185183E-3</v>
      </c>
      <c r="AD714" s="57">
        <v>4.9884259259259265E-3</v>
      </c>
      <c r="AE714" s="57"/>
      <c r="AF714" s="59">
        <f t="shared" si="287"/>
        <v>4.7685185185185183E-3</v>
      </c>
      <c r="AG714" s="57">
        <v>4.7685185185185183E-3</v>
      </c>
      <c r="AH714" s="57"/>
      <c r="AI714" s="59">
        <f t="shared" si="288"/>
        <v>4.7685185185185183E-3</v>
      </c>
      <c r="AJ714" s="57"/>
      <c r="AK714" s="57"/>
      <c r="AL714" s="59">
        <f t="shared" si="289"/>
        <v>4.7685185185185183E-3</v>
      </c>
      <c r="AM714" s="57"/>
      <c r="AN714" s="57"/>
      <c r="AO714" s="59">
        <f t="shared" si="290"/>
        <v>4.7685185185185183E-3</v>
      </c>
      <c r="AP714" s="57"/>
      <c r="AQ714" s="59">
        <f t="shared" si="257"/>
        <v>4.7685185185185183E-3</v>
      </c>
      <c r="AR714" s="57"/>
      <c r="AS714" s="57"/>
      <c r="AT714" s="59">
        <f t="shared" si="258"/>
        <v>4.7685185185185183E-3</v>
      </c>
    </row>
    <row r="715" spans="1:46" hidden="1">
      <c r="A715" s="24"/>
      <c r="B715" s="26" t="s">
        <v>519</v>
      </c>
      <c r="C715" s="26" t="s">
        <v>443</v>
      </c>
      <c r="D715" s="50"/>
      <c r="E715" s="51"/>
      <c r="F715" s="50"/>
      <c r="G715" s="52"/>
      <c r="H715" s="50"/>
      <c r="I715" s="53"/>
      <c r="J715" s="50"/>
      <c r="K715" s="53"/>
      <c r="L715" s="50"/>
      <c r="M715" s="57">
        <v>5.3125000000000004E-3</v>
      </c>
      <c r="N715" s="55">
        <v>5.3125000000000004E-3</v>
      </c>
      <c r="O715" s="57"/>
      <c r="P715" s="57"/>
      <c r="Q715" s="59">
        <f>IF(MIN(IF(ISBLANK(O715),N715,O715),IF(ISBLANK(N715),O715,N715))=0,"",MIN(IF(ISBLANK(O715),N715,O715),IF(ISBLANK(N715),O715,N715)))</f>
        <v>5.3125000000000004E-3</v>
      </c>
      <c r="R715" s="57"/>
      <c r="S715" s="57"/>
      <c r="T715" s="59">
        <f>IF(MIN(IF(ISBLANK(R715),Q715,R715),IF(ISBLANK(Q715),R715,Q715))=0,"",MIN(IF(ISBLANK(R715),Q715,R715),IF(ISBLANK(Q715),R715,Q715)))</f>
        <v>5.3125000000000004E-3</v>
      </c>
      <c r="U715" s="57"/>
      <c r="V715" s="57"/>
      <c r="W715" s="59">
        <f>IF(MIN(IF(ISBLANK(U715),T715,U715),IF(ISBLANK(T715),U715,T715))=0,"",MIN(IF(ISBLANK(U715),T715,U715),IF(ISBLANK(T715),U715,T715)))</f>
        <v>5.3125000000000004E-3</v>
      </c>
      <c r="X715" s="57"/>
      <c r="Y715" s="57"/>
      <c r="Z715" s="59">
        <f t="shared" si="285"/>
        <v>5.3125000000000004E-3</v>
      </c>
      <c r="AA715" s="57"/>
      <c r="AB715" s="57"/>
      <c r="AC715" s="59">
        <f t="shared" si="286"/>
        <v>5.3125000000000004E-3</v>
      </c>
      <c r="AD715" s="57"/>
      <c r="AE715" s="57"/>
      <c r="AF715" s="59">
        <f t="shared" si="287"/>
        <v>5.3125000000000004E-3</v>
      </c>
      <c r="AG715" s="57"/>
      <c r="AH715" s="57"/>
      <c r="AI715" s="59">
        <f t="shared" si="288"/>
        <v>5.3125000000000004E-3</v>
      </c>
      <c r="AJ715" s="57"/>
      <c r="AK715" s="57"/>
      <c r="AL715" s="59">
        <f t="shared" si="289"/>
        <v>5.3125000000000004E-3</v>
      </c>
      <c r="AM715" s="57"/>
      <c r="AN715" s="57"/>
      <c r="AO715" s="59">
        <f t="shared" si="290"/>
        <v>5.3125000000000004E-3</v>
      </c>
      <c r="AP715" s="57"/>
      <c r="AQ715" s="59">
        <f t="shared" ref="AQ715:AQ777" si="291">IF(MIN(IF(ISBLANK(AO715),AP715,AO715),IF(ISBLANK(AP715),AO715,AP715))=0,"",MIN(IF(ISBLANK(AO715),AP715,AO715),IF(ISBLANK(AP715),AO715,AP715)))</f>
        <v>5.3125000000000004E-3</v>
      </c>
      <c r="AR715" s="57"/>
      <c r="AS715" s="57"/>
      <c r="AT715" s="59">
        <f t="shared" ref="AT715:AT777" si="292">IF(MIN(IF(ISBLANK(AQ715),AR715,AQ715),IF(ISBLANK(AR715),AQ715,AR715))=0,"",MIN(IF(ISBLANK(AQ715),AR715,AQ715),IF(ISBLANK(AR715),AQ715,AR715)))</f>
        <v>5.3125000000000004E-3</v>
      </c>
    </row>
    <row r="716" spans="1:46">
      <c r="A716" s="24" t="s">
        <v>792</v>
      </c>
      <c r="B716" s="26" t="s">
        <v>856</v>
      </c>
      <c r="C716" s="26"/>
      <c r="D716" s="50"/>
      <c r="E716" s="51"/>
      <c r="F716" s="50"/>
      <c r="G716" s="52"/>
      <c r="H716" s="50"/>
      <c r="I716" s="53"/>
      <c r="J716" s="50"/>
      <c r="K716" s="53"/>
      <c r="L716" s="50"/>
      <c r="M716" s="57"/>
      <c r="N716" s="55"/>
      <c r="O716" s="57"/>
      <c r="P716" s="57"/>
      <c r="Q716" s="59"/>
      <c r="R716" s="57"/>
      <c r="S716" s="57"/>
      <c r="T716" s="59"/>
      <c r="U716" s="57"/>
      <c r="V716" s="57"/>
      <c r="W716" s="59"/>
      <c r="X716" s="57"/>
      <c r="Y716" s="57"/>
      <c r="Z716" s="59"/>
      <c r="AA716" s="57"/>
      <c r="AB716" s="57"/>
      <c r="AC716" s="59"/>
      <c r="AD716" s="57"/>
      <c r="AE716" s="57"/>
      <c r="AF716" s="59"/>
      <c r="AG716" s="57"/>
      <c r="AH716" s="57"/>
      <c r="AI716" s="59"/>
      <c r="AJ716" s="57"/>
      <c r="AK716" s="57"/>
      <c r="AL716" s="59"/>
      <c r="AM716" s="57"/>
      <c r="AN716" s="57"/>
      <c r="AO716" s="59"/>
      <c r="AP716" s="57"/>
      <c r="AQ716" s="59" t="str">
        <f t="shared" si="291"/>
        <v/>
      </c>
      <c r="AR716" s="57"/>
      <c r="AS716" s="57"/>
      <c r="AT716" s="59" t="str">
        <f t="shared" si="292"/>
        <v/>
      </c>
    </row>
    <row r="717" spans="1:46" hidden="1">
      <c r="A717" s="24"/>
      <c r="B717" s="26" t="s">
        <v>516</v>
      </c>
      <c r="C717" s="26"/>
      <c r="D717" s="50"/>
      <c r="E717" s="51"/>
      <c r="F717" s="50"/>
      <c r="G717" s="52"/>
      <c r="H717" s="50"/>
      <c r="I717" s="53"/>
      <c r="J717" s="50"/>
      <c r="K717" s="53"/>
      <c r="L717" s="50"/>
      <c r="M717" s="57">
        <v>5.9837962962962961E-3</v>
      </c>
      <c r="N717" s="55">
        <v>5.9837962962962961E-3</v>
      </c>
      <c r="O717" s="57"/>
      <c r="P717" s="57"/>
      <c r="Q717" s="59">
        <f>IF(MIN(IF(ISBLANK(O717),N717,O717),IF(ISBLANK(N717),O717,N717))=0,"",MIN(IF(ISBLANK(O717),N717,O717),IF(ISBLANK(N717),O717,N717)))</f>
        <v>5.9837962962962961E-3</v>
      </c>
      <c r="R717" s="57"/>
      <c r="S717" s="57"/>
      <c r="T717" s="59">
        <f>IF(MIN(IF(ISBLANK(R717),Q717,R717),IF(ISBLANK(Q717),R717,Q717))=0,"",MIN(IF(ISBLANK(R717),Q717,R717),IF(ISBLANK(Q717),R717,Q717)))</f>
        <v>5.9837962962962961E-3</v>
      </c>
      <c r="U717" s="57"/>
      <c r="V717" s="57"/>
      <c r="W717" s="59">
        <f>IF(MIN(IF(ISBLANK(U717),T717,U717),IF(ISBLANK(T717),U717,T717))=0,"",MIN(IF(ISBLANK(U717),T717,U717),IF(ISBLANK(T717),U717,T717)))</f>
        <v>5.9837962962962961E-3</v>
      </c>
      <c r="X717" s="57"/>
      <c r="Y717" s="57"/>
      <c r="Z717" s="59">
        <f>IF(MIN(IF(ISBLANK(X717),W717,X717),IF(ISBLANK(W717),X717,W717))=0,"",MIN(IF(ISBLANK(X717),W717,X717),IF(ISBLANK(W717),X717,W717)))</f>
        <v>5.9837962962962961E-3</v>
      </c>
      <c r="AA717" s="57"/>
      <c r="AB717" s="57"/>
      <c r="AC717" s="59">
        <f>IF(MIN(IF(ISBLANK(Z717),AA717,Z717),IF(ISBLANK(AA717),Z717,AA717))=0,"",MIN(IF(ISBLANK(Z717),AA717,Z717),IF(ISBLANK(AA717),Z717,AA717)))</f>
        <v>5.9837962962962961E-3</v>
      </c>
      <c r="AD717" s="57"/>
      <c r="AE717" s="57"/>
      <c r="AF717" s="59">
        <f>IF(MIN(IF(ISBLANK(AC717),AD717,AC717),IF(ISBLANK(AD717),AC717,AD717))=0,"",MIN(IF(ISBLANK(AC717),AD717,AC717),IF(ISBLANK(AD717),AC717,AD717)))</f>
        <v>5.9837962962962961E-3</v>
      </c>
      <c r="AG717" s="57"/>
      <c r="AH717" s="57"/>
      <c r="AI717" s="59">
        <f>IF(MIN(IF(ISBLANK(AF717),AG717,AF717),IF(ISBLANK(AG717),AF717,AG717))=0,"",MIN(IF(ISBLANK(AF717),AG717,AF717),IF(ISBLANK(AG717),AF717,AG717)))</f>
        <v>5.9837962962962961E-3</v>
      </c>
      <c r="AJ717" s="57"/>
      <c r="AK717" s="57"/>
      <c r="AL717" s="59">
        <f>IF(MIN(IF(ISBLANK(AI717),AJ717,AI717),IF(ISBLANK(AJ717),AI717,AJ717))=0,"",MIN(IF(ISBLANK(AI717),AJ717,AI717),IF(ISBLANK(AJ717),AI717,AJ717)))</f>
        <v>5.9837962962962961E-3</v>
      </c>
      <c r="AM717" s="57"/>
      <c r="AN717" s="57"/>
      <c r="AO717" s="59">
        <f>IF(MIN(IF(ISBLANK(AL717),AM717,AL717),IF(ISBLANK(AM717),AL717,AM717))=0,"",MIN(IF(ISBLANK(AL717),AM717,AL717),IF(ISBLANK(AM717),AL717,AM717)))</f>
        <v>5.9837962962962961E-3</v>
      </c>
      <c r="AP717" s="57"/>
      <c r="AQ717" s="59">
        <f t="shared" si="291"/>
        <v>5.9837962962962961E-3</v>
      </c>
      <c r="AR717" s="57"/>
      <c r="AS717" s="57"/>
      <c r="AT717" s="59">
        <f t="shared" si="292"/>
        <v>5.9837962962962961E-3</v>
      </c>
    </row>
    <row r="718" spans="1:46" hidden="1">
      <c r="A718" s="24"/>
      <c r="B718" s="26" t="s">
        <v>114</v>
      </c>
      <c r="C718" s="26"/>
      <c r="D718" s="50"/>
      <c r="E718" s="51"/>
      <c r="F718" s="50" t="s">
        <v>448</v>
      </c>
      <c r="G718" s="52"/>
      <c r="H718" s="50"/>
      <c r="I718" s="53"/>
      <c r="J718" s="50" t="s">
        <v>448</v>
      </c>
      <c r="K718" s="53"/>
      <c r="L718" s="50"/>
      <c r="M718" s="57"/>
      <c r="N718" s="55"/>
      <c r="O718" s="57"/>
      <c r="P718" s="57"/>
      <c r="Q718" s="59" t="str">
        <f>IF(MIN(IF(ISBLANK(O718),N718,O718),IF(ISBLANK(N718),O718,N718))=0,"",MIN(IF(ISBLANK(O718),N718,O718),IF(ISBLANK(N718),O718,N718)))</f>
        <v/>
      </c>
      <c r="R718" s="57"/>
      <c r="S718" s="57"/>
      <c r="T718" s="59" t="str">
        <f>IF(MIN(IF(ISBLANK(R718),Q718,R718),IF(ISBLANK(Q718),R718,Q718))=0,"",MIN(IF(ISBLANK(R718),Q718,R718),IF(ISBLANK(Q718),R718,Q718)))</f>
        <v/>
      </c>
      <c r="U718" s="57"/>
      <c r="V718" s="57"/>
      <c r="W718" s="59" t="str">
        <f>IF(MIN(IF(ISBLANK(U718),T718,U718),IF(ISBLANK(T718),U718,T718))=0,"",MIN(IF(ISBLANK(U718),T718,U718),IF(ISBLANK(T718),U718,T718)))</f>
        <v/>
      </c>
      <c r="X718" s="57"/>
      <c r="Y718" s="57"/>
      <c r="Z718" s="59" t="str">
        <f>IF(MIN(IF(ISBLANK(X718),W718,X718),IF(ISBLANK(W718),X718,W718))=0,"",MIN(IF(ISBLANK(X718),W718,X718),IF(ISBLANK(W718),X718,W718)))</f>
        <v/>
      </c>
      <c r="AA718" s="57"/>
      <c r="AB718" s="57"/>
      <c r="AC718" s="59" t="str">
        <f>IF(MIN(IF(ISBLANK(Z718),AA718,Z718),IF(ISBLANK(AA718),Z718,AA718))=0,"",MIN(IF(ISBLANK(Z718),AA718,Z718),IF(ISBLANK(AA718),Z718,AA718)))</f>
        <v/>
      </c>
      <c r="AD718" s="57"/>
      <c r="AE718" s="57"/>
      <c r="AF718" s="59" t="str">
        <f>IF(MIN(IF(ISBLANK(AC718),AD718,AC718),IF(ISBLANK(AD718),AC718,AD718))=0,"",MIN(IF(ISBLANK(AC718),AD718,AC718),IF(ISBLANK(AD718),AC718,AD718)))</f>
        <v/>
      </c>
      <c r="AG718" s="57"/>
      <c r="AH718" s="57"/>
      <c r="AI718" s="59" t="str">
        <f>IF(MIN(IF(ISBLANK(AF718),AG718,AF718),IF(ISBLANK(AG718),AF718,AG718))=0,"",MIN(IF(ISBLANK(AF718),AG718,AF718),IF(ISBLANK(AG718),AF718,AG718)))</f>
        <v/>
      </c>
      <c r="AJ718" s="57"/>
      <c r="AK718" s="57"/>
      <c r="AL718" s="59" t="str">
        <f>IF(MIN(IF(ISBLANK(AI718),AJ718,AI718),IF(ISBLANK(AJ718),AI718,AJ718))=0,"",MIN(IF(ISBLANK(AI718),AJ718,AI718),IF(ISBLANK(AJ718),AI718,AJ718)))</f>
        <v/>
      </c>
      <c r="AM718" s="57"/>
      <c r="AN718" s="57"/>
      <c r="AO718" s="59" t="str">
        <f>IF(MIN(IF(ISBLANK(AL718),AM718,AL718),IF(ISBLANK(AM718),AL718,AM718))=0,"",MIN(IF(ISBLANK(AL718),AM718,AL718),IF(ISBLANK(AM718),AL718,AM718)))</f>
        <v/>
      </c>
      <c r="AP718" s="57"/>
      <c r="AQ718" s="59" t="str">
        <f t="shared" si="291"/>
        <v/>
      </c>
      <c r="AR718" s="57"/>
      <c r="AS718" s="57"/>
      <c r="AT718" s="59" t="str">
        <f t="shared" si="292"/>
        <v/>
      </c>
    </row>
    <row r="719" spans="1:46" hidden="1">
      <c r="A719" s="24"/>
      <c r="B719" s="26" t="s">
        <v>121</v>
      </c>
      <c r="C719" s="26" t="s">
        <v>443</v>
      </c>
      <c r="D719" s="50">
        <v>9.31</v>
      </c>
      <c r="E719" s="51"/>
      <c r="F719" s="50">
        <v>9.31</v>
      </c>
      <c r="G719" s="52"/>
      <c r="H719" s="50">
        <v>9.31</v>
      </c>
      <c r="I719" s="53"/>
      <c r="J719" s="50">
        <v>9.31</v>
      </c>
      <c r="K719" s="53"/>
      <c r="L719" s="50">
        <v>9.31</v>
      </c>
      <c r="M719" s="57"/>
      <c r="N719" s="55">
        <v>6.6087962962962966E-3</v>
      </c>
      <c r="O719" s="57"/>
      <c r="P719" s="57"/>
      <c r="Q719" s="59">
        <f>IF(MIN(IF(ISBLANK(O719),N719,O719),IF(ISBLANK(N719),O719,N719))=0,"",MIN(IF(ISBLANK(O719),N719,O719),IF(ISBLANK(N719),O719,N719)))</f>
        <v>6.6087962962962966E-3</v>
      </c>
      <c r="R719" s="57"/>
      <c r="S719" s="57"/>
      <c r="T719" s="59">
        <f>IF(MIN(IF(ISBLANK(R719),Q719,R719),IF(ISBLANK(Q719),R719,Q719))=0,"",MIN(IF(ISBLANK(R719),Q719,R719),IF(ISBLANK(Q719),R719,Q719)))</f>
        <v>6.6087962962962966E-3</v>
      </c>
      <c r="U719" s="57"/>
      <c r="V719" s="57"/>
      <c r="W719" s="59">
        <f>IF(MIN(IF(ISBLANK(U719),T719,U719),IF(ISBLANK(T719),U719,T719))=0,"",MIN(IF(ISBLANK(U719),T719,U719),IF(ISBLANK(T719),U719,T719)))</f>
        <v>6.6087962962962966E-3</v>
      </c>
      <c r="X719" s="57"/>
      <c r="Y719" s="57"/>
      <c r="Z719" s="59">
        <f>IF(MIN(IF(ISBLANK(X719),W719,X719),IF(ISBLANK(W719),X719,W719))=0,"",MIN(IF(ISBLANK(X719),W719,X719),IF(ISBLANK(W719),X719,W719)))</f>
        <v>6.6087962962962966E-3</v>
      </c>
      <c r="AA719" s="57"/>
      <c r="AB719" s="57"/>
      <c r="AC719" s="59">
        <f>IF(MIN(IF(ISBLANK(Z719),AA719,Z719),IF(ISBLANK(AA719),Z719,AA719))=0,"",MIN(IF(ISBLANK(Z719),AA719,Z719),IF(ISBLANK(AA719),Z719,AA719)))</f>
        <v>6.6087962962962966E-3</v>
      </c>
      <c r="AD719" s="57"/>
      <c r="AE719" s="57"/>
      <c r="AF719" s="59">
        <f>IF(MIN(IF(ISBLANK(AC719),AD719,AC719),IF(ISBLANK(AD719),AC719,AD719))=0,"",MIN(IF(ISBLANK(AC719),AD719,AC719),IF(ISBLANK(AD719),AC719,AD719)))</f>
        <v>6.6087962962962966E-3</v>
      </c>
      <c r="AG719" s="57"/>
      <c r="AH719" s="57"/>
      <c r="AI719" s="59">
        <f>IF(MIN(IF(ISBLANK(AF719),AG719,AF719),IF(ISBLANK(AG719),AF719,AG719))=0,"",MIN(IF(ISBLANK(AF719),AG719,AF719),IF(ISBLANK(AG719),AF719,AG719)))</f>
        <v>6.6087962962962966E-3</v>
      </c>
      <c r="AJ719" s="57"/>
      <c r="AK719" s="57"/>
      <c r="AL719" s="59">
        <f>IF(MIN(IF(ISBLANK(AI719),AJ719,AI719),IF(ISBLANK(AJ719),AI719,AJ719))=0,"",MIN(IF(ISBLANK(AI719),AJ719,AI719),IF(ISBLANK(AJ719),AI719,AJ719)))</f>
        <v>6.6087962962962966E-3</v>
      </c>
      <c r="AM719" s="57"/>
      <c r="AN719" s="57"/>
      <c r="AO719" s="59">
        <f>IF(MIN(IF(ISBLANK(AL719),AM719,AL719),IF(ISBLANK(AM719),AL719,AM719))=0,"",MIN(IF(ISBLANK(AL719),AM719,AL719),IF(ISBLANK(AM719),AL719,AM719)))</f>
        <v>6.6087962962962966E-3</v>
      </c>
      <c r="AP719" s="57"/>
      <c r="AQ719" s="59">
        <f t="shared" si="291"/>
        <v>6.6087962962962966E-3</v>
      </c>
      <c r="AR719" s="57"/>
      <c r="AS719" s="57"/>
      <c r="AT719" s="59">
        <f t="shared" si="292"/>
        <v>6.6087962962962966E-3</v>
      </c>
    </row>
    <row r="720" spans="1:46" hidden="1">
      <c r="A720" s="24"/>
      <c r="B720" s="26" t="s">
        <v>126</v>
      </c>
      <c r="C720" s="26" t="s">
        <v>443</v>
      </c>
      <c r="D720" s="50"/>
      <c r="E720" s="51"/>
      <c r="F720" s="50" t="s">
        <v>448</v>
      </c>
      <c r="G720" s="52"/>
      <c r="H720" s="50"/>
      <c r="I720" s="53"/>
      <c r="J720" s="50" t="s">
        <v>448</v>
      </c>
      <c r="K720" s="53"/>
      <c r="L720" s="50"/>
      <c r="M720" s="57"/>
      <c r="N720" s="55"/>
      <c r="O720" s="57"/>
      <c r="P720" s="57"/>
      <c r="Q720" s="59" t="str">
        <f>IF(MIN(IF(ISBLANK(O720),N720,O720),IF(ISBLANK(N720),O720,N720))=0,"",MIN(IF(ISBLANK(O720),N720,O720),IF(ISBLANK(N720),O720,N720)))</f>
        <v/>
      </c>
      <c r="R720" s="57"/>
      <c r="S720" s="57"/>
      <c r="T720" s="59" t="str">
        <f>IF(MIN(IF(ISBLANK(R720),Q720,R720),IF(ISBLANK(Q720),R720,Q720))=0,"",MIN(IF(ISBLANK(R720),Q720,R720),IF(ISBLANK(Q720),R720,Q720)))</f>
        <v/>
      </c>
      <c r="U720" s="57"/>
      <c r="V720" s="57"/>
      <c r="W720" s="59" t="str">
        <f>IF(MIN(IF(ISBLANK(U720),T720,U720),IF(ISBLANK(T720),U720,T720))=0,"",MIN(IF(ISBLANK(U720),T720,U720),IF(ISBLANK(T720),U720,T720)))</f>
        <v/>
      </c>
      <c r="X720" s="57"/>
      <c r="Y720" s="57"/>
      <c r="Z720" s="59" t="str">
        <f>IF(MIN(IF(ISBLANK(X720),W720,X720),IF(ISBLANK(W720),X720,W720))=0,"",MIN(IF(ISBLANK(X720),W720,X720),IF(ISBLANK(W720),X720,W720)))</f>
        <v/>
      </c>
      <c r="AA720" s="57"/>
      <c r="AB720" s="57"/>
      <c r="AC720" s="59" t="str">
        <f>IF(MIN(IF(ISBLANK(Z720),AA720,Z720),IF(ISBLANK(AA720),Z720,AA720))=0,"",MIN(IF(ISBLANK(Z720),AA720,Z720),IF(ISBLANK(AA720),Z720,AA720)))</f>
        <v/>
      </c>
      <c r="AD720" s="57"/>
      <c r="AE720" s="57"/>
      <c r="AF720" s="59" t="str">
        <f>IF(MIN(IF(ISBLANK(AC720),AD720,AC720),IF(ISBLANK(AD720),AC720,AD720))=0,"",MIN(IF(ISBLANK(AC720),AD720,AC720),IF(ISBLANK(AD720),AC720,AD720)))</f>
        <v/>
      </c>
      <c r="AG720" s="57"/>
      <c r="AH720" s="57"/>
      <c r="AI720" s="59" t="str">
        <f>IF(MIN(IF(ISBLANK(AF720),AG720,AF720),IF(ISBLANK(AG720),AF720,AG720))=0,"",MIN(IF(ISBLANK(AF720),AG720,AF720),IF(ISBLANK(AG720),AF720,AG720)))</f>
        <v/>
      </c>
      <c r="AJ720" s="57"/>
      <c r="AK720" s="57"/>
      <c r="AL720" s="59" t="str">
        <f>IF(MIN(IF(ISBLANK(AI720),AJ720,AI720),IF(ISBLANK(AJ720),AI720,AJ720))=0,"",MIN(IF(ISBLANK(AI720),AJ720,AI720),IF(ISBLANK(AJ720),AI720,AJ720)))</f>
        <v/>
      </c>
      <c r="AM720" s="57"/>
      <c r="AN720" s="57"/>
      <c r="AO720" s="59" t="str">
        <f>IF(MIN(IF(ISBLANK(AL720),AM720,AL720),IF(ISBLANK(AM720),AL720,AM720))=0,"",MIN(IF(ISBLANK(AL720),AM720,AL720),IF(ISBLANK(AM720),AL720,AM720)))</f>
        <v/>
      </c>
      <c r="AP720" s="57"/>
      <c r="AQ720" s="59" t="str">
        <f t="shared" si="291"/>
        <v/>
      </c>
      <c r="AR720" s="57"/>
      <c r="AS720" s="57"/>
      <c r="AT720" s="59" t="str">
        <f t="shared" si="292"/>
        <v/>
      </c>
    </row>
    <row r="721" spans="1:46">
      <c r="A721" s="24" t="s">
        <v>792</v>
      </c>
      <c r="B721" s="26" t="s">
        <v>857</v>
      </c>
      <c r="C721" s="26"/>
      <c r="D721" s="50"/>
      <c r="E721" s="51"/>
      <c r="F721" s="50"/>
      <c r="G721" s="52"/>
      <c r="H721" s="50"/>
      <c r="I721" s="53"/>
      <c r="J721" s="50"/>
      <c r="K721" s="53"/>
      <c r="L721" s="50"/>
      <c r="M721" s="57"/>
      <c r="N721" s="55"/>
      <c r="O721" s="57"/>
      <c r="P721" s="57"/>
      <c r="Q721" s="59"/>
      <c r="R721" s="57"/>
      <c r="S721" s="57"/>
      <c r="T721" s="59"/>
      <c r="U721" s="57"/>
      <c r="V721" s="57"/>
      <c r="W721" s="59"/>
      <c r="X721" s="57"/>
      <c r="Y721" s="57"/>
      <c r="Z721" s="59"/>
      <c r="AA721" s="57"/>
      <c r="AB721" s="57"/>
      <c r="AC721" s="59"/>
      <c r="AD721" s="57"/>
      <c r="AE721" s="57"/>
      <c r="AF721" s="59"/>
      <c r="AG721" s="57"/>
      <c r="AH721" s="57"/>
      <c r="AI721" s="59"/>
      <c r="AJ721" s="57"/>
      <c r="AK721" s="57"/>
      <c r="AL721" s="59"/>
      <c r="AM721" s="57"/>
      <c r="AN721" s="57"/>
      <c r="AO721" s="59"/>
      <c r="AP721" s="57"/>
      <c r="AQ721" s="59" t="str">
        <f t="shared" si="291"/>
        <v/>
      </c>
      <c r="AR721" s="57"/>
      <c r="AS721" s="57"/>
      <c r="AT721" s="59" t="str">
        <f t="shared" si="292"/>
        <v/>
      </c>
    </row>
    <row r="722" spans="1:46" hidden="1">
      <c r="A722" s="24"/>
      <c r="B722" s="26" t="s">
        <v>131</v>
      </c>
      <c r="C722" s="26" t="s">
        <v>443</v>
      </c>
      <c r="D722" s="50"/>
      <c r="E722" s="51"/>
      <c r="F722" s="50" t="s">
        <v>448</v>
      </c>
      <c r="G722" s="52"/>
      <c r="H722" s="50"/>
      <c r="I722" s="53">
        <v>6.49</v>
      </c>
      <c r="J722" s="50">
        <v>6.49</v>
      </c>
      <c r="K722" s="53">
        <v>7.05</v>
      </c>
      <c r="L722" s="50">
        <v>6.49</v>
      </c>
      <c r="M722" s="57"/>
      <c r="N722" s="55">
        <v>4.7337962962962958E-3</v>
      </c>
      <c r="O722" s="57">
        <v>4.8263888888888887E-3</v>
      </c>
      <c r="P722" s="57"/>
      <c r="Q722" s="59">
        <f>IF(MIN(IF(ISBLANK(O722),N722,O722),IF(ISBLANK(N722),O722,N722))=0,"",MIN(IF(ISBLANK(O722),N722,O722),IF(ISBLANK(N722),O722,N722)))</f>
        <v>4.7337962962962958E-3</v>
      </c>
      <c r="R722" s="57">
        <v>4.8032407407407407E-3</v>
      </c>
      <c r="S722" s="57"/>
      <c r="T722" s="59">
        <f>IF(MIN(IF(ISBLANK(R722),Q722,R722),IF(ISBLANK(Q722),R722,Q722))=0,"",MIN(IF(ISBLANK(R722),Q722,R722),IF(ISBLANK(Q722),R722,Q722)))</f>
        <v>4.7337962962962958E-3</v>
      </c>
      <c r="U722" s="57">
        <v>4.8032407407407407E-3</v>
      </c>
      <c r="V722" s="57"/>
      <c r="W722" s="59">
        <f>IF(MIN(IF(ISBLANK(U722),T722,U722),IF(ISBLANK(T722),U722,T722))=0,"",MIN(IF(ISBLANK(U722),T722,U722),IF(ISBLANK(T722),U722,T722)))</f>
        <v>4.7337962962962958E-3</v>
      </c>
      <c r="X722" s="57">
        <v>4.7916666666666672E-3</v>
      </c>
      <c r="Y722" s="57"/>
      <c r="Z722" s="59">
        <f>IF(MIN(IF(ISBLANK(X722),W722,X722),IF(ISBLANK(W722),X722,W722))=0,"",MIN(IF(ISBLANK(X722),W722,X722),IF(ISBLANK(W722),X722,W722)))</f>
        <v>4.7337962962962958E-3</v>
      </c>
      <c r="AA722" s="57"/>
      <c r="AB722" s="57"/>
      <c r="AC722" s="59">
        <f>IF(MIN(IF(ISBLANK(Z722),AA722,Z722),IF(ISBLANK(AA722),Z722,AA722))=0,"",MIN(IF(ISBLANK(Z722),AA722,Z722),IF(ISBLANK(AA722),Z722,AA722)))</f>
        <v>4.7337962962962958E-3</v>
      </c>
      <c r="AD722" s="57"/>
      <c r="AE722" s="57"/>
      <c r="AF722" s="59">
        <f t="shared" ref="AF722:AF728" si="293">IF(MIN(IF(ISBLANK(AC722),AD722,AC722),IF(ISBLANK(AD722),AC722,AD722))=0,"",MIN(IF(ISBLANK(AC722),AD722,AC722),IF(ISBLANK(AD722),AC722,AD722)))</f>
        <v>4.7337962962962958E-3</v>
      </c>
      <c r="AG722" s="57"/>
      <c r="AH722" s="57"/>
      <c r="AI722" s="59">
        <f t="shared" ref="AI722:AI728" si="294">IF(MIN(IF(ISBLANK(AF722),AG722,AF722),IF(ISBLANK(AG722),AF722,AG722))=0,"",MIN(IF(ISBLANK(AF722),AG722,AF722),IF(ISBLANK(AG722),AF722,AG722)))</f>
        <v>4.7337962962962958E-3</v>
      </c>
      <c r="AJ722" s="57"/>
      <c r="AK722" s="57"/>
      <c r="AL722" s="59">
        <f t="shared" ref="AL722:AL753" si="295">IF(MIN(IF(ISBLANK(AI722),AJ722,AI722),IF(ISBLANK(AJ722),AI722,AJ722))=0,"",MIN(IF(ISBLANK(AI722),AJ722,AI722),IF(ISBLANK(AJ722),AI722,AJ722)))</f>
        <v>4.7337962962962958E-3</v>
      </c>
      <c r="AM722" s="57"/>
      <c r="AN722" s="57"/>
      <c r="AO722" s="59">
        <f t="shared" ref="AO722:AO753" si="296">IF(MIN(IF(ISBLANK(AL722),AM722,AL722),IF(ISBLANK(AM722),AL722,AM722))=0,"",MIN(IF(ISBLANK(AL722),AM722,AL722),IF(ISBLANK(AM722),AL722,AM722)))</f>
        <v>4.7337962962962958E-3</v>
      </c>
      <c r="AP722" s="57"/>
      <c r="AQ722" s="59">
        <f t="shared" si="291"/>
        <v>4.7337962962962958E-3</v>
      </c>
      <c r="AR722" s="57"/>
      <c r="AS722" s="57"/>
      <c r="AT722" s="59">
        <f t="shared" si="292"/>
        <v>4.7337962962962958E-3</v>
      </c>
    </row>
    <row r="723" spans="1:46" hidden="1">
      <c r="A723" s="24"/>
      <c r="B723" s="26" t="s">
        <v>137</v>
      </c>
      <c r="C723" s="26" t="s">
        <v>443</v>
      </c>
      <c r="D723" s="50">
        <v>10.119999999999999</v>
      </c>
      <c r="E723" s="51"/>
      <c r="F723" s="50">
        <v>10.119999999999999</v>
      </c>
      <c r="G723" s="52"/>
      <c r="H723" s="50">
        <v>10.119999999999999</v>
      </c>
      <c r="I723" s="53"/>
      <c r="J723" s="50">
        <v>10.119999999999999</v>
      </c>
      <c r="K723" s="53"/>
      <c r="L723" s="50">
        <v>10.119999999999999</v>
      </c>
      <c r="M723" s="57"/>
      <c r="N723" s="55">
        <v>7.083333333333333E-3</v>
      </c>
      <c r="O723" s="57"/>
      <c r="P723" s="57"/>
      <c r="Q723" s="59">
        <f>IF(MIN(IF(ISBLANK(O723),N723,O723),IF(ISBLANK(N723),O723,N723))=0,"",MIN(IF(ISBLANK(O723),N723,O723),IF(ISBLANK(N723),O723,N723)))</f>
        <v>7.083333333333333E-3</v>
      </c>
      <c r="R723" s="57"/>
      <c r="S723" s="57"/>
      <c r="T723" s="59">
        <f>IF(MIN(IF(ISBLANK(R723),Q723,R723),IF(ISBLANK(Q723),R723,Q723))=0,"",MIN(IF(ISBLANK(R723),Q723,R723),IF(ISBLANK(Q723),R723,Q723)))</f>
        <v>7.083333333333333E-3</v>
      </c>
      <c r="U723" s="57"/>
      <c r="V723" s="57"/>
      <c r="W723" s="59">
        <f>IF(MIN(IF(ISBLANK(U723),T723,U723),IF(ISBLANK(T723),U723,T723))=0,"",MIN(IF(ISBLANK(U723),T723,U723),IF(ISBLANK(T723),U723,T723)))</f>
        <v>7.083333333333333E-3</v>
      </c>
      <c r="X723" s="57"/>
      <c r="Y723" s="57"/>
      <c r="Z723" s="59">
        <f>IF(MIN(IF(ISBLANK(X723),W723,X723),IF(ISBLANK(W723),X723,W723))=0,"",MIN(IF(ISBLANK(X723),W723,X723),IF(ISBLANK(W723),X723,W723)))</f>
        <v>7.083333333333333E-3</v>
      </c>
      <c r="AA723" s="57"/>
      <c r="AB723" s="57"/>
      <c r="AC723" s="59">
        <f>IF(MIN(IF(ISBLANK(Z723),AA723,Z723),IF(ISBLANK(AA723),Z723,AA723))=0,"",MIN(IF(ISBLANK(Z723),AA723,Z723),IF(ISBLANK(AA723),Z723,AA723)))</f>
        <v>7.083333333333333E-3</v>
      </c>
      <c r="AD723" s="57"/>
      <c r="AE723" s="57"/>
      <c r="AF723" s="59">
        <f t="shared" si="293"/>
        <v>7.083333333333333E-3</v>
      </c>
      <c r="AG723" s="57"/>
      <c r="AH723" s="57"/>
      <c r="AI723" s="59">
        <f t="shared" si="294"/>
        <v>7.083333333333333E-3</v>
      </c>
      <c r="AJ723" s="57"/>
      <c r="AK723" s="57"/>
      <c r="AL723" s="59">
        <f t="shared" si="295"/>
        <v>7.083333333333333E-3</v>
      </c>
      <c r="AM723" s="57"/>
      <c r="AN723" s="57"/>
      <c r="AO723" s="59">
        <f t="shared" si="296"/>
        <v>7.083333333333333E-3</v>
      </c>
      <c r="AP723" s="57"/>
      <c r="AQ723" s="59">
        <f t="shared" si="291"/>
        <v>7.083333333333333E-3</v>
      </c>
      <c r="AR723" s="57"/>
      <c r="AS723" s="57"/>
      <c r="AT723" s="59">
        <f t="shared" si="292"/>
        <v>7.083333333333333E-3</v>
      </c>
    </row>
    <row r="724" spans="1:46" hidden="1">
      <c r="A724" s="24"/>
      <c r="B724" s="26" t="s">
        <v>458</v>
      </c>
      <c r="C724" s="26" t="s">
        <v>443</v>
      </c>
      <c r="D724" s="50"/>
      <c r="E724" s="51"/>
      <c r="F724" s="50"/>
      <c r="G724" s="52"/>
      <c r="H724" s="50"/>
      <c r="I724" s="53"/>
      <c r="J724" s="50"/>
      <c r="K724" s="53"/>
      <c r="L724" s="50"/>
      <c r="M724" s="57"/>
      <c r="N724" s="55"/>
      <c r="O724" s="57"/>
      <c r="P724" s="57"/>
      <c r="Q724" s="59" t="str">
        <f>IF(MIN(IF(ISBLANK(O724),N724,O724),IF(ISBLANK(N724),O724,N724))=0,"",MIN(IF(ISBLANK(O724),N724,O724),IF(ISBLANK(N724),O724,N724)))</f>
        <v/>
      </c>
      <c r="R724" s="57"/>
      <c r="S724" s="57"/>
      <c r="T724" s="59" t="str">
        <f>IF(MIN(IF(ISBLANK(R724),Q724,R724),IF(ISBLANK(Q724),R724,Q724))=0,"",MIN(IF(ISBLANK(R724),Q724,R724),IF(ISBLANK(Q724),R724,Q724)))</f>
        <v/>
      </c>
      <c r="U724" s="57"/>
      <c r="V724" s="57"/>
      <c r="W724" s="59" t="str">
        <f>IF(MIN(IF(ISBLANK(U724),T724,U724),IF(ISBLANK(T724),U724,T724))=0,"",MIN(IF(ISBLANK(U724),T724,U724),IF(ISBLANK(T724),U724,T724)))</f>
        <v/>
      </c>
      <c r="X724" s="57"/>
      <c r="Y724" s="57"/>
      <c r="Z724" s="59" t="str">
        <f>IF(MIN(IF(ISBLANK(X724),W724,X724),IF(ISBLANK(W724),X724,W724))=0,"",MIN(IF(ISBLANK(X724),W724,X724),IF(ISBLANK(W724),X724,W724)))</f>
        <v/>
      </c>
      <c r="AA724" s="57"/>
      <c r="AB724" s="57"/>
      <c r="AC724" s="59" t="str">
        <f>IF(MIN(IF(ISBLANK(Z724),AA724,Z724),IF(ISBLANK(AA724),Z724,AA724))=0,"",MIN(IF(ISBLANK(Z724),AA724,Z724),IF(ISBLANK(AA724),Z724,AA724)))</f>
        <v/>
      </c>
      <c r="AD724" s="57"/>
      <c r="AE724" s="57"/>
      <c r="AF724" s="59" t="str">
        <f t="shared" si="293"/>
        <v/>
      </c>
      <c r="AG724" s="57"/>
      <c r="AH724" s="57"/>
      <c r="AI724" s="59" t="str">
        <f t="shared" si="294"/>
        <v/>
      </c>
      <c r="AJ724" s="57"/>
      <c r="AK724" s="57"/>
      <c r="AL724" s="59" t="str">
        <f t="shared" si="295"/>
        <v/>
      </c>
      <c r="AM724" s="57"/>
      <c r="AN724" s="57"/>
      <c r="AO724" s="59" t="str">
        <f t="shared" si="296"/>
        <v/>
      </c>
      <c r="AP724" s="57"/>
      <c r="AQ724" s="59" t="str">
        <f t="shared" si="291"/>
        <v/>
      </c>
      <c r="AR724" s="57"/>
      <c r="AS724" s="57"/>
      <c r="AT724" s="59" t="str">
        <f t="shared" si="292"/>
        <v/>
      </c>
    </row>
    <row r="725" spans="1:46" hidden="1">
      <c r="A725" s="24"/>
      <c r="B725" s="26" t="s">
        <v>144</v>
      </c>
      <c r="C725" s="26" t="s">
        <v>443</v>
      </c>
      <c r="D725" s="50">
        <v>7.07</v>
      </c>
      <c r="E725" s="51"/>
      <c r="F725" s="50">
        <v>7.07</v>
      </c>
      <c r="G725" s="52"/>
      <c r="H725" s="50">
        <v>7.07</v>
      </c>
      <c r="I725" s="53"/>
      <c r="J725" s="50">
        <v>7.07</v>
      </c>
      <c r="K725" s="53"/>
      <c r="L725" s="50">
        <v>7.07</v>
      </c>
      <c r="M725" s="57"/>
      <c r="N725" s="55">
        <v>4.9421296296296288E-3</v>
      </c>
      <c r="O725" s="57"/>
      <c r="P725" s="57"/>
      <c r="Q725" s="59">
        <f>IF(MIN(IF(ISBLANK(O725),N725,O725),IF(ISBLANK(N725),O725,N725))=0,"",MIN(IF(ISBLANK(O725),N725,O725),IF(ISBLANK(N725),O725,N725)))</f>
        <v>4.9421296296296288E-3</v>
      </c>
      <c r="R725" s="57"/>
      <c r="S725" s="57"/>
      <c r="T725" s="59">
        <f>IF(MIN(IF(ISBLANK(R725),Q725,R725),IF(ISBLANK(Q725),R725,Q725))=0,"",MIN(IF(ISBLANK(R725),Q725,R725),IF(ISBLANK(Q725),R725,Q725)))</f>
        <v>4.9421296296296288E-3</v>
      </c>
      <c r="U725" s="57"/>
      <c r="V725" s="57"/>
      <c r="W725" s="59">
        <f>IF(MIN(IF(ISBLANK(U725),T725,U725),IF(ISBLANK(T725),U725,T725))=0,"",MIN(IF(ISBLANK(U725),T725,U725),IF(ISBLANK(T725),U725,T725)))</f>
        <v>4.9421296296296288E-3</v>
      </c>
      <c r="X725" s="57"/>
      <c r="Y725" s="57"/>
      <c r="Z725" s="59">
        <f>IF(MIN(IF(ISBLANK(X725),W725,X725),IF(ISBLANK(W725),X725,W725))=0,"",MIN(IF(ISBLANK(X725),W725,X725),IF(ISBLANK(W725),X725,W725)))</f>
        <v>4.9421296296296288E-3</v>
      </c>
      <c r="AA725" s="57"/>
      <c r="AB725" s="57"/>
      <c r="AC725" s="59">
        <f>IF(MIN(IF(ISBLANK(Z725),AA725,Z725),IF(ISBLANK(AA725),Z725,AA725))=0,"",MIN(IF(ISBLANK(Z725),AA725,Z725),IF(ISBLANK(AA725),Z725,AA725)))</f>
        <v>4.9421296296296288E-3</v>
      </c>
      <c r="AD725" s="57"/>
      <c r="AE725" s="57"/>
      <c r="AF725" s="59">
        <f t="shared" si="293"/>
        <v>4.9421296296296288E-3</v>
      </c>
      <c r="AG725" s="57"/>
      <c r="AH725" s="57"/>
      <c r="AI725" s="59">
        <f t="shared" si="294"/>
        <v>4.9421296296296288E-3</v>
      </c>
      <c r="AJ725" s="57"/>
      <c r="AK725" s="57"/>
      <c r="AL725" s="59">
        <f t="shared" si="295"/>
        <v>4.9421296296296288E-3</v>
      </c>
      <c r="AM725" s="57"/>
      <c r="AN725" s="57"/>
      <c r="AO725" s="59">
        <f t="shared" si="296"/>
        <v>4.9421296296296288E-3</v>
      </c>
      <c r="AP725" s="57"/>
      <c r="AQ725" s="59">
        <f t="shared" si="291"/>
        <v>4.9421296296296288E-3</v>
      </c>
      <c r="AR725" s="57"/>
      <c r="AS725" s="57"/>
      <c r="AT725" s="59">
        <f t="shared" si="292"/>
        <v>4.9421296296296288E-3</v>
      </c>
    </row>
    <row r="726" spans="1:46" hidden="1">
      <c r="A726" s="24"/>
      <c r="B726" s="26" t="s">
        <v>718</v>
      </c>
      <c r="C726" s="26"/>
      <c r="D726" s="50"/>
      <c r="E726" s="51"/>
      <c r="F726" s="50"/>
      <c r="G726" s="52"/>
      <c r="H726" s="50"/>
      <c r="I726" s="53"/>
      <c r="J726" s="50"/>
      <c r="K726" s="53"/>
      <c r="L726" s="50"/>
      <c r="M726" s="57"/>
      <c r="N726" s="55"/>
      <c r="O726" s="57"/>
      <c r="P726" s="57"/>
      <c r="Q726" s="59"/>
      <c r="R726" s="57"/>
      <c r="S726" s="57"/>
      <c r="T726" s="59"/>
      <c r="U726" s="57"/>
      <c r="V726" s="57"/>
      <c r="W726" s="59"/>
      <c r="X726" s="57"/>
      <c r="Y726" s="57"/>
      <c r="Z726" s="59"/>
      <c r="AA726" s="57"/>
      <c r="AB726" s="57"/>
      <c r="AC726" s="59"/>
      <c r="AD726" s="57"/>
      <c r="AE726" s="57"/>
      <c r="AF726" s="59" t="str">
        <f t="shared" si="293"/>
        <v/>
      </c>
      <c r="AG726" s="57"/>
      <c r="AH726" s="57"/>
      <c r="AI726" s="59" t="str">
        <f t="shared" si="294"/>
        <v/>
      </c>
      <c r="AJ726" s="57"/>
      <c r="AK726" s="57"/>
      <c r="AL726" s="59" t="str">
        <f t="shared" si="295"/>
        <v/>
      </c>
      <c r="AM726" s="57"/>
      <c r="AN726" s="57"/>
      <c r="AO726" s="59" t="str">
        <f t="shared" si="296"/>
        <v/>
      </c>
      <c r="AP726" s="57"/>
      <c r="AQ726" s="59" t="str">
        <f t="shared" si="291"/>
        <v/>
      </c>
      <c r="AR726" s="57"/>
      <c r="AS726" s="57"/>
      <c r="AT726" s="59" t="str">
        <f t="shared" si="292"/>
        <v/>
      </c>
    </row>
    <row r="727" spans="1:46" hidden="1">
      <c r="A727" s="24"/>
      <c r="B727" s="26" t="s">
        <v>150</v>
      </c>
      <c r="C727" s="26" t="s">
        <v>443</v>
      </c>
      <c r="D727" s="50">
        <v>7.07</v>
      </c>
      <c r="E727" s="51"/>
      <c r="F727" s="50">
        <v>7.07</v>
      </c>
      <c r="G727" s="52"/>
      <c r="H727" s="50">
        <v>7.07</v>
      </c>
      <c r="I727" s="53"/>
      <c r="J727" s="50">
        <v>7.07</v>
      </c>
      <c r="K727" s="53"/>
      <c r="L727" s="50">
        <v>7.07</v>
      </c>
      <c r="M727" s="57"/>
      <c r="N727" s="55">
        <v>4.9421296296296288E-3</v>
      </c>
      <c r="O727" s="57"/>
      <c r="P727" s="57"/>
      <c r="Q727" s="59">
        <f>IF(MIN(IF(ISBLANK(O727),N727,O727),IF(ISBLANK(N727),O727,N727))=0,"",MIN(IF(ISBLANK(O727),N727,O727),IF(ISBLANK(N727),O727,N727)))</f>
        <v>4.9421296296296288E-3</v>
      </c>
      <c r="R727" s="57"/>
      <c r="S727" s="57"/>
      <c r="T727" s="59">
        <f>IF(MIN(IF(ISBLANK(R727),Q727,R727),IF(ISBLANK(Q727),R727,Q727))=0,"",MIN(IF(ISBLANK(R727),Q727,R727),IF(ISBLANK(Q727),R727,Q727)))</f>
        <v>4.9421296296296288E-3</v>
      </c>
      <c r="U727" s="57"/>
      <c r="V727" s="57"/>
      <c r="W727" s="59">
        <f>IF(MIN(IF(ISBLANK(U727),T727,U727),IF(ISBLANK(T727),U727,T727))=0,"",MIN(IF(ISBLANK(U727),T727,U727),IF(ISBLANK(T727),U727,T727)))</f>
        <v>4.9421296296296288E-3</v>
      </c>
      <c r="X727" s="57"/>
      <c r="Y727" s="57"/>
      <c r="Z727" s="59">
        <f>IF(MIN(IF(ISBLANK(X727),W727,X727),IF(ISBLANK(W727),X727,W727))=0,"",MIN(IF(ISBLANK(X727),W727,X727),IF(ISBLANK(W727),X727,W727)))</f>
        <v>4.9421296296296288E-3</v>
      </c>
      <c r="AA727" s="57"/>
      <c r="AB727" s="57"/>
      <c r="AC727" s="59">
        <f>IF(MIN(IF(ISBLANK(Z727),AA727,Z727),IF(ISBLANK(AA727),Z727,AA727))=0,"",MIN(IF(ISBLANK(Z727),AA727,Z727),IF(ISBLANK(AA727),Z727,AA727)))</f>
        <v>4.9421296296296288E-3</v>
      </c>
      <c r="AD727" s="57"/>
      <c r="AE727" s="57"/>
      <c r="AF727" s="59">
        <f t="shared" si="293"/>
        <v>4.9421296296296288E-3</v>
      </c>
      <c r="AG727" s="57"/>
      <c r="AH727" s="57"/>
      <c r="AI727" s="59">
        <f t="shared" si="294"/>
        <v>4.9421296296296288E-3</v>
      </c>
      <c r="AJ727" s="57"/>
      <c r="AK727" s="57"/>
      <c r="AL727" s="59">
        <f t="shared" si="295"/>
        <v>4.9421296296296288E-3</v>
      </c>
      <c r="AM727" s="57"/>
      <c r="AN727" s="57"/>
      <c r="AO727" s="59">
        <f t="shared" si="296"/>
        <v>4.9421296296296288E-3</v>
      </c>
      <c r="AP727" s="57"/>
      <c r="AQ727" s="59">
        <f t="shared" si="291"/>
        <v>4.9421296296296288E-3</v>
      </c>
      <c r="AR727" s="57"/>
      <c r="AS727" s="57"/>
      <c r="AT727" s="59">
        <f t="shared" si="292"/>
        <v>4.9421296296296288E-3</v>
      </c>
    </row>
    <row r="728" spans="1:46" hidden="1">
      <c r="A728" s="24"/>
      <c r="B728" s="26" t="s">
        <v>747</v>
      </c>
      <c r="C728" s="26"/>
      <c r="D728" s="50"/>
      <c r="E728" s="51"/>
      <c r="F728" s="50"/>
      <c r="G728" s="52"/>
      <c r="H728" s="50"/>
      <c r="I728" s="53"/>
      <c r="J728" s="50"/>
      <c r="K728" s="53"/>
      <c r="L728" s="50"/>
      <c r="M728" s="57"/>
      <c r="N728" s="55"/>
      <c r="O728" s="57"/>
      <c r="P728" s="57"/>
      <c r="Q728" s="59"/>
      <c r="R728" s="57"/>
      <c r="S728" s="57"/>
      <c r="T728" s="59"/>
      <c r="U728" s="57"/>
      <c r="V728" s="57"/>
      <c r="W728" s="59"/>
      <c r="X728" s="57"/>
      <c r="Y728" s="57"/>
      <c r="Z728" s="59"/>
      <c r="AA728" s="57"/>
      <c r="AB728" s="57"/>
      <c r="AC728" s="59"/>
      <c r="AD728" s="57"/>
      <c r="AE728" s="57"/>
      <c r="AF728" s="59" t="str">
        <f t="shared" si="293"/>
        <v/>
      </c>
      <c r="AG728" s="57"/>
      <c r="AH728" s="57"/>
      <c r="AI728" s="59" t="str">
        <f t="shared" si="294"/>
        <v/>
      </c>
      <c r="AJ728" s="57"/>
      <c r="AK728" s="57"/>
      <c r="AL728" s="59" t="str">
        <f t="shared" si="295"/>
        <v/>
      </c>
      <c r="AM728" s="57"/>
      <c r="AN728" s="57"/>
      <c r="AO728" s="59" t="str">
        <f t="shared" si="296"/>
        <v/>
      </c>
      <c r="AP728" s="57"/>
      <c r="AQ728" s="59" t="str">
        <f t="shared" si="291"/>
        <v/>
      </c>
      <c r="AR728" s="57"/>
      <c r="AS728" s="57"/>
      <c r="AT728" s="59" t="str">
        <f t="shared" si="292"/>
        <v/>
      </c>
    </row>
    <row r="729" spans="1:46" hidden="1">
      <c r="A729" s="24"/>
      <c r="B729" s="26" t="s">
        <v>780</v>
      </c>
      <c r="C729" s="26"/>
      <c r="D729" s="50"/>
      <c r="E729" s="51"/>
      <c r="F729" s="50"/>
      <c r="G729" s="52"/>
      <c r="H729" s="50"/>
      <c r="I729" s="53"/>
      <c r="J729" s="50"/>
      <c r="K729" s="53"/>
      <c r="L729" s="50"/>
      <c r="M729" s="57"/>
      <c r="N729" s="55"/>
      <c r="O729" s="57"/>
      <c r="P729" s="57"/>
      <c r="Q729" s="59"/>
      <c r="R729" s="57"/>
      <c r="S729" s="57"/>
      <c r="T729" s="59"/>
      <c r="U729" s="57"/>
      <c r="V729" s="57"/>
      <c r="W729" s="59"/>
      <c r="X729" s="57"/>
      <c r="Y729" s="57"/>
      <c r="Z729" s="59"/>
      <c r="AA729" s="57"/>
      <c r="AB729" s="57"/>
      <c r="AC729" s="59"/>
      <c r="AD729" s="57"/>
      <c r="AE729" s="57"/>
      <c r="AF729" s="59"/>
      <c r="AG729" s="57"/>
      <c r="AH729" s="57"/>
      <c r="AI729" s="59"/>
      <c r="AJ729" s="57"/>
      <c r="AK729" s="57"/>
      <c r="AL729" s="59" t="str">
        <f t="shared" si="295"/>
        <v/>
      </c>
      <c r="AM729" s="57"/>
      <c r="AN729" s="57"/>
      <c r="AO729" s="59" t="str">
        <f t="shared" si="296"/>
        <v/>
      </c>
      <c r="AP729" s="57"/>
      <c r="AQ729" s="59" t="str">
        <f t="shared" si="291"/>
        <v/>
      </c>
      <c r="AR729" s="57"/>
      <c r="AS729" s="57"/>
      <c r="AT729" s="59" t="str">
        <f t="shared" si="292"/>
        <v/>
      </c>
    </row>
    <row r="730" spans="1:46" hidden="1">
      <c r="A730" s="24"/>
      <c r="B730" s="26" t="s">
        <v>676</v>
      </c>
      <c r="C730" s="26"/>
      <c r="D730" s="50"/>
      <c r="E730" s="51"/>
      <c r="F730" s="50"/>
      <c r="G730" s="52"/>
      <c r="H730" s="50"/>
      <c r="I730" s="53"/>
      <c r="J730" s="50"/>
      <c r="K730" s="53"/>
      <c r="L730" s="50"/>
      <c r="M730" s="57"/>
      <c r="N730" s="55"/>
      <c r="O730" s="57"/>
      <c r="P730" s="57"/>
      <c r="Q730" s="59"/>
      <c r="R730" s="57"/>
      <c r="S730" s="57"/>
      <c r="T730" s="59"/>
      <c r="U730" s="57"/>
      <c r="V730" s="57"/>
      <c r="W730" s="59"/>
      <c r="X730" s="57">
        <v>5.1736111111111115E-3</v>
      </c>
      <c r="Y730" s="57"/>
      <c r="Z730" s="59">
        <f>IF(MIN(IF(ISBLANK(X730),W730,X730),IF(ISBLANK(W730),X730,W730))=0,"",MIN(IF(ISBLANK(X730),W730,X730),IF(ISBLANK(W730),X730,W730)))</f>
        <v>5.1736111111111115E-3</v>
      </c>
      <c r="AA730" s="57"/>
      <c r="AB730" s="57"/>
      <c r="AC730" s="59">
        <f>IF(MIN(IF(ISBLANK(Z730),AA730,Z730),IF(ISBLANK(AA730),Z730,AA730))=0,"",MIN(IF(ISBLANK(Z730),AA730,Z730),IF(ISBLANK(AA730),Z730,AA730)))</f>
        <v>5.1736111111111115E-3</v>
      </c>
      <c r="AD730" s="57"/>
      <c r="AE730" s="57"/>
      <c r="AF730" s="59">
        <f>IF(MIN(IF(ISBLANK(AC730),AD730,AC730),IF(ISBLANK(AD730),AC730,AD730))=0,"",MIN(IF(ISBLANK(AC730),AD730,AC730),IF(ISBLANK(AD730),AC730,AD730)))</f>
        <v>5.1736111111111115E-3</v>
      </c>
      <c r="AG730" s="57"/>
      <c r="AH730" s="57"/>
      <c r="AI730" s="59">
        <f>IF(MIN(IF(ISBLANK(AF730),AG730,AF730),IF(ISBLANK(AG730),AF730,AG730))=0,"",MIN(IF(ISBLANK(AF730),AG730,AF730),IF(ISBLANK(AG730),AF730,AG730)))</f>
        <v>5.1736111111111115E-3</v>
      </c>
      <c r="AJ730" s="57"/>
      <c r="AK730" s="57"/>
      <c r="AL730" s="59">
        <f t="shared" si="295"/>
        <v>5.1736111111111115E-3</v>
      </c>
      <c r="AM730" s="57"/>
      <c r="AN730" s="57"/>
      <c r="AO730" s="59">
        <f t="shared" si="296"/>
        <v>5.1736111111111115E-3</v>
      </c>
      <c r="AP730" s="57"/>
      <c r="AQ730" s="59">
        <f t="shared" si="291"/>
        <v>5.1736111111111115E-3</v>
      </c>
      <c r="AR730" s="57"/>
      <c r="AS730" s="57"/>
      <c r="AT730" s="59">
        <f t="shared" si="292"/>
        <v>5.1736111111111115E-3</v>
      </c>
    </row>
    <row r="731" spans="1:46" hidden="1">
      <c r="A731" s="24"/>
      <c r="B731" s="26" t="s">
        <v>581</v>
      </c>
      <c r="C731" s="26"/>
      <c r="D731" s="50"/>
      <c r="E731" s="51"/>
      <c r="F731" s="50"/>
      <c r="G731" s="52"/>
      <c r="H731" s="50"/>
      <c r="I731" s="53"/>
      <c r="J731" s="50"/>
      <c r="K731" s="53"/>
      <c r="L731" s="50"/>
      <c r="M731" s="57"/>
      <c r="N731" s="55"/>
      <c r="O731" s="57"/>
      <c r="P731" s="57"/>
      <c r="Q731" s="59"/>
      <c r="R731" s="57"/>
      <c r="S731" s="57"/>
      <c r="T731" s="59" t="str">
        <f>IF(MIN(IF(ISBLANK(R731),Q731,R731),IF(ISBLANK(Q731),R731,Q731))=0,"",MIN(IF(ISBLANK(R731),Q731,R731),IF(ISBLANK(Q731),R731,Q731)))</f>
        <v/>
      </c>
      <c r="U731" s="57"/>
      <c r="V731" s="57"/>
      <c r="W731" s="59" t="str">
        <f>IF(MIN(IF(ISBLANK(U731),T731,U731),IF(ISBLANK(T731),U731,T731))=0,"",MIN(IF(ISBLANK(U731),T731,U731),IF(ISBLANK(T731),U731,T731)))</f>
        <v/>
      </c>
      <c r="X731" s="57"/>
      <c r="Y731" s="57"/>
      <c r="Z731" s="59" t="str">
        <f>IF(MIN(IF(ISBLANK(X731),W731,X731),IF(ISBLANK(W731),X731,W731))=0,"",MIN(IF(ISBLANK(X731),W731,X731),IF(ISBLANK(W731),X731,W731)))</f>
        <v/>
      </c>
      <c r="AA731" s="57"/>
      <c r="AB731" s="57"/>
      <c r="AC731" s="59" t="str">
        <f>IF(MIN(IF(ISBLANK(Z731),AA731,Z731),IF(ISBLANK(AA731),Z731,AA731))=0,"",MIN(IF(ISBLANK(Z731),AA731,Z731),IF(ISBLANK(AA731),Z731,AA731)))</f>
        <v/>
      </c>
      <c r="AD731" s="57"/>
      <c r="AE731" s="57"/>
      <c r="AF731" s="59" t="str">
        <f>IF(MIN(IF(ISBLANK(AC731),AD731,AC731),IF(ISBLANK(AD731),AC731,AD731))=0,"",MIN(IF(ISBLANK(AC731),AD731,AC731),IF(ISBLANK(AD731),AC731,AD731)))</f>
        <v/>
      </c>
      <c r="AG731" s="57"/>
      <c r="AH731" s="57"/>
      <c r="AI731" s="59" t="str">
        <f>IF(MIN(IF(ISBLANK(AF731),AG731,AF731),IF(ISBLANK(AG731),AF731,AG731))=0,"",MIN(IF(ISBLANK(AF731),AG731,AF731),IF(ISBLANK(AG731),AF731,AG731)))</f>
        <v/>
      </c>
      <c r="AJ731" s="57"/>
      <c r="AK731" s="57"/>
      <c r="AL731" s="59" t="str">
        <f t="shared" si="295"/>
        <v/>
      </c>
      <c r="AM731" s="57"/>
      <c r="AN731" s="57"/>
      <c r="AO731" s="59" t="str">
        <f t="shared" si="296"/>
        <v/>
      </c>
      <c r="AP731" s="57"/>
      <c r="AQ731" s="59" t="str">
        <f t="shared" si="291"/>
        <v/>
      </c>
      <c r="AR731" s="57"/>
      <c r="AS731" s="57"/>
      <c r="AT731" s="59" t="str">
        <f t="shared" si="292"/>
        <v/>
      </c>
    </row>
    <row r="732" spans="1:46">
      <c r="A732" s="24" t="s">
        <v>792</v>
      </c>
      <c r="B732" s="26" t="s">
        <v>798</v>
      </c>
      <c r="C732" s="26"/>
      <c r="D732" s="50"/>
      <c r="E732" s="51"/>
      <c r="F732" s="50"/>
      <c r="G732" s="52"/>
      <c r="H732" s="50"/>
      <c r="I732" s="53"/>
      <c r="J732" s="50"/>
      <c r="K732" s="53"/>
      <c r="L732" s="50"/>
      <c r="M732" s="57"/>
      <c r="N732" s="55"/>
      <c r="O732" s="57"/>
      <c r="P732" s="57"/>
      <c r="Q732" s="59"/>
      <c r="R732" s="57"/>
      <c r="S732" s="57"/>
      <c r="T732" s="59"/>
      <c r="U732" s="57"/>
      <c r="V732" s="57"/>
      <c r="W732" s="59"/>
      <c r="X732" s="57"/>
      <c r="Y732" s="57"/>
      <c r="Z732" s="59"/>
      <c r="AA732" s="57"/>
      <c r="AB732" s="57"/>
      <c r="AC732" s="59"/>
      <c r="AD732" s="57"/>
      <c r="AE732" s="57"/>
      <c r="AF732" s="59"/>
      <c r="AG732" s="57"/>
      <c r="AH732" s="57"/>
      <c r="AI732" s="59"/>
      <c r="AJ732" s="57">
        <v>6.851851851851852E-3</v>
      </c>
      <c r="AK732" s="57"/>
      <c r="AL732" s="59">
        <f t="shared" si="295"/>
        <v>6.851851851851852E-3</v>
      </c>
      <c r="AM732" s="57">
        <v>5.7060185185185191E-3</v>
      </c>
      <c r="AN732" s="57"/>
      <c r="AO732" s="59">
        <f t="shared" si="296"/>
        <v>5.7060185185185191E-3</v>
      </c>
      <c r="AP732" s="57">
        <v>5.6134259259259271E-3</v>
      </c>
      <c r="AQ732" s="59">
        <f t="shared" si="291"/>
        <v>5.6134259259259271E-3</v>
      </c>
      <c r="AR732" s="57"/>
      <c r="AS732" s="57"/>
      <c r="AT732" s="59">
        <f t="shared" si="292"/>
        <v>5.6134259259259271E-3</v>
      </c>
    </row>
    <row r="733" spans="1:46" hidden="1">
      <c r="A733" s="24"/>
      <c r="B733" s="26" t="s">
        <v>684</v>
      </c>
      <c r="C733" s="26"/>
      <c r="D733" s="50"/>
      <c r="E733" s="51"/>
      <c r="F733" s="50"/>
      <c r="G733" s="52"/>
      <c r="H733" s="50"/>
      <c r="I733" s="53"/>
      <c r="J733" s="50"/>
      <c r="K733" s="53"/>
      <c r="L733" s="50"/>
      <c r="M733" s="57"/>
      <c r="N733" s="55"/>
      <c r="O733" s="57"/>
      <c r="P733" s="57"/>
      <c r="Q733" s="59"/>
      <c r="R733" s="57"/>
      <c r="S733" s="57"/>
      <c r="T733" s="59"/>
      <c r="U733" s="57"/>
      <c r="V733" s="57"/>
      <c r="W733" s="59"/>
      <c r="X733" s="57"/>
      <c r="Y733" s="57"/>
      <c r="Z733" s="59" t="str">
        <f>IF(MIN(IF(ISBLANK(X733),W733,X733),IF(ISBLANK(W733),X733,W733))=0,"",MIN(IF(ISBLANK(X733),W733,X733),IF(ISBLANK(W733),X733,W733)))</f>
        <v/>
      </c>
      <c r="AA733" s="57"/>
      <c r="AB733" s="57"/>
      <c r="AC733" s="59" t="str">
        <f>IF(MIN(IF(ISBLANK(Z733),AA733,Z733),IF(ISBLANK(AA733),Z733,AA733))=0,"",MIN(IF(ISBLANK(Z733),AA733,Z733),IF(ISBLANK(AA733),Z733,AA733)))</f>
        <v/>
      </c>
      <c r="AD733" s="57"/>
      <c r="AE733" s="57"/>
      <c r="AF733" s="59" t="str">
        <f>IF(MIN(IF(ISBLANK(AC733),AD733,AC733),IF(ISBLANK(AD733),AC733,AD733))=0,"",MIN(IF(ISBLANK(AC733),AD733,AC733),IF(ISBLANK(AD733),AC733,AD733)))</f>
        <v/>
      </c>
      <c r="AG733" s="57"/>
      <c r="AH733" s="57"/>
      <c r="AI733" s="59" t="str">
        <f>IF(MIN(IF(ISBLANK(AF733),AG733,AF733),IF(ISBLANK(AG733),AF733,AG733))=0,"",MIN(IF(ISBLANK(AF733),AG733,AF733),IF(ISBLANK(AG733),AF733,AG733)))</f>
        <v/>
      </c>
      <c r="AJ733" s="57"/>
      <c r="AK733" s="57"/>
      <c r="AL733" s="59" t="str">
        <f t="shared" si="295"/>
        <v/>
      </c>
      <c r="AM733" s="57"/>
      <c r="AN733" s="57"/>
      <c r="AO733" s="59" t="str">
        <f t="shared" si="296"/>
        <v/>
      </c>
      <c r="AP733" s="57"/>
      <c r="AQ733" s="59" t="str">
        <f t="shared" si="291"/>
        <v/>
      </c>
      <c r="AR733" s="57"/>
      <c r="AS733" s="57"/>
      <c r="AT733" s="59" t="str">
        <f t="shared" si="292"/>
        <v/>
      </c>
    </row>
    <row r="734" spans="1:46">
      <c r="A734" s="24" t="s">
        <v>792</v>
      </c>
      <c r="B734" s="26" t="s">
        <v>162</v>
      </c>
      <c r="C734" s="26" t="s">
        <v>444</v>
      </c>
      <c r="D734" s="50"/>
      <c r="E734" s="51"/>
      <c r="F734" s="50" t="s">
        <v>448</v>
      </c>
      <c r="G734" s="52"/>
      <c r="H734" s="50"/>
      <c r="I734" s="53"/>
      <c r="J734" s="50" t="s">
        <v>448</v>
      </c>
      <c r="K734" s="53"/>
      <c r="L734" s="50"/>
      <c r="M734" s="57"/>
      <c r="N734" s="55"/>
      <c r="O734" s="57"/>
      <c r="P734" s="57"/>
      <c r="Q734" s="59" t="str">
        <f>IF(MIN(IF(ISBLANK(O734),N734,O734),IF(ISBLANK(N734),O734,N734))=0,"",MIN(IF(ISBLANK(O734),N734,O734),IF(ISBLANK(N734),O734,N734)))</f>
        <v/>
      </c>
      <c r="R734" s="57"/>
      <c r="S734" s="57"/>
      <c r="T734" s="59" t="str">
        <f>IF(MIN(IF(ISBLANK(R734),Q734,R734),IF(ISBLANK(Q734),R734,Q734))=0,"",MIN(IF(ISBLANK(R734),Q734,R734),IF(ISBLANK(Q734),R734,Q734)))</f>
        <v/>
      </c>
      <c r="U734" s="57"/>
      <c r="V734" s="57"/>
      <c r="W734" s="59" t="str">
        <f>IF(MIN(IF(ISBLANK(U734),T734,U734),IF(ISBLANK(T734),U734,T734))=0,"",MIN(IF(ISBLANK(U734),T734,U734),IF(ISBLANK(T734),U734,T734)))</f>
        <v/>
      </c>
      <c r="X734" s="57">
        <v>6.6550925925925935E-3</v>
      </c>
      <c r="Y734" s="57"/>
      <c r="Z734" s="59">
        <f>IF(MIN(IF(ISBLANK(X734),W734,X734),IF(ISBLANK(W734),X734,W734))=0,"",MIN(IF(ISBLANK(X734),W734,X734),IF(ISBLANK(W734),X734,W734)))</f>
        <v>6.6550925925925935E-3</v>
      </c>
      <c r="AA734" s="57"/>
      <c r="AB734" s="57"/>
      <c r="AC734" s="59">
        <f>IF(MIN(IF(ISBLANK(Z734),AA734,Z734),IF(ISBLANK(AA734),Z734,AA734))=0,"",MIN(IF(ISBLANK(Z734),AA734,Z734),IF(ISBLANK(AA734),Z734,AA734)))</f>
        <v>6.6550925925925935E-3</v>
      </c>
      <c r="AD734" s="57"/>
      <c r="AE734" s="57"/>
      <c r="AF734" s="59">
        <f>IF(MIN(IF(ISBLANK(AC734),AD734,AC734),IF(ISBLANK(AD734),AC734,AD734))=0,"",MIN(IF(ISBLANK(AC734),AD734,AC734),IF(ISBLANK(AD734),AC734,AD734)))</f>
        <v>6.6550925925925935E-3</v>
      </c>
      <c r="AG734" s="57"/>
      <c r="AH734" s="57"/>
      <c r="AI734" s="59">
        <f>IF(MIN(IF(ISBLANK(AF734),AG734,AF734),IF(ISBLANK(AG734),AF734,AG734))=0,"",MIN(IF(ISBLANK(AF734),AG734,AF734),IF(ISBLANK(AG734),AF734,AG734)))</f>
        <v>6.6550925925925935E-3</v>
      </c>
      <c r="AJ734" s="57"/>
      <c r="AK734" s="57"/>
      <c r="AL734" s="59">
        <f t="shared" si="295"/>
        <v>6.6550925925925935E-3</v>
      </c>
      <c r="AM734" s="57"/>
      <c r="AN734" s="57"/>
      <c r="AO734" s="59">
        <f t="shared" si="296"/>
        <v>6.6550925925925935E-3</v>
      </c>
      <c r="AP734" s="57"/>
      <c r="AQ734" s="59">
        <f t="shared" si="291"/>
        <v>6.6550925925925935E-3</v>
      </c>
      <c r="AR734" s="57"/>
      <c r="AS734" s="57"/>
      <c r="AT734" s="59">
        <f t="shared" si="292"/>
        <v>6.6550925925925935E-3</v>
      </c>
    </row>
    <row r="735" spans="1:46" hidden="1">
      <c r="A735" s="24"/>
      <c r="B735" s="26" t="s">
        <v>169</v>
      </c>
      <c r="C735" s="26" t="s">
        <v>443</v>
      </c>
      <c r="D735" s="50" t="s">
        <v>259</v>
      </c>
      <c r="E735" s="51"/>
      <c r="F735" s="50" t="s">
        <v>259</v>
      </c>
      <c r="G735" s="52"/>
      <c r="H735" s="50" t="s">
        <v>259</v>
      </c>
      <c r="I735" s="53"/>
      <c r="J735" s="50" t="s">
        <v>259</v>
      </c>
      <c r="K735" s="53"/>
      <c r="L735" s="50" t="s">
        <v>259</v>
      </c>
      <c r="M735" s="57"/>
      <c r="N735" s="55">
        <v>6.0185185185185177E-3</v>
      </c>
      <c r="O735" s="57"/>
      <c r="P735" s="57"/>
      <c r="Q735" s="59">
        <f>IF(MIN(IF(ISBLANK(O735),N735,O735),IF(ISBLANK(N735),O735,N735))=0,"",MIN(IF(ISBLANK(O735),N735,O735),IF(ISBLANK(N735),O735,N735)))</f>
        <v>6.0185185185185177E-3</v>
      </c>
      <c r="R735" s="57"/>
      <c r="S735" s="57"/>
      <c r="T735" s="59">
        <f>IF(MIN(IF(ISBLANK(R735),Q735,R735),IF(ISBLANK(Q735),R735,Q735))=0,"",MIN(IF(ISBLANK(R735),Q735,R735),IF(ISBLANK(Q735),R735,Q735)))</f>
        <v>6.0185185185185177E-3</v>
      </c>
      <c r="U735" s="57"/>
      <c r="V735" s="57"/>
      <c r="W735" s="59">
        <f>IF(MIN(IF(ISBLANK(U735),T735,U735),IF(ISBLANK(T735),U735,T735))=0,"",MIN(IF(ISBLANK(U735),T735,U735),IF(ISBLANK(T735),U735,T735)))</f>
        <v>6.0185185185185177E-3</v>
      </c>
      <c r="X735" s="57"/>
      <c r="Y735" s="57"/>
      <c r="Z735" s="59">
        <f>IF(MIN(IF(ISBLANK(X735),W735,X735),IF(ISBLANK(W735),X735,W735))=0,"",MIN(IF(ISBLANK(X735),W735,X735),IF(ISBLANK(W735),X735,W735)))</f>
        <v>6.0185185185185177E-3</v>
      </c>
      <c r="AA735" s="57"/>
      <c r="AB735" s="57"/>
      <c r="AC735" s="59">
        <f>IF(MIN(IF(ISBLANK(Z735),AA735,Z735),IF(ISBLANK(AA735),Z735,AA735))=0,"",MIN(IF(ISBLANK(Z735),AA735,Z735),IF(ISBLANK(AA735),Z735,AA735)))</f>
        <v>6.0185185185185177E-3</v>
      </c>
      <c r="AD735" s="57"/>
      <c r="AE735" s="57"/>
      <c r="AF735" s="59">
        <f>IF(MIN(IF(ISBLANK(AC735),AD735,AC735),IF(ISBLANK(AD735),AC735,AD735))=0,"",MIN(IF(ISBLANK(AC735),AD735,AC735),IF(ISBLANK(AD735),AC735,AD735)))</f>
        <v>6.0185185185185177E-3</v>
      </c>
      <c r="AG735" s="57"/>
      <c r="AH735" s="57"/>
      <c r="AI735" s="59">
        <f>IF(MIN(IF(ISBLANK(AF735),AG735,AF735),IF(ISBLANK(AG735),AF735,AG735))=0,"",MIN(IF(ISBLANK(AF735),AG735,AF735),IF(ISBLANK(AG735),AF735,AG735)))</f>
        <v>6.0185185185185177E-3</v>
      </c>
      <c r="AJ735" s="57"/>
      <c r="AK735" s="57"/>
      <c r="AL735" s="59">
        <f t="shared" si="295"/>
        <v>6.0185185185185177E-3</v>
      </c>
      <c r="AM735" s="57"/>
      <c r="AN735" s="57"/>
      <c r="AO735" s="59">
        <f t="shared" si="296"/>
        <v>6.0185185185185177E-3</v>
      </c>
      <c r="AP735" s="57"/>
      <c r="AQ735" s="59">
        <f t="shared" si="291"/>
        <v>6.0185185185185177E-3</v>
      </c>
      <c r="AR735" s="57"/>
      <c r="AS735" s="57"/>
      <c r="AT735" s="59">
        <f t="shared" si="292"/>
        <v>6.0185185185185177E-3</v>
      </c>
    </row>
    <row r="736" spans="1:46">
      <c r="A736" s="24" t="s">
        <v>792</v>
      </c>
      <c r="B736" s="26" t="s">
        <v>783</v>
      </c>
      <c r="C736" s="26"/>
      <c r="D736" s="50"/>
      <c r="E736" s="51"/>
      <c r="F736" s="50"/>
      <c r="G736" s="52"/>
      <c r="H736" s="50"/>
      <c r="I736" s="53"/>
      <c r="J736" s="50"/>
      <c r="K736" s="53"/>
      <c r="L736" s="50"/>
      <c r="M736" s="57"/>
      <c r="N736" s="55"/>
      <c r="O736" s="57"/>
      <c r="P736" s="57"/>
      <c r="Q736" s="59"/>
      <c r="R736" s="57"/>
      <c r="S736" s="57"/>
      <c r="T736" s="59"/>
      <c r="U736" s="57"/>
      <c r="V736" s="57"/>
      <c r="W736" s="59"/>
      <c r="X736" s="57"/>
      <c r="Y736" s="57"/>
      <c r="Z736" s="59"/>
      <c r="AA736" s="57"/>
      <c r="AB736" s="57"/>
      <c r="AC736" s="59"/>
      <c r="AD736" s="57"/>
      <c r="AE736" s="57"/>
      <c r="AF736" s="59"/>
      <c r="AG736" s="57"/>
      <c r="AH736" s="57"/>
      <c r="AI736" s="59"/>
      <c r="AJ736" s="57"/>
      <c r="AK736" s="57"/>
      <c r="AL736" s="59" t="str">
        <f t="shared" si="295"/>
        <v/>
      </c>
      <c r="AM736" s="57"/>
      <c r="AN736" s="57"/>
      <c r="AO736" s="59" t="str">
        <f t="shared" si="296"/>
        <v/>
      </c>
      <c r="AP736" s="57"/>
      <c r="AQ736" s="59" t="str">
        <f t="shared" si="291"/>
        <v/>
      </c>
      <c r="AR736" s="57"/>
      <c r="AS736" s="57"/>
      <c r="AT736" s="59" t="str">
        <f t="shared" si="292"/>
        <v/>
      </c>
    </row>
    <row r="737" spans="1:46" hidden="1">
      <c r="A737" s="24"/>
      <c r="B737" s="26" t="s">
        <v>589</v>
      </c>
      <c r="C737" s="26"/>
      <c r="D737" s="50"/>
      <c r="E737" s="51"/>
      <c r="F737" s="50"/>
      <c r="G737" s="52"/>
      <c r="H737" s="50"/>
      <c r="I737" s="53"/>
      <c r="J737" s="50"/>
      <c r="K737" s="53"/>
      <c r="L737" s="50"/>
      <c r="M737" s="57"/>
      <c r="N737" s="55"/>
      <c r="O737" s="57">
        <v>1.1574074074074075E-2</v>
      </c>
      <c r="P737" s="57"/>
      <c r="Q737" s="59">
        <f>IF(MIN(IF(ISBLANK(O737),N737,O737),IF(ISBLANK(N737),O737,N737))=0,"",MIN(IF(ISBLANK(O737),N737,O737),IF(ISBLANK(N737),O737,N737)))</f>
        <v>1.1574074074074075E-2</v>
      </c>
      <c r="R737" s="57"/>
      <c r="S737" s="57"/>
      <c r="T737" s="59">
        <f>IF(MIN(IF(ISBLANK(R737),Q737,R737),IF(ISBLANK(Q737),R737,Q737))=0,"",MIN(IF(ISBLANK(R737),Q737,R737),IF(ISBLANK(Q737),R737,Q737)))</f>
        <v>1.1574074074074075E-2</v>
      </c>
      <c r="U737" s="57"/>
      <c r="V737" s="57"/>
      <c r="W737" s="59">
        <f>IF(MIN(IF(ISBLANK(U737),T737,U737),IF(ISBLANK(T737),U737,T737))=0,"",MIN(IF(ISBLANK(U737),T737,U737),IF(ISBLANK(T737),U737,T737)))</f>
        <v>1.1574074074074075E-2</v>
      </c>
      <c r="X737" s="57"/>
      <c r="Y737" s="57"/>
      <c r="Z737" s="59">
        <f t="shared" ref="Z737:Z742" si="297">IF(MIN(IF(ISBLANK(X737),W737,X737),IF(ISBLANK(W737),X737,W737))=0,"",MIN(IF(ISBLANK(X737),W737,X737),IF(ISBLANK(W737),X737,W737)))</f>
        <v>1.1574074074074075E-2</v>
      </c>
      <c r="AA737" s="57"/>
      <c r="AB737" s="57"/>
      <c r="AC737" s="59">
        <f t="shared" ref="AC737:AC742" si="298">IF(MIN(IF(ISBLANK(Z737),AA737,Z737),IF(ISBLANK(AA737),Z737,AA737))=0,"",MIN(IF(ISBLANK(Z737),AA737,Z737),IF(ISBLANK(AA737),Z737,AA737)))</f>
        <v>1.1574074074074075E-2</v>
      </c>
      <c r="AD737" s="57"/>
      <c r="AE737" s="57"/>
      <c r="AF737" s="59">
        <f t="shared" ref="AF737:AF742" si="299">IF(MIN(IF(ISBLANK(AC737),AD737,AC737),IF(ISBLANK(AD737),AC737,AD737))=0,"",MIN(IF(ISBLANK(AC737),AD737,AC737),IF(ISBLANK(AD737),AC737,AD737)))</f>
        <v>1.1574074074074075E-2</v>
      </c>
      <c r="AG737" s="57"/>
      <c r="AH737" s="57"/>
      <c r="AI737" s="59">
        <f t="shared" ref="AI737:AI742" si="300">IF(MIN(IF(ISBLANK(AF737),AG737,AF737),IF(ISBLANK(AG737),AF737,AG737))=0,"",MIN(IF(ISBLANK(AF737),AG737,AF737),IF(ISBLANK(AG737),AF737,AG737)))</f>
        <v>1.1574074074074075E-2</v>
      </c>
      <c r="AJ737" s="57"/>
      <c r="AK737" s="57"/>
      <c r="AL737" s="59">
        <f t="shared" si="295"/>
        <v>1.1574074074074075E-2</v>
      </c>
      <c r="AM737" s="57"/>
      <c r="AN737" s="57"/>
      <c r="AO737" s="59">
        <f t="shared" si="296"/>
        <v>1.1574074074074075E-2</v>
      </c>
      <c r="AP737" s="57"/>
      <c r="AQ737" s="59">
        <f t="shared" si="291"/>
        <v>1.1574074074074075E-2</v>
      </c>
      <c r="AR737" s="57"/>
      <c r="AS737" s="57"/>
      <c r="AT737" s="59">
        <f t="shared" si="292"/>
        <v>1.1574074074074075E-2</v>
      </c>
    </row>
    <row r="738" spans="1:46" hidden="1">
      <c r="A738" s="24"/>
      <c r="B738" s="26" t="s">
        <v>677</v>
      </c>
      <c r="C738" s="26"/>
      <c r="D738" s="50"/>
      <c r="E738" s="51"/>
      <c r="F738" s="50"/>
      <c r="G738" s="52"/>
      <c r="H738" s="50"/>
      <c r="I738" s="53"/>
      <c r="J738" s="50"/>
      <c r="K738" s="53"/>
      <c r="L738" s="50"/>
      <c r="M738" s="57"/>
      <c r="N738" s="55"/>
      <c r="O738" s="57"/>
      <c r="P738" s="57"/>
      <c r="Q738" s="59"/>
      <c r="R738" s="57"/>
      <c r="S738" s="57"/>
      <c r="T738" s="59"/>
      <c r="U738" s="57"/>
      <c r="V738" s="57"/>
      <c r="W738" s="59"/>
      <c r="X738" s="57"/>
      <c r="Y738" s="57"/>
      <c r="Z738" s="59" t="str">
        <f t="shared" si="297"/>
        <v/>
      </c>
      <c r="AA738" s="57"/>
      <c r="AB738" s="57"/>
      <c r="AC738" s="59" t="str">
        <f t="shared" si="298"/>
        <v/>
      </c>
      <c r="AD738" s="57"/>
      <c r="AE738" s="57"/>
      <c r="AF738" s="59" t="str">
        <f t="shared" si="299"/>
        <v/>
      </c>
      <c r="AG738" s="57"/>
      <c r="AH738" s="57"/>
      <c r="AI738" s="59" t="str">
        <f t="shared" si="300"/>
        <v/>
      </c>
      <c r="AJ738" s="57"/>
      <c r="AK738" s="57"/>
      <c r="AL738" s="59" t="str">
        <f t="shared" si="295"/>
        <v/>
      </c>
      <c r="AM738" s="57"/>
      <c r="AN738" s="57"/>
      <c r="AO738" s="59" t="str">
        <f t="shared" si="296"/>
        <v/>
      </c>
      <c r="AP738" s="57"/>
      <c r="AQ738" s="59" t="str">
        <f t="shared" si="291"/>
        <v/>
      </c>
      <c r="AR738" s="57"/>
      <c r="AS738" s="57"/>
      <c r="AT738" s="59" t="str">
        <f t="shared" si="292"/>
        <v/>
      </c>
    </row>
    <row r="739" spans="1:46" hidden="1">
      <c r="A739" s="24"/>
      <c r="B739" s="26" t="s">
        <v>176</v>
      </c>
      <c r="C739" s="26" t="s">
        <v>443</v>
      </c>
      <c r="D739" s="50"/>
      <c r="E739" s="51"/>
      <c r="F739" s="50" t="s">
        <v>448</v>
      </c>
      <c r="G739" s="52"/>
      <c r="H739" s="50"/>
      <c r="I739" s="53"/>
      <c r="J739" s="50" t="s">
        <v>448</v>
      </c>
      <c r="K739" s="53"/>
      <c r="L739" s="50"/>
      <c r="M739" s="57"/>
      <c r="N739" s="55"/>
      <c r="O739" s="57"/>
      <c r="P739" s="57"/>
      <c r="Q739" s="59" t="str">
        <f>IF(MIN(IF(ISBLANK(O739),N739,O739),IF(ISBLANK(N739),O739,N739))=0,"",MIN(IF(ISBLANK(O739),N739,O739),IF(ISBLANK(N739),O739,N739)))</f>
        <v/>
      </c>
      <c r="R739" s="57"/>
      <c r="S739" s="57"/>
      <c r="T739" s="59" t="str">
        <f>IF(MIN(IF(ISBLANK(R739),Q739,R739),IF(ISBLANK(Q739),R739,Q739))=0,"",MIN(IF(ISBLANK(R739),Q739,R739),IF(ISBLANK(Q739),R739,Q739)))</f>
        <v/>
      </c>
      <c r="U739" s="57"/>
      <c r="V739" s="57"/>
      <c r="W739" s="59" t="str">
        <f>IF(MIN(IF(ISBLANK(U739),T739,U739),IF(ISBLANK(T739),U739,T739))=0,"",MIN(IF(ISBLANK(U739),T739,U739),IF(ISBLANK(T739),U739,T739)))</f>
        <v/>
      </c>
      <c r="X739" s="57"/>
      <c r="Y739" s="57"/>
      <c r="Z739" s="59" t="str">
        <f t="shared" si="297"/>
        <v/>
      </c>
      <c r="AA739" s="57"/>
      <c r="AB739" s="57"/>
      <c r="AC739" s="59" t="str">
        <f t="shared" si="298"/>
        <v/>
      </c>
      <c r="AD739" s="57"/>
      <c r="AE739" s="57"/>
      <c r="AF739" s="59" t="str">
        <f t="shared" si="299"/>
        <v/>
      </c>
      <c r="AG739" s="57"/>
      <c r="AH739" s="57"/>
      <c r="AI739" s="59" t="str">
        <f t="shared" si="300"/>
        <v/>
      </c>
      <c r="AJ739" s="57"/>
      <c r="AK739" s="57"/>
      <c r="AL739" s="59" t="str">
        <f t="shared" si="295"/>
        <v/>
      </c>
      <c r="AM739" s="57"/>
      <c r="AN739" s="57"/>
      <c r="AO739" s="59" t="str">
        <f t="shared" si="296"/>
        <v/>
      </c>
      <c r="AP739" s="57"/>
      <c r="AQ739" s="59" t="str">
        <f t="shared" si="291"/>
        <v/>
      </c>
      <c r="AR739" s="57"/>
      <c r="AS739" s="57"/>
      <c r="AT739" s="59" t="str">
        <f t="shared" si="292"/>
        <v/>
      </c>
    </row>
    <row r="740" spans="1:46" hidden="1">
      <c r="A740" s="24"/>
      <c r="B740" s="26" t="s">
        <v>687</v>
      </c>
      <c r="C740" s="26"/>
      <c r="D740" s="50"/>
      <c r="E740" s="51"/>
      <c r="F740" s="50"/>
      <c r="G740" s="52"/>
      <c r="H740" s="50"/>
      <c r="I740" s="53"/>
      <c r="J740" s="50"/>
      <c r="K740" s="53"/>
      <c r="L740" s="50"/>
      <c r="M740" s="57"/>
      <c r="N740" s="55"/>
      <c r="O740" s="57"/>
      <c r="P740" s="57"/>
      <c r="Q740" s="59"/>
      <c r="R740" s="57"/>
      <c r="S740" s="57"/>
      <c r="T740" s="59"/>
      <c r="U740" s="57"/>
      <c r="V740" s="57"/>
      <c r="W740" s="59"/>
      <c r="X740" s="57"/>
      <c r="Y740" s="57"/>
      <c r="Z740" s="59" t="str">
        <f t="shared" si="297"/>
        <v/>
      </c>
      <c r="AA740" s="57"/>
      <c r="AB740" s="57"/>
      <c r="AC740" s="59" t="str">
        <f t="shared" si="298"/>
        <v/>
      </c>
      <c r="AD740" s="57"/>
      <c r="AE740" s="57"/>
      <c r="AF740" s="59" t="str">
        <f t="shared" si="299"/>
        <v/>
      </c>
      <c r="AG740" s="57"/>
      <c r="AH740" s="57"/>
      <c r="AI740" s="59" t="str">
        <f t="shared" si="300"/>
        <v/>
      </c>
      <c r="AJ740" s="57"/>
      <c r="AK740" s="57"/>
      <c r="AL740" s="59" t="str">
        <f t="shared" si="295"/>
        <v/>
      </c>
      <c r="AM740" s="57"/>
      <c r="AN740" s="57"/>
      <c r="AO740" s="59" t="str">
        <f t="shared" si="296"/>
        <v/>
      </c>
      <c r="AP740" s="57"/>
      <c r="AQ740" s="59" t="str">
        <f t="shared" si="291"/>
        <v/>
      </c>
      <c r="AR740" s="57"/>
      <c r="AS740" s="57"/>
      <c r="AT740" s="59" t="str">
        <f t="shared" si="292"/>
        <v/>
      </c>
    </row>
    <row r="741" spans="1:46" hidden="1">
      <c r="A741" s="24"/>
      <c r="B741" s="26" t="s">
        <v>678</v>
      </c>
      <c r="C741" s="26"/>
      <c r="D741" s="50"/>
      <c r="E741" s="51"/>
      <c r="F741" s="50"/>
      <c r="G741" s="52"/>
      <c r="H741" s="50"/>
      <c r="I741" s="53"/>
      <c r="J741" s="50"/>
      <c r="K741" s="53"/>
      <c r="L741" s="50"/>
      <c r="M741" s="57"/>
      <c r="N741" s="55"/>
      <c r="O741" s="57"/>
      <c r="P741" s="57"/>
      <c r="Q741" s="59"/>
      <c r="R741" s="57"/>
      <c r="S741" s="57"/>
      <c r="T741" s="59"/>
      <c r="U741" s="57"/>
      <c r="V741" s="57"/>
      <c r="W741" s="59"/>
      <c r="X741" s="57"/>
      <c r="Y741" s="57"/>
      <c r="Z741" s="59" t="str">
        <f t="shared" si="297"/>
        <v/>
      </c>
      <c r="AA741" s="57"/>
      <c r="AB741" s="57"/>
      <c r="AC741" s="59" t="str">
        <f t="shared" si="298"/>
        <v/>
      </c>
      <c r="AD741" s="57"/>
      <c r="AE741" s="57"/>
      <c r="AF741" s="59" t="str">
        <f t="shared" si="299"/>
        <v/>
      </c>
      <c r="AG741" s="57"/>
      <c r="AH741" s="57"/>
      <c r="AI741" s="59" t="str">
        <f t="shared" si="300"/>
        <v/>
      </c>
      <c r="AJ741" s="57"/>
      <c r="AK741" s="57"/>
      <c r="AL741" s="59" t="str">
        <f t="shared" si="295"/>
        <v/>
      </c>
      <c r="AM741" s="57"/>
      <c r="AN741" s="57"/>
      <c r="AO741" s="59" t="str">
        <f t="shared" si="296"/>
        <v/>
      </c>
      <c r="AP741" s="57"/>
      <c r="AQ741" s="59" t="str">
        <f t="shared" si="291"/>
        <v/>
      </c>
      <c r="AR741" s="57"/>
      <c r="AS741" s="57"/>
      <c r="AT741" s="59" t="str">
        <f t="shared" si="292"/>
        <v/>
      </c>
    </row>
    <row r="742" spans="1:46" hidden="1">
      <c r="A742" s="24"/>
      <c r="B742" s="26" t="s">
        <v>498</v>
      </c>
      <c r="C742" s="26"/>
      <c r="D742" s="50"/>
      <c r="E742" s="51"/>
      <c r="F742" s="50"/>
      <c r="G742" s="52"/>
      <c r="H742" s="50"/>
      <c r="I742" s="53"/>
      <c r="J742" s="50"/>
      <c r="K742" s="53"/>
      <c r="L742" s="50"/>
      <c r="M742" s="57">
        <v>6.2499999999999995E-3</v>
      </c>
      <c r="N742" s="55">
        <v>6.2499999999999995E-3</v>
      </c>
      <c r="O742" s="57"/>
      <c r="P742" s="57"/>
      <c r="Q742" s="59">
        <f>IF(MIN(IF(ISBLANK(O742),N742,O742),IF(ISBLANK(N742),O742,N742))=0,"",MIN(IF(ISBLANK(O742),N742,O742),IF(ISBLANK(N742),O742,N742)))</f>
        <v>6.2499999999999995E-3</v>
      </c>
      <c r="R742" s="57"/>
      <c r="S742" s="57"/>
      <c r="T742" s="59">
        <f>IF(MIN(IF(ISBLANK(R742),Q742,R742),IF(ISBLANK(Q742),R742,Q742))=0,"",MIN(IF(ISBLANK(R742),Q742,R742),IF(ISBLANK(Q742),R742,Q742)))</f>
        <v>6.2499999999999995E-3</v>
      </c>
      <c r="U742" s="57"/>
      <c r="V742" s="57"/>
      <c r="W742" s="59">
        <f>IF(MIN(IF(ISBLANK(U742),T742,U742),IF(ISBLANK(T742),U742,T742))=0,"",MIN(IF(ISBLANK(U742),T742,U742),IF(ISBLANK(T742),U742,T742)))</f>
        <v>6.2499999999999995E-3</v>
      </c>
      <c r="X742" s="57"/>
      <c r="Y742" s="57"/>
      <c r="Z742" s="59">
        <f t="shared" si="297"/>
        <v>6.2499999999999995E-3</v>
      </c>
      <c r="AA742" s="57"/>
      <c r="AB742" s="57"/>
      <c r="AC742" s="59">
        <f t="shared" si="298"/>
        <v>6.2499999999999995E-3</v>
      </c>
      <c r="AD742" s="57"/>
      <c r="AE742" s="57"/>
      <c r="AF742" s="59">
        <f t="shared" si="299"/>
        <v>6.2499999999999995E-3</v>
      </c>
      <c r="AG742" s="57"/>
      <c r="AH742" s="57"/>
      <c r="AI742" s="59">
        <f t="shared" si="300"/>
        <v>6.2499999999999995E-3</v>
      </c>
      <c r="AJ742" s="57"/>
      <c r="AK742" s="57"/>
      <c r="AL742" s="59">
        <f t="shared" si="295"/>
        <v>6.2499999999999995E-3</v>
      </c>
      <c r="AM742" s="57"/>
      <c r="AN742" s="57"/>
      <c r="AO742" s="59">
        <f t="shared" si="296"/>
        <v>6.2499999999999995E-3</v>
      </c>
      <c r="AP742" s="57"/>
      <c r="AQ742" s="59">
        <f t="shared" si="291"/>
        <v>6.2499999999999995E-3</v>
      </c>
      <c r="AR742" s="57"/>
      <c r="AS742" s="57"/>
      <c r="AT742" s="59">
        <f t="shared" si="292"/>
        <v>6.2499999999999995E-3</v>
      </c>
    </row>
    <row r="743" spans="1:46" hidden="1">
      <c r="A743" s="24"/>
      <c r="B743" s="26" t="s">
        <v>796</v>
      </c>
      <c r="C743" s="26"/>
      <c r="D743" s="50"/>
      <c r="E743" s="51"/>
      <c r="F743" s="50"/>
      <c r="G743" s="52"/>
      <c r="H743" s="50"/>
      <c r="I743" s="53"/>
      <c r="J743" s="50"/>
      <c r="K743" s="53"/>
      <c r="L743" s="50"/>
      <c r="M743" s="57"/>
      <c r="N743" s="55"/>
      <c r="O743" s="57"/>
      <c r="P743" s="57"/>
      <c r="Q743" s="59"/>
      <c r="R743" s="57"/>
      <c r="S743" s="57"/>
      <c r="T743" s="59"/>
      <c r="U743" s="57"/>
      <c r="V743" s="57"/>
      <c r="W743" s="59"/>
      <c r="X743" s="57"/>
      <c r="Y743" s="57"/>
      <c r="Z743" s="59"/>
      <c r="AA743" s="57"/>
      <c r="AB743" s="57"/>
      <c r="AC743" s="59"/>
      <c r="AD743" s="57"/>
      <c r="AE743" s="57"/>
      <c r="AF743" s="59"/>
      <c r="AG743" s="57"/>
      <c r="AH743" s="57"/>
      <c r="AI743" s="59"/>
      <c r="AJ743" s="57"/>
      <c r="AK743" s="57"/>
      <c r="AL743" s="59" t="str">
        <f t="shared" si="295"/>
        <v/>
      </c>
      <c r="AM743" s="57"/>
      <c r="AN743" s="57"/>
      <c r="AO743" s="59" t="str">
        <f t="shared" si="296"/>
        <v/>
      </c>
      <c r="AP743" s="57"/>
      <c r="AQ743" s="59" t="str">
        <f t="shared" si="291"/>
        <v/>
      </c>
      <c r="AR743" s="57"/>
      <c r="AS743" s="57"/>
      <c r="AT743" s="59" t="str">
        <f t="shared" si="292"/>
        <v/>
      </c>
    </row>
    <row r="744" spans="1:46" hidden="1">
      <c r="A744" s="24"/>
      <c r="B744" s="26" t="s">
        <v>599</v>
      </c>
      <c r="C744" s="26" t="s">
        <v>444</v>
      </c>
      <c r="D744" s="50"/>
      <c r="E744" s="51"/>
      <c r="F744" s="50"/>
      <c r="G744" s="52"/>
      <c r="H744" s="50"/>
      <c r="I744" s="53"/>
      <c r="J744" s="50"/>
      <c r="K744" s="53"/>
      <c r="L744" s="50"/>
      <c r="M744" s="57"/>
      <c r="N744" s="55"/>
      <c r="O744" s="57"/>
      <c r="P744" s="57"/>
      <c r="Q744" s="59"/>
      <c r="R744" s="57"/>
      <c r="S744" s="57"/>
      <c r="T744" s="59" t="str">
        <f>IF(MIN(IF(ISBLANK(R744),Q744,R744),IF(ISBLANK(Q744),R744,Q744))=0,"",MIN(IF(ISBLANK(R744),Q744,R744),IF(ISBLANK(Q744),R744,Q744)))</f>
        <v/>
      </c>
      <c r="U744" s="57"/>
      <c r="V744" s="57"/>
      <c r="W744" s="59" t="str">
        <f>IF(MIN(IF(ISBLANK(U744),T744,U744),IF(ISBLANK(T744),U744,T744))=0,"",MIN(IF(ISBLANK(U744),T744,U744),IF(ISBLANK(T744),U744,T744)))</f>
        <v/>
      </c>
      <c r="X744" s="57"/>
      <c r="Y744" s="57"/>
      <c r="Z744" s="59" t="str">
        <f>IF(MIN(IF(ISBLANK(X744),W744,X744),IF(ISBLANK(W744),X744,W744))=0,"",MIN(IF(ISBLANK(X744),W744,X744),IF(ISBLANK(W744),X744,W744)))</f>
        <v/>
      </c>
      <c r="AA744" s="57"/>
      <c r="AB744" s="57"/>
      <c r="AC744" s="59" t="str">
        <f>IF(MIN(IF(ISBLANK(Z744),AA744,Z744),IF(ISBLANK(AA744),Z744,AA744))=0,"",MIN(IF(ISBLANK(Z744),AA744,Z744),IF(ISBLANK(AA744),Z744,AA744)))</f>
        <v/>
      </c>
      <c r="AD744" s="57"/>
      <c r="AE744" s="57"/>
      <c r="AF744" s="59" t="str">
        <f>IF(MIN(IF(ISBLANK(AC744),AD744,AC744),IF(ISBLANK(AD744),AC744,AD744))=0,"",MIN(IF(ISBLANK(AC744),AD744,AC744),IF(ISBLANK(AD744),AC744,AD744)))</f>
        <v/>
      </c>
      <c r="AG744" s="57"/>
      <c r="AH744" s="57"/>
      <c r="AI744" s="59" t="str">
        <f>IF(MIN(IF(ISBLANK(AF744),AG744,AF744),IF(ISBLANK(AG744),AF744,AG744))=0,"",MIN(IF(ISBLANK(AF744),AG744,AF744),IF(ISBLANK(AG744),AF744,AG744)))</f>
        <v/>
      </c>
      <c r="AJ744" s="57"/>
      <c r="AK744" s="57"/>
      <c r="AL744" s="59" t="str">
        <f t="shared" si="295"/>
        <v/>
      </c>
      <c r="AM744" s="57"/>
      <c r="AN744" s="57"/>
      <c r="AO744" s="59" t="str">
        <f t="shared" si="296"/>
        <v/>
      </c>
      <c r="AP744" s="57"/>
      <c r="AQ744" s="59" t="str">
        <f t="shared" si="291"/>
        <v/>
      </c>
      <c r="AR744" s="57"/>
      <c r="AS744" s="57"/>
      <c r="AT744" s="59" t="str">
        <f t="shared" si="292"/>
        <v/>
      </c>
    </row>
    <row r="745" spans="1:46" hidden="1">
      <c r="A745" s="24"/>
      <c r="B745" s="26" t="s">
        <v>799</v>
      </c>
      <c r="C745" s="26"/>
      <c r="D745" s="50"/>
      <c r="E745" s="51"/>
      <c r="F745" s="50"/>
      <c r="G745" s="52"/>
      <c r="H745" s="50"/>
      <c r="I745" s="53"/>
      <c r="J745" s="50"/>
      <c r="K745" s="53"/>
      <c r="L745" s="50"/>
      <c r="M745" s="57"/>
      <c r="N745" s="55"/>
      <c r="O745" s="57"/>
      <c r="P745" s="57"/>
      <c r="Q745" s="59"/>
      <c r="R745" s="57"/>
      <c r="S745" s="57"/>
      <c r="T745" s="59"/>
      <c r="U745" s="57"/>
      <c r="V745" s="57"/>
      <c r="W745" s="59"/>
      <c r="X745" s="57"/>
      <c r="Y745" s="57"/>
      <c r="Z745" s="59"/>
      <c r="AA745" s="57"/>
      <c r="AB745" s="57"/>
      <c r="AC745" s="59"/>
      <c r="AD745" s="57"/>
      <c r="AE745" s="57"/>
      <c r="AF745" s="59"/>
      <c r="AG745" s="57"/>
      <c r="AH745" s="57"/>
      <c r="AI745" s="59"/>
      <c r="AJ745" s="57">
        <v>9.0856481481481483E-3</v>
      </c>
      <c r="AK745" s="57"/>
      <c r="AL745" s="59">
        <f t="shared" si="295"/>
        <v>9.0856481481481483E-3</v>
      </c>
      <c r="AM745" s="57"/>
      <c r="AN745" s="57"/>
      <c r="AO745" s="59">
        <f t="shared" si="296"/>
        <v>9.0856481481481483E-3</v>
      </c>
      <c r="AP745" s="57"/>
      <c r="AQ745" s="59">
        <f t="shared" si="291"/>
        <v>9.0856481481481483E-3</v>
      </c>
      <c r="AR745" s="57"/>
      <c r="AS745" s="57"/>
      <c r="AT745" s="59">
        <f t="shared" si="292"/>
        <v>9.0856481481481483E-3</v>
      </c>
    </row>
    <row r="746" spans="1:46" hidden="1">
      <c r="A746" s="24"/>
      <c r="B746" s="26" t="s">
        <v>704</v>
      </c>
      <c r="C746" s="26"/>
      <c r="D746" s="50"/>
      <c r="E746" s="51"/>
      <c r="F746" s="50"/>
      <c r="G746" s="52"/>
      <c r="H746" s="50"/>
      <c r="I746" s="53"/>
      <c r="J746" s="50"/>
      <c r="K746" s="53"/>
      <c r="L746" s="50"/>
      <c r="M746" s="57"/>
      <c r="N746" s="55"/>
      <c r="O746" s="57"/>
      <c r="P746" s="57"/>
      <c r="Q746" s="59"/>
      <c r="R746" s="57"/>
      <c r="S746" s="57"/>
      <c r="T746" s="59"/>
      <c r="U746" s="57"/>
      <c r="V746" s="57"/>
      <c r="W746" s="59"/>
      <c r="X746" s="57"/>
      <c r="Y746" s="57"/>
      <c r="Z746" s="59"/>
      <c r="AA746" s="57"/>
      <c r="AB746" s="57"/>
      <c r="AC746" s="59" t="str">
        <f t="shared" ref="AC746:AC753" si="301">IF(MIN(IF(ISBLANK(Z746),AA746,Z746),IF(ISBLANK(AA746),Z746,AA746))=0,"",MIN(IF(ISBLANK(Z746),AA746,Z746),IF(ISBLANK(AA746),Z746,AA746)))</f>
        <v/>
      </c>
      <c r="AD746" s="57"/>
      <c r="AE746" s="57"/>
      <c r="AF746" s="59" t="str">
        <f t="shared" ref="AF746:AF753" si="302">IF(MIN(IF(ISBLANK(AC746),AD746,AC746),IF(ISBLANK(AD746),AC746,AD746))=0,"",MIN(IF(ISBLANK(AC746),AD746,AC746),IF(ISBLANK(AD746),AC746,AD746)))</f>
        <v/>
      </c>
      <c r="AG746" s="57"/>
      <c r="AH746" s="57"/>
      <c r="AI746" s="59" t="str">
        <f t="shared" ref="AI746:AI753" si="303">IF(MIN(IF(ISBLANK(AF746),AG746,AF746),IF(ISBLANK(AG746),AF746,AG746))=0,"",MIN(IF(ISBLANK(AF746),AG746,AF746),IF(ISBLANK(AG746),AF746,AG746)))</f>
        <v/>
      </c>
      <c r="AJ746" s="57"/>
      <c r="AK746" s="57"/>
      <c r="AL746" s="59" t="str">
        <f t="shared" si="295"/>
        <v/>
      </c>
      <c r="AM746" s="57"/>
      <c r="AN746" s="57"/>
      <c r="AO746" s="59" t="str">
        <f t="shared" si="296"/>
        <v/>
      </c>
      <c r="AP746" s="57"/>
      <c r="AQ746" s="59" t="str">
        <f t="shared" si="291"/>
        <v/>
      </c>
      <c r="AR746" s="57"/>
      <c r="AS746" s="57"/>
      <c r="AT746" s="59" t="str">
        <f t="shared" si="292"/>
        <v/>
      </c>
    </row>
    <row r="747" spans="1:46">
      <c r="A747" s="24" t="s">
        <v>792</v>
      </c>
      <c r="B747" s="26" t="s">
        <v>540</v>
      </c>
      <c r="C747" s="26" t="s">
        <v>444</v>
      </c>
      <c r="D747" s="50"/>
      <c r="E747" s="51"/>
      <c r="F747" s="50"/>
      <c r="G747" s="52"/>
      <c r="H747" s="50"/>
      <c r="I747" s="53"/>
      <c r="J747" s="50"/>
      <c r="K747" s="53"/>
      <c r="L747" s="50"/>
      <c r="M747" s="57"/>
      <c r="N747" s="55"/>
      <c r="O747" s="57">
        <v>7.4421296296296293E-3</v>
      </c>
      <c r="P747" s="57"/>
      <c r="Q747" s="59">
        <f t="shared" ref="Q747:Q753" si="304">IF(MIN(IF(ISBLANK(O747),N747,O747),IF(ISBLANK(N747),O747,N747))=0,"",MIN(IF(ISBLANK(O747),N747,O747),IF(ISBLANK(N747),O747,N747)))</f>
        <v>7.4421296296296293E-3</v>
      </c>
      <c r="R747" s="57"/>
      <c r="S747" s="57"/>
      <c r="T747" s="59">
        <f t="shared" ref="T747:T753" si="305">IF(MIN(IF(ISBLANK(R747),Q747,R747),IF(ISBLANK(Q747),R747,Q747))=0,"",MIN(IF(ISBLANK(R747),Q747,R747),IF(ISBLANK(Q747),R747,Q747)))</f>
        <v>7.4421296296296293E-3</v>
      </c>
      <c r="U747" s="57">
        <v>7.3032407407407412E-3</v>
      </c>
      <c r="V747" s="57"/>
      <c r="W747" s="59">
        <f t="shared" ref="W747:W753" si="306">IF(MIN(IF(ISBLANK(U747),T747,U747),IF(ISBLANK(T747),U747,T747))=0,"",MIN(IF(ISBLANK(U747),T747,U747),IF(ISBLANK(T747),U747,T747)))</f>
        <v>7.3032407407407412E-3</v>
      </c>
      <c r="X747" s="57">
        <v>7.2106481481481475E-3</v>
      </c>
      <c r="Y747" s="57"/>
      <c r="Z747" s="59">
        <f t="shared" ref="Z747:Z753" si="307">IF(MIN(IF(ISBLANK(X747),W747,X747),IF(ISBLANK(W747),X747,W747))=0,"",MIN(IF(ISBLANK(X747),W747,X747),IF(ISBLANK(W747),X747,W747)))</f>
        <v>7.2106481481481475E-3</v>
      </c>
      <c r="AA747" s="57"/>
      <c r="AB747" s="57"/>
      <c r="AC747" s="59">
        <f t="shared" si="301"/>
        <v>7.2106481481481475E-3</v>
      </c>
      <c r="AD747" s="57"/>
      <c r="AE747" s="57"/>
      <c r="AF747" s="59">
        <f t="shared" si="302"/>
        <v>7.2106481481481475E-3</v>
      </c>
      <c r="AG747" s="57"/>
      <c r="AH747" s="57"/>
      <c r="AI747" s="59">
        <f t="shared" si="303"/>
        <v>7.2106481481481475E-3</v>
      </c>
      <c r="AJ747" s="57">
        <v>7.5462962962962966E-3</v>
      </c>
      <c r="AK747" s="57"/>
      <c r="AL747" s="59">
        <f t="shared" si="295"/>
        <v>7.2106481481481475E-3</v>
      </c>
      <c r="AM747" s="57"/>
      <c r="AN747" s="57"/>
      <c r="AO747" s="59">
        <f t="shared" si="296"/>
        <v>7.2106481481481475E-3</v>
      </c>
      <c r="AP747" s="57">
        <v>7.6388888888888886E-3</v>
      </c>
      <c r="AQ747" s="59">
        <f t="shared" si="291"/>
        <v>7.2106481481481475E-3</v>
      </c>
      <c r="AR747" s="57"/>
      <c r="AS747" s="57"/>
      <c r="AT747" s="59">
        <f t="shared" si="292"/>
        <v>7.2106481481481475E-3</v>
      </c>
    </row>
    <row r="748" spans="1:46" hidden="1">
      <c r="A748" s="24"/>
      <c r="B748" s="26" t="s">
        <v>341</v>
      </c>
      <c r="C748" s="26" t="s">
        <v>444</v>
      </c>
      <c r="D748" s="50"/>
      <c r="E748" s="51"/>
      <c r="F748" s="50" t="s">
        <v>448</v>
      </c>
      <c r="G748" s="52"/>
      <c r="H748" s="50"/>
      <c r="I748" s="53"/>
      <c r="J748" s="50" t="s">
        <v>448</v>
      </c>
      <c r="K748" s="53"/>
      <c r="L748" s="50"/>
      <c r="M748" s="57"/>
      <c r="N748" s="55"/>
      <c r="O748" s="57"/>
      <c r="P748" s="57"/>
      <c r="Q748" s="59" t="str">
        <f t="shared" si="304"/>
        <v/>
      </c>
      <c r="R748" s="57"/>
      <c r="S748" s="57"/>
      <c r="T748" s="59" t="str">
        <f t="shared" si="305"/>
        <v/>
      </c>
      <c r="U748" s="57"/>
      <c r="V748" s="57"/>
      <c r="W748" s="59" t="str">
        <f t="shared" si="306"/>
        <v/>
      </c>
      <c r="X748" s="57"/>
      <c r="Y748" s="57"/>
      <c r="Z748" s="59" t="str">
        <f t="shared" si="307"/>
        <v/>
      </c>
      <c r="AA748" s="57"/>
      <c r="AB748" s="57"/>
      <c r="AC748" s="59" t="str">
        <f t="shared" si="301"/>
        <v/>
      </c>
      <c r="AD748" s="57"/>
      <c r="AE748" s="57"/>
      <c r="AF748" s="59" t="str">
        <f t="shared" si="302"/>
        <v/>
      </c>
      <c r="AG748" s="57"/>
      <c r="AH748" s="57"/>
      <c r="AI748" s="59" t="str">
        <f t="shared" si="303"/>
        <v/>
      </c>
      <c r="AJ748" s="57"/>
      <c r="AK748" s="57"/>
      <c r="AL748" s="59" t="str">
        <f t="shared" si="295"/>
        <v/>
      </c>
      <c r="AM748" s="57"/>
      <c r="AN748" s="57"/>
      <c r="AO748" s="59" t="str">
        <f t="shared" si="296"/>
        <v/>
      </c>
      <c r="AP748" s="57"/>
      <c r="AQ748" s="59" t="str">
        <f t="shared" si="291"/>
        <v/>
      </c>
      <c r="AR748" s="57"/>
      <c r="AS748" s="57"/>
      <c r="AT748" s="59" t="str">
        <f t="shared" si="292"/>
        <v/>
      </c>
    </row>
    <row r="749" spans="1:46" hidden="1">
      <c r="A749" s="24"/>
      <c r="B749" s="26" t="s">
        <v>476</v>
      </c>
      <c r="C749" s="26" t="s">
        <v>443</v>
      </c>
      <c r="D749" s="50"/>
      <c r="E749" s="51"/>
      <c r="F749" s="50"/>
      <c r="G749" s="52"/>
      <c r="H749" s="50"/>
      <c r="I749" s="53"/>
      <c r="J749" s="50"/>
      <c r="K749" s="53">
        <v>10.02</v>
      </c>
      <c r="L749" s="50">
        <v>10.02</v>
      </c>
      <c r="M749" s="57"/>
      <c r="N749" s="55">
        <v>6.9675925925925921E-3</v>
      </c>
      <c r="O749" s="57"/>
      <c r="P749" s="57"/>
      <c r="Q749" s="59">
        <f t="shared" si="304"/>
        <v>6.9675925925925921E-3</v>
      </c>
      <c r="R749" s="57"/>
      <c r="S749" s="57"/>
      <c r="T749" s="59">
        <f t="shared" si="305"/>
        <v>6.9675925925925921E-3</v>
      </c>
      <c r="U749" s="57"/>
      <c r="V749" s="57"/>
      <c r="W749" s="59">
        <f t="shared" si="306"/>
        <v>6.9675925925925921E-3</v>
      </c>
      <c r="X749" s="57"/>
      <c r="Y749" s="57"/>
      <c r="Z749" s="59">
        <f t="shared" si="307"/>
        <v>6.9675925925925921E-3</v>
      </c>
      <c r="AA749" s="57"/>
      <c r="AB749" s="57"/>
      <c r="AC749" s="59">
        <f t="shared" si="301"/>
        <v>6.9675925925925921E-3</v>
      </c>
      <c r="AD749" s="57"/>
      <c r="AE749" s="57"/>
      <c r="AF749" s="59">
        <f t="shared" si="302"/>
        <v>6.9675925925925921E-3</v>
      </c>
      <c r="AG749" s="57"/>
      <c r="AH749" s="57"/>
      <c r="AI749" s="59">
        <f t="shared" si="303"/>
        <v>6.9675925925925921E-3</v>
      </c>
      <c r="AJ749" s="57"/>
      <c r="AK749" s="57"/>
      <c r="AL749" s="59">
        <f t="shared" si="295"/>
        <v>6.9675925925925921E-3</v>
      </c>
      <c r="AM749" s="57"/>
      <c r="AN749" s="57"/>
      <c r="AO749" s="59">
        <f t="shared" si="296"/>
        <v>6.9675925925925921E-3</v>
      </c>
      <c r="AP749" s="57"/>
      <c r="AQ749" s="59">
        <f t="shared" si="291"/>
        <v>6.9675925925925921E-3</v>
      </c>
      <c r="AR749" s="57"/>
      <c r="AS749" s="57"/>
      <c r="AT749" s="59">
        <f t="shared" si="292"/>
        <v>6.9675925925925921E-3</v>
      </c>
    </row>
    <row r="750" spans="1:46" hidden="1">
      <c r="A750" s="24"/>
      <c r="B750" s="26" t="s">
        <v>336</v>
      </c>
      <c r="C750" s="26"/>
      <c r="D750" s="50"/>
      <c r="E750" s="51"/>
      <c r="F750" s="50" t="s">
        <v>448</v>
      </c>
      <c r="G750" s="52"/>
      <c r="H750" s="50"/>
      <c r="I750" s="53"/>
      <c r="J750" s="50" t="s">
        <v>448</v>
      </c>
      <c r="K750" s="53"/>
      <c r="L750" s="50"/>
      <c r="M750" s="57"/>
      <c r="N750" s="55"/>
      <c r="O750" s="57"/>
      <c r="P750" s="57"/>
      <c r="Q750" s="59" t="str">
        <f t="shared" si="304"/>
        <v/>
      </c>
      <c r="R750" s="57"/>
      <c r="S750" s="57"/>
      <c r="T750" s="59" t="str">
        <f t="shared" si="305"/>
        <v/>
      </c>
      <c r="U750" s="57"/>
      <c r="V750" s="57"/>
      <c r="W750" s="59" t="str">
        <f t="shared" si="306"/>
        <v/>
      </c>
      <c r="X750" s="57"/>
      <c r="Y750" s="57"/>
      <c r="Z750" s="59" t="str">
        <f t="shared" si="307"/>
        <v/>
      </c>
      <c r="AA750" s="57"/>
      <c r="AB750" s="57"/>
      <c r="AC750" s="59" t="str">
        <f t="shared" si="301"/>
        <v/>
      </c>
      <c r="AD750" s="57"/>
      <c r="AE750" s="57"/>
      <c r="AF750" s="59" t="str">
        <f t="shared" si="302"/>
        <v/>
      </c>
      <c r="AG750" s="57"/>
      <c r="AH750" s="57"/>
      <c r="AI750" s="59" t="str">
        <f t="shared" si="303"/>
        <v/>
      </c>
      <c r="AJ750" s="57"/>
      <c r="AK750" s="57"/>
      <c r="AL750" s="59" t="str">
        <f t="shared" si="295"/>
        <v/>
      </c>
      <c r="AM750" s="57"/>
      <c r="AN750" s="57"/>
      <c r="AO750" s="59" t="str">
        <f t="shared" si="296"/>
        <v/>
      </c>
      <c r="AP750" s="57"/>
      <c r="AQ750" s="59" t="str">
        <f t="shared" si="291"/>
        <v/>
      </c>
      <c r="AR750" s="57"/>
      <c r="AS750" s="57"/>
      <c r="AT750" s="59" t="str">
        <f t="shared" si="292"/>
        <v/>
      </c>
    </row>
    <row r="751" spans="1:46" hidden="1">
      <c r="A751" s="24"/>
      <c r="B751" s="26" t="s">
        <v>425</v>
      </c>
      <c r="C751" s="26" t="s">
        <v>443</v>
      </c>
      <c r="D751" s="50"/>
      <c r="E751" s="51"/>
      <c r="F751" s="50"/>
      <c r="G751" s="52"/>
      <c r="H751" s="50"/>
      <c r="I751" s="53"/>
      <c r="J751" s="50" t="s">
        <v>448</v>
      </c>
      <c r="K751" s="53"/>
      <c r="L751" s="50"/>
      <c r="M751" s="57"/>
      <c r="N751" s="55"/>
      <c r="O751" s="57"/>
      <c r="P751" s="57"/>
      <c r="Q751" s="59" t="str">
        <f t="shared" si="304"/>
        <v/>
      </c>
      <c r="R751" s="57"/>
      <c r="S751" s="57"/>
      <c r="T751" s="59" t="str">
        <f t="shared" si="305"/>
        <v/>
      </c>
      <c r="U751" s="57"/>
      <c r="V751" s="57"/>
      <c r="W751" s="59" t="str">
        <f t="shared" si="306"/>
        <v/>
      </c>
      <c r="X751" s="57"/>
      <c r="Y751" s="57"/>
      <c r="Z751" s="59" t="str">
        <f t="shared" si="307"/>
        <v/>
      </c>
      <c r="AA751" s="57"/>
      <c r="AB751" s="57"/>
      <c r="AC751" s="59" t="str">
        <f t="shared" si="301"/>
        <v/>
      </c>
      <c r="AD751" s="57"/>
      <c r="AE751" s="57"/>
      <c r="AF751" s="59" t="str">
        <f t="shared" si="302"/>
        <v/>
      </c>
      <c r="AG751" s="57"/>
      <c r="AH751" s="57"/>
      <c r="AI751" s="59" t="str">
        <f t="shared" si="303"/>
        <v/>
      </c>
      <c r="AJ751" s="57"/>
      <c r="AK751" s="57"/>
      <c r="AL751" s="59" t="str">
        <f t="shared" si="295"/>
        <v/>
      </c>
      <c r="AM751" s="57"/>
      <c r="AN751" s="57"/>
      <c r="AO751" s="59" t="str">
        <f t="shared" si="296"/>
        <v/>
      </c>
      <c r="AP751" s="57"/>
      <c r="AQ751" s="59" t="str">
        <f t="shared" si="291"/>
        <v/>
      </c>
      <c r="AR751" s="57"/>
      <c r="AS751" s="57"/>
      <c r="AT751" s="59" t="str">
        <f t="shared" si="292"/>
        <v/>
      </c>
    </row>
    <row r="752" spans="1:46" hidden="1">
      <c r="A752" s="24"/>
      <c r="B752" s="26" t="s">
        <v>187</v>
      </c>
      <c r="C752" s="26" t="s">
        <v>444</v>
      </c>
      <c r="D752" s="50"/>
      <c r="E752" s="51"/>
      <c r="F752" s="50" t="s">
        <v>448</v>
      </c>
      <c r="G752" s="52"/>
      <c r="H752" s="50"/>
      <c r="I752" s="53"/>
      <c r="J752" s="50" t="s">
        <v>448</v>
      </c>
      <c r="K752" s="53"/>
      <c r="L752" s="50"/>
      <c r="M752" s="57"/>
      <c r="N752" s="55"/>
      <c r="O752" s="57"/>
      <c r="P752" s="57"/>
      <c r="Q752" s="59" t="str">
        <f t="shared" si="304"/>
        <v/>
      </c>
      <c r="R752" s="57"/>
      <c r="S752" s="57"/>
      <c r="T752" s="59" t="str">
        <f t="shared" si="305"/>
        <v/>
      </c>
      <c r="U752" s="57"/>
      <c r="V752" s="57"/>
      <c r="W752" s="59" t="str">
        <f t="shared" si="306"/>
        <v/>
      </c>
      <c r="X752" s="57"/>
      <c r="Y752" s="57"/>
      <c r="Z752" s="59" t="str">
        <f t="shared" si="307"/>
        <v/>
      </c>
      <c r="AA752" s="57"/>
      <c r="AB752" s="57"/>
      <c r="AC752" s="59" t="str">
        <f t="shared" si="301"/>
        <v/>
      </c>
      <c r="AD752" s="57"/>
      <c r="AE752" s="57"/>
      <c r="AF752" s="59" t="str">
        <f t="shared" si="302"/>
        <v/>
      </c>
      <c r="AG752" s="57"/>
      <c r="AH752" s="57"/>
      <c r="AI752" s="59" t="str">
        <f t="shared" si="303"/>
        <v/>
      </c>
      <c r="AJ752" s="57"/>
      <c r="AK752" s="57"/>
      <c r="AL752" s="59" t="str">
        <f t="shared" si="295"/>
        <v/>
      </c>
      <c r="AM752" s="57"/>
      <c r="AN752" s="57"/>
      <c r="AO752" s="59" t="str">
        <f t="shared" si="296"/>
        <v/>
      </c>
      <c r="AP752" s="57"/>
      <c r="AQ752" s="59" t="str">
        <f t="shared" si="291"/>
        <v/>
      </c>
      <c r="AR752" s="57"/>
      <c r="AS752" s="57"/>
      <c r="AT752" s="59" t="str">
        <f t="shared" si="292"/>
        <v/>
      </c>
    </row>
    <row r="753" spans="1:46" hidden="1">
      <c r="A753" s="24"/>
      <c r="B753" s="26" t="s">
        <v>550</v>
      </c>
      <c r="C753" s="26"/>
      <c r="D753" s="50"/>
      <c r="E753" s="51"/>
      <c r="F753" s="50"/>
      <c r="G753" s="52"/>
      <c r="H753" s="50"/>
      <c r="I753" s="53"/>
      <c r="J753" s="50"/>
      <c r="K753" s="53"/>
      <c r="L753" s="50"/>
      <c r="M753" s="57"/>
      <c r="N753" s="55"/>
      <c r="O753" s="57"/>
      <c r="P753" s="57"/>
      <c r="Q753" s="59" t="str">
        <f t="shared" si="304"/>
        <v/>
      </c>
      <c r="R753" s="57"/>
      <c r="S753" s="57"/>
      <c r="T753" s="59" t="str">
        <f t="shared" si="305"/>
        <v/>
      </c>
      <c r="U753" s="57"/>
      <c r="V753" s="57"/>
      <c r="W753" s="59" t="str">
        <f t="shared" si="306"/>
        <v/>
      </c>
      <c r="X753" s="57"/>
      <c r="Y753" s="57"/>
      <c r="Z753" s="59" t="str">
        <f t="shared" si="307"/>
        <v/>
      </c>
      <c r="AA753" s="57"/>
      <c r="AB753" s="57"/>
      <c r="AC753" s="59" t="str">
        <f t="shared" si="301"/>
        <v/>
      </c>
      <c r="AD753" s="57"/>
      <c r="AE753" s="57"/>
      <c r="AF753" s="59" t="str">
        <f t="shared" si="302"/>
        <v/>
      </c>
      <c r="AG753" s="57"/>
      <c r="AH753" s="57"/>
      <c r="AI753" s="59" t="str">
        <f t="shared" si="303"/>
        <v/>
      </c>
      <c r="AJ753" s="57"/>
      <c r="AK753" s="57"/>
      <c r="AL753" s="59" t="str">
        <f t="shared" si="295"/>
        <v/>
      </c>
      <c r="AM753" s="57"/>
      <c r="AN753" s="57"/>
      <c r="AO753" s="59" t="str">
        <f t="shared" si="296"/>
        <v/>
      </c>
      <c r="AP753" s="57"/>
      <c r="AQ753" s="59" t="str">
        <f t="shared" si="291"/>
        <v/>
      </c>
      <c r="AR753" s="57"/>
      <c r="AS753" s="57"/>
      <c r="AT753" s="59" t="str">
        <f t="shared" si="292"/>
        <v/>
      </c>
    </row>
    <row r="754" spans="1:46">
      <c r="A754" s="24" t="s">
        <v>792</v>
      </c>
      <c r="B754" s="26" t="s">
        <v>892</v>
      </c>
      <c r="C754" s="26"/>
      <c r="D754" s="50"/>
      <c r="E754" s="51"/>
      <c r="F754" s="50"/>
      <c r="G754" s="52"/>
      <c r="H754" s="50"/>
      <c r="I754" s="53"/>
      <c r="J754" s="50"/>
      <c r="K754" s="53"/>
      <c r="L754" s="50"/>
      <c r="M754" s="57"/>
      <c r="N754" s="55"/>
      <c r="O754" s="57"/>
      <c r="P754" s="57"/>
      <c r="Q754" s="59"/>
      <c r="R754" s="57"/>
      <c r="S754" s="57"/>
      <c r="T754" s="59"/>
      <c r="U754" s="57"/>
      <c r="V754" s="57"/>
      <c r="W754" s="59"/>
      <c r="X754" s="57"/>
      <c r="Y754" s="57"/>
      <c r="Z754" s="59"/>
      <c r="AA754" s="57"/>
      <c r="AB754" s="57"/>
      <c r="AC754" s="59"/>
      <c r="AD754" s="57"/>
      <c r="AE754" s="57"/>
      <c r="AF754" s="59"/>
      <c r="AG754" s="57"/>
      <c r="AH754" s="57"/>
      <c r="AI754" s="59"/>
      <c r="AJ754" s="57"/>
      <c r="AK754" s="57"/>
      <c r="AL754" s="59"/>
      <c r="AM754" s="57"/>
      <c r="AN754" s="57"/>
      <c r="AO754" s="59"/>
      <c r="AP754" s="57"/>
      <c r="AQ754" s="59" t="str">
        <f t="shared" si="291"/>
        <v/>
      </c>
      <c r="AR754" s="57"/>
      <c r="AS754" s="57"/>
      <c r="AT754" s="59" t="str">
        <f t="shared" si="292"/>
        <v/>
      </c>
    </row>
    <row r="755" spans="1:46" hidden="1">
      <c r="A755" s="24"/>
      <c r="B755" s="26" t="s">
        <v>868</v>
      </c>
      <c r="C755" s="26"/>
      <c r="D755" s="50"/>
      <c r="E755" s="51"/>
      <c r="F755" s="50"/>
      <c r="G755" s="52"/>
      <c r="H755" s="50"/>
      <c r="I755" s="53"/>
      <c r="J755" s="50"/>
      <c r="K755" s="53"/>
      <c r="L755" s="50"/>
      <c r="M755" s="57"/>
      <c r="N755" s="55"/>
      <c r="O755" s="57"/>
      <c r="P755" s="57"/>
      <c r="Q755" s="59"/>
      <c r="R755" s="57"/>
      <c r="S755" s="57"/>
      <c r="T755" s="59"/>
      <c r="U755" s="57"/>
      <c r="V755" s="57"/>
      <c r="W755" s="59"/>
      <c r="X755" s="57"/>
      <c r="Y755" s="57"/>
      <c r="Z755" s="59"/>
      <c r="AA755" s="57"/>
      <c r="AB755" s="57"/>
      <c r="AC755" s="59"/>
      <c r="AD755" s="57"/>
      <c r="AE755" s="57"/>
      <c r="AF755" s="59"/>
      <c r="AG755" s="57"/>
      <c r="AH755" s="57"/>
      <c r="AI755" s="59"/>
      <c r="AJ755" s="57"/>
      <c r="AK755" s="57"/>
      <c r="AL755" s="59"/>
      <c r="AM755" s="57"/>
      <c r="AN755" s="57"/>
      <c r="AO755" s="59"/>
      <c r="AP755" s="57"/>
      <c r="AQ755" s="59" t="str">
        <f t="shared" si="291"/>
        <v/>
      </c>
      <c r="AR755" s="57"/>
      <c r="AS755" s="57"/>
      <c r="AT755" s="59" t="str">
        <f t="shared" si="292"/>
        <v/>
      </c>
    </row>
    <row r="756" spans="1:46" hidden="1">
      <c r="A756" s="24"/>
      <c r="B756" s="26" t="s">
        <v>787</v>
      </c>
      <c r="C756" s="26"/>
      <c r="D756" s="50"/>
      <c r="E756" s="51"/>
      <c r="F756" s="50"/>
      <c r="G756" s="52"/>
      <c r="H756" s="50"/>
      <c r="I756" s="53"/>
      <c r="J756" s="50"/>
      <c r="K756" s="53"/>
      <c r="L756" s="50"/>
      <c r="M756" s="57"/>
      <c r="N756" s="55"/>
      <c r="O756" s="57"/>
      <c r="P756" s="57"/>
      <c r="Q756" s="59"/>
      <c r="R756" s="57"/>
      <c r="S756" s="57"/>
      <c r="T756" s="59"/>
      <c r="U756" s="57"/>
      <c r="V756" s="57"/>
      <c r="W756" s="59"/>
      <c r="X756" s="57"/>
      <c r="Y756" s="57"/>
      <c r="Z756" s="59"/>
      <c r="AA756" s="57"/>
      <c r="AB756" s="57"/>
      <c r="AC756" s="59"/>
      <c r="AD756" s="57"/>
      <c r="AE756" s="57"/>
      <c r="AF756" s="59"/>
      <c r="AG756" s="57"/>
      <c r="AH756" s="57"/>
      <c r="AI756" s="59"/>
      <c r="AJ756" s="57">
        <v>9.7453703703703713E-3</v>
      </c>
      <c r="AK756" s="57"/>
      <c r="AL756" s="59">
        <f t="shared" ref="AL756:AL761" si="308">IF(MIN(IF(ISBLANK(AI756),AJ756,AI756),IF(ISBLANK(AJ756),AI756,AJ756))=0,"",MIN(IF(ISBLANK(AI756),AJ756,AI756),IF(ISBLANK(AJ756),AI756,AJ756)))</f>
        <v>9.7453703703703713E-3</v>
      </c>
      <c r="AM756" s="57"/>
      <c r="AN756" s="57"/>
      <c r="AO756" s="59">
        <f t="shared" ref="AO756:AO761" si="309">IF(MIN(IF(ISBLANK(AL756),AM756,AL756),IF(ISBLANK(AM756),AL756,AM756))=0,"",MIN(IF(ISBLANK(AL756),AM756,AL756),IF(ISBLANK(AM756),AL756,AM756)))</f>
        <v>9.7453703703703713E-3</v>
      </c>
      <c r="AP756" s="57"/>
      <c r="AQ756" s="59">
        <f t="shared" si="291"/>
        <v>9.7453703703703713E-3</v>
      </c>
      <c r="AR756" s="57"/>
      <c r="AS756" s="57"/>
      <c r="AT756" s="59">
        <f t="shared" si="292"/>
        <v>9.7453703703703713E-3</v>
      </c>
    </row>
    <row r="757" spans="1:46" hidden="1">
      <c r="A757" s="24"/>
      <c r="B757" s="26" t="s">
        <v>790</v>
      </c>
      <c r="C757" s="26"/>
      <c r="D757" s="50"/>
      <c r="E757" s="51"/>
      <c r="F757" s="50"/>
      <c r="G757" s="52"/>
      <c r="H757" s="50"/>
      <c r="I757" s="53"/>
      <c r="J757" s="50"/>
      <c r="K757" s="53"/>
      <c r="L757" s="50"/>
      <c r="M757" s="57"/>
      <c r="N757" s="55"/>
      <c r="O757" s="57"/>
      <c r="P757" s="57"/>
      <c r="Q757" s="59"/>
      <c r="R757" s="57"/>
      <c r="S757" s="57"/>
      <c r="T757" s="59"/>
      <c r="U757" s="57"/>
      <c r="V757" s="57"/>
      <c r="W757" s="59"/>
      <c r="X757" s="57"/>
      <c r="Y757" s="57"/>
      <c r="Z757" s="59"/>
      <c r="AA757" s="57"/>
      <c r="AB757" s="57"/>
      <c r="AC757" s="59"/>
      <c r="AD757" s="57"/>
      <c r="AE757" s="57"/>
      <c r="AF757" s="59"/>
      <c r="AG757" s="57"/>
      <c r="AH757" s="57"/>
      <c r="AI757" s="59"/>
      <c r="AJ757" s="57"/>
      <c r="AK757" s="57"/>
      <c r="AL757" s="59" t="str">
        <f t="shared" si="308"/>
        <v/>
      </c>
      <c r="AM757" s="57"/>
      <c r="AN757" s="57"/>
      <c r="AO757" s="59" t="str">
        <f t="shared" si="309"/>
        <v/>
      </c>
      <c r="AP757" s="57"/>
      <c r="AQ757" s="59" t="str">
        <f t="shared" si="291"/>
        <v/>
      </c>
      <c r="AR757" s="57"/>
      <c r="AS757" s="57"/>
      <c r="AT757" s="59" t="str">
        <f t="shared" si="292"/>
        <v/>
      </c>
    </row>
    <row r="758" spans="1:46" hidden="1">
      <c r="A758" s="24"/>
      <c r="B758" s="26" t="s">
        <v>705</v>
      </c>
      <c r="C758" s="26"/>
      <c r="D758" s="50"/>
      <c r="E758" s="51"/>
      <c r="F758" s="50"/>
      <c r="G758" s="52"/>
      <c r="H758" s="50"/>
      <c r="I758" s="53"/>
      <c r="J758" s="50"/>
      <c r="K758" s="53"/>
      <c r="L758" s="50"/>
      <c r="M758" s="57"/>
      <c r="N758" s="55"/>
      <c r="O758" s="57"/>
      <c r="P758" s="57"/>
      <c r="Q758" s="59"/>
      <c r="R758" s="57"/>
      <c r="S758" s="57"/>
      <c r="T758" s="59"/>
      <c r="U758" s="57"/>
      <c r="V758" s="57"/>
      <c r="W758" s="59"/>
      <c r="X758" s="57"/>
      <c r="Y758" s="57"/>
      <c r="Z758" s="59"/>
      <c r="AA758" s="57"/>
      <c r="AB758" s="57"/>
      <c r="AC758" s="59" t="str">
        <f>IF(MIN(IF(ISBLANK(Z758),AA758,Z758),IF(ISBLANK(AA758),Z758,AA758))=0,"",MIN(IF(ISBLANK(Z758),AA758,Z758),IF(ISBLANK(AA758),Z758,AA758)))</f>
        <v/>
      </c>
      <c r="AD758" s="57"/>
      <c r="AE758" s="57"/>
      <c r="AF758" s="59" t="str">
        <f>IF(MIN(IF(ISBLANK(AC758),AD758,AC758),IF(ISBLANK(AD758),AC758,AD758))=0,"",MIN(IF(ISBLANK(AC758),AD758,AC758),IF(ISBLANK(AD758),AC758,AD758)))</f>
        <v/>
      </c>
      <c r="AG758" s="57"/>
      <c r="AH758" s="57"/>
      <c r="AI758" s="59" t="str">
        <f>IF(MIN(IF(ISBLANK(AF758),AG758,AF758),IF(ISBLANK(AG758),AF758,AG758))=0,"",MIN(IF(ISBLANK(AF758),AG758,AF758),IF(ISBLANK(AG758),AF758,AG758)))</f>
        <v/>
      </c>
      <c r="AJ758" s="57"/>
      <c r="AK758" s="57"/>
      <c r="AL758" s="59" t="str">
        <f t="shared" si="308"/>
        <v/>
      </c>
      <c r="AM758" s="57"/>
      <c r="AN758" s="57"/>
      <c r="AO758" s="59" t="str">
        <f t="shared" si="309"/>
        <v/>
      </c>
      <c r="AP758" s="57"/>
      <c r="AQ758" s="59" t="str">
        <f t="shared" si="291"/>
        <v/>
      </c>
      <c r="AR758" s="57"/>
      <c r="AS758" s="57"/>
      <c r="AT758" s="59" t="str">
        <f t="shared" si="292"/>
        <v/>
      </c>
    </row>
    <row r="759" spans="1:46" hidden="1">
      <c r="A759" s="24"/>
      <c r="B759" s="26" t="s">
        <v>194</v>
      </c>
      <c r="C759" s="26" t="s">
        <v>444</v>
      </c>
      <c r="D759" s="50" t="s">
        <v>280</v>
      </c>
      <c r="E759" s="51"/>
      <c r="F759" s="50" t="s">
        <v>280</v>
      </c>
      <c r="G759" s="52"/>
      <c r="H759" s="50" t="s">
        <v>280</v>
      </c>
      <c r="I759" s="53"/>
      <c r="J759" s="50" t="s">
        <v>280</v>
      </c>
      <c r="K759" s="53"/>
      <c r="L759" s="50" t="s">
        <v>280</v>
      </c>
      <c r="M759" s="57"/>
      <c r="N759" s="55">
        <v>8.217592592592594E-3</v>
      </c>
      <c r="O759" s="57"/>
      <c r="P759" s="57"/>
      <c r="Q759" s="59">
        <f>IF(MIN(IF(ISBLANK(O759),N759,O759),IF(ISBLANK(N759),O759,N759))=0,"",MIN(IF(ISBLANK(O759),N759,O759),IF(ISBLANK(N759),O759,N759)))</f>
        <v>8.217592592592594E-3</v>
      </c>
      <c r="R759" s="57"/>
      <c r="S759" s="57"/>
      <c r="T759" s="59">
        <f>IF(MIN(IF(ISBLANK(R759),Q759,R759),IF(ISBLANK(Q759),R759,Q759))=0,"",MIN(IF(ISBLANK(R759),Q759,R759),IF(ISBLANK(Q759),R759,Q759)))</f>
        <v>8.217592592592594E-3</v>
      </c>
      <c r="U759" s="57"/>
      <c r="V759" s="57"/>
      <c r="W759" s="59">
        <f>IF(MIN(IF(ISBLANK(U759),T759,U759),IF(ISBLANK(T759),U759,T759))=0,"",MIN(IF(ISBLANK(U759),T759,U759),IF(ISBLANK(T759),U759,T759)))</f>
        <v>8.217592592592594E-3</v>
      </c>
      <c r="X759" s="57"/>
      <c r="Y759" s="57"/>
      <c r="Z759" s="59">
        <f>IF(MIN(IF(ISBLANK(X759),W759,X759),IF(ISBLANK(W759),X759,W759))=0,"",MIN(IF(ISBLANK(X759),W759,X759),IF(ISBLANK(W759),X759,W759)))</f>
        <v>8.217592592592594E-3</v>
      </c>
      <c r="AA759" s="57"/>
      <c r="AB759" s="57"/>
      <c r="AC759" s="59">
        <f>IF(MIN(IF(ISBLANK(Z759),AA759,Z759),IF(ISBLANK(AA759),Z759,AA759))=0,"",MIN(IF(ISBLANK(Z759),AA759,Z759),IF(ISBLANK(AA759),Z759,AA759)))</f>
        <v>8.217592592592594E-3</v>
      </c>
      <c r="AD759" s="57"/>
      <c r="AE759" s="57"/>
      <c r="AF759" s="59">
        <f>IF(MIN(IF(ISBLANK(AC759),AD759,AC759),IF(ISBLANK(AD759),AC759,AD759))=0,"",MIN(IF(ISBLANK(AC759),AD759,AC759),IF(ISBLANK(AD759),AC759,AD759)))</f>
        <v>8.217592592592594E-3</v>
      </c>
      <c r="AG759" s="57"/>
      <c r="AH759" s="57"/>
      <c r="AI759" s="59">
        <f>IF(MIN(IF(ISBLANK(AF759),AG759,AF759),IF(ISBLANK(AG759),AF759,AG759))=0,"",MIN(IF(ISBLANK(AF759),AG759,AF759),IF(ISBLANK(AG759),AF759,AG759)))</f>
        <v>8.217592592592594E-3</v>
      </c>
      <c r="AJ759" s="57"/>
      <c r="AK759" s="57"/>
      <c r="AL759" s="59">
        <f t="shared" si="308"/>
        <v>8.217592592592594E-3</v>
      </c>
      <c r="AM759" s="57"/>
      <c r="AN759" s="57"/>
      <c r="AO759" s="59">
        <f t="shared" si="309"/>
        <v>8.217592592592594E-3</v>
      </c>
      <c r="AP759" s="57"/>
      <c r="AQ759" s="59">
        <f t="shared" si="291"/>
        <v>8.217592592592594E-3</v>
      </c>
      <c r="AR759" s="57"/>
      <c r="AS759" s="57"/>
      <c r="AT759" s="59">
        <f t="shared" si="292"/>
        <v>8.217592592592594E-3</v>
      </c>
    </row>
    <row r="760" spans="1:46" hidden="1">
      <c r="A760" s="24"/>
      <c r="B760" s="26" t="s">
        <v>711</v>
      </c>
      <c r="C760" s="26"/>
      <c r="D760" s="50"/>
      <c r="E760" s="51"/>
      <c r="F760" s="50"/>
      <c r="G760" s="52"/>
      <c r="H760" s="50"/>
      <c r="I760" s="53"/>
      <c r="J760" s="50"/>
      <c r="K760" s="53"/>
      <c r="L760" s="50"/>
      <c r="M760" s="57"/>
      <c r="N760" s="55"/>
      <c r="O760" s="57"/>
      <c r="P760" s="57"/>
      <c r="Q760" s="59"/>
      <c r="R760" s="57"/>
      <c r="S760" s="57"/>
      <c r="T760" s="59"/>
      <c r="U760" s="57"/>
      <c r="V760" s="57"/>
      <c r="W760" s="59"/>
      <c r="X760" s="57"/>
      <c r="Y760" s="57"/>
      <c r="Z760" s="59"/>
      <c r="AA760" s="57">
        <v>5.5324074074074069E-3</v>
      </c>
      <c r="AB760" s="57"/>
      <c r="AC760" s="59">
        <f>IF(MIN(IF(ISBLANK(Z760),AA760,Z760),IF(ISBLANK(AA760),Z760,AA760))=0,"",MIN(IF(ISBLANK(Z760),AA760,Z760),IF(ISBLANK(AA760),Z760,AA760)))</f>
        <v>5.5324074074074069E-3</v>
      </c>
      <c r="AD760" s="57"/>
      <c r="AE760" s="57"/>
      <c r="AF760" s="59">
        <f>IF(MIN(IF(ISBLANK(AC760),AD760,AC760),IF(ISBLANK(AD760),AC760,AD760))=0,"",MIN(IF(ISBLANK(AC760),AD760,AC760),IF(ISBLANK(AD760),AC760,AD760)))</f>
        <v>5.5324074074074069E-3</v>
      </c>
      <c r="AG760" s="57"/>
      <c r="AH760" s="57"/>
      <c r="AI760" s="59">
        <f>IF(MIN(IF(ISBLANK(AF760),AG760,AF760),IF(ISBLANK(AG760),AF760,AG760))=0,"",MIN(IF(ISBLANK(AF760),AG760,AF760),IF(ISBLANK(AG760),AF760,AG760)))</f>
        <v>5.5324074074074069E-3</v>
      </c>
      <c r="AJ760" s="57"/>
      <c r="AK760" s="57"/>
      <c r="AL760" s="59">
        <f t="shared" si="308"/>
        <v>5.5324074074074069E-3</v>
      </c>
      <c r="AM760" s="57"/>
      <c r="AN760" s="57"/>
      <c r="AO760" s="59">
        <f t="shared" si="309"/>
        <v>5.5324074074074069E-3</v>
      </c>
      <c r="AP760" s="57"/>
      <c r="AQ760" s="59">
        <f t="shared" si="291"/>
        <v>5.5324074074074069E-3</v>
      </c>
      <c r="AR760" s="57"/>
      <c r="AS760" s="57"/>
      <c r="AT760" s="59">
        <f t="shared" si="292"/>
        <v>5.5324074074074069E-3</v>
      </c>
    </row>
    <row r="761" spans="1:46" hidden="1">
      <c r="A761" s="24"/>
      <c r="B761" s="26" t="s">
        <v>679</v>
      </c>
      <c r="C761" s="26"/>
      <c r="D761" s="50"/>
      <c r="E761" s="51"/>
      <c r="F761" s="50"/>
      <c r="G761" s="52"/>
      <c r="H761" s="50"/>
      <c r="I761" s="53"/>
      <c r="J761" s="50"/>
      <c r="K761" s="53"/>
      <c r="L761" s="50"/>
      <c r="M761" s="57"/>
      <c r="N761" s="55"/>
      <c r="O761" s="57"/>
      <c r="P761" s="57"/>
      <c r="Q761" s="59"/>
      <c r="R761" s="57"/>
      <c r="S761" s="57"/>
      <c r="T761" s="59"/>
      <c r="U761" s="57"/>
      <c r="V761" s="57"/>
      <c r="W761" s="59"/>
      <c r="X761" s="57"/>
      <c r="Y761" s="57"/>
      <c r="Z761" s="59" t="str">
        <f>IF(MIN(IF(ISBLANK(X761),W761,X761),IF(ISBLANK(W761),X761,W761))=0,"",MIN(IF(ISBLANK(X761),W761,X761),IF(ISBLANK(W761),X761,W761)))</f>
        <v/>
      </c>
      <c r="AA761" s="57"/>
      <c r="AB761" s="57"/>
      <c r="AC761" s="59" t="str">
        <f>IF(MIN(IF(ISBLANK(Z761),AA761,Z761),IF(ISBLANK(AA761),Z761,AA761))=0,"",MIN(IF(ISBLANK(Z761),AA761,Z761),IF(ISBLANK(AA761),Z761,AA761)))</f>
        <v/>
      </c>
      <c r="AD761" s="57"/>
      <c r="AE761" s="57"/>
      <c r="AF761" s="59" t="str">
        <f>IF(MIN(IF(ISBLANK(AC761),AD761,AC761),IF(ISBLANK(AD761),AC761,AD761))=0,"",MIN(IF(ISBLANK(AC761),AD761,AC761),IF(ISBLANK(AD761),AC761,AD761)))</f>
        <v/>
      </c>
      <c r="AG761" s="57"/>
      <c r="AH761" s="57"/>
      <c r="AI761" s="59" t="str">
        <f>IF(MIN(IF(ISBLANK(AF761),AG761,AF761),IF(ISBLANK(AG761),AF761,AG761))=0,"",MIN(IF(ISBLANK(AF761),AG761,AF761),IF(ISBLANK(AG761),AF761,AG761)))</f>
        <v/>
      </c>
      <c r="AJ761" s="57"/>
      <c r="AK761" s="57"/>
      <c r="AL761" s="59" t="str">
        <f t="shared" si="308"/>
        <v/>
      </c>
      <c r="AM761" s="57"/>
      <c r="AN761" s="57"/>
      <c r="AO761" s="59" t="str">
        <f t="shared" si="309"/>
        <v/>
      </c>
      <c r="AP761" s="57"/>
      <c r="AQ761" s="59" t="str">
        <f t="shared" si="291"/>
        <v/>
      </c>
      <c r="AR761" s="57"/>
      <c r="AS761" s="57"/>
      <c r="AT761" s="59" t="str">
        <f t="shared" si="292"/>
        <v/>
      </c>
    </row>
    <row r="762" spans="1:46" hidden="1">
      <c r="A762" s="24"/>
      <c r="B762" s="26" t="s">
        <v>878</v>
      </c>
      <c r="C762" s="26"/>
      <c r="D762" s="50"/>
      <c r="E762" s="51"/>
      <c r="F762" s="50"/>
      <c r="G762" s="52"/>
      <c r="H762" s="50"/>
      <c r="I762" s="53"/>
      <c r="J762" s="50"/>
      <c r="K762" s="53"/>
      <c r="L762" s="50"/>
      <c r="M762" s="57"/>
      <c r="N762" s="55"/>
      <c r="O762" s="57"/>
      <c r="P762" s="57"/>
      <c r="Q762" s="59"/>
      <c r="R762" s="57"/>
      <c r="S762" s="57"/>
      <c r="T762" s="59"/>
      <c r="U762" s="57"/>
      <c r="V762" s="57"/>
      <c r="W762" s="59"/>
      <c r="X762" s="57"/>
      <c r="Y762" s="57"/>
      <c r="Z762" s="59"/>
      <c r="AA762" s="57"/>
      <c r="AB762" s="57"/>
      <c r="AC762" s="59"/>
      <c r="AD762" s="57"/>
      <c r="AE762" s="57"/>
      <c r="AF762" s="59"/>
      <c r="AG762" s="57"/>
      <c r="AH762" s="57"/>
      <c r="AI762" s="59"/>
      <c r="AJ762" s="57"/>
      <c r="AK762" s="57"/>
      <c r="AL762" s="59"/>
      <c r="AM762" s="57"/>
      <c r="AN762" s="57"/>
      <c r="AO762" s="59"/>
      <c r="AP762" s="57"/>
      <c r="AQ762" s="59" t="str">
        <f t="shared" si="291"/>
        <v/>
      </c>
      <c r="AR762" s="57"/>
      <c r="AS762" s="57"/>
      <c r="AT762" s="59" t="str">
        <f t="shared" si="292"/>
        <v/>
      </c>
    </row>
    <row r="763" spans="1:46" hidden="1">
      <c r="A763" s="24"/>
      <c r="B763" s="26" t="s">
        <v>206</v>
      </c>
      <c r="C763" s="26"/>
      <c r="D763" s="50">
        <v>8.5399999999999991</v>
      </c>
      <c r="E763" s="51"/>
      <c r="F763" s="50">
        <v>8.5399999999999991</v>
      </c>
      <c r="G763" s="52"/>
      <c r="H763" s="50">
        <v>8.5399999999999991</v>
      </c>
      <c r="I763" s="53"/>
      <c r="J763" s="50">
        <v>8.5399999999999991</v>
      </c>
      <c r="K763" s="53"/>
      <c r="L763" s="50">
        <v>8.5399999999999991</v>
      </c>
      <c r="M763" s="57"/>
      <c r="N763" s="55">
        <v>6.1805555555555563E-3</v>
      </c>
      <c r="O763" s="57"/>
      <c r="P763" s="57"/>
      <c r="Q763" s="59">
        <f>IF(MIN(IF(ISBLANK(O763),N763,O763),IF(ISBLANK(N763),O763,N763))=0,"",MIN(IF(ISBLANK(O763),N763,O763),IF(ISBLANK(N763),O763,N763)))</f>
        <v>6.1805555555555563E-3</v>
      </c>
      <c r="R763" s="57"/>
      <c r="S763" s="57"/>
      <c r="T763" s="59">
        <f>IF(MIN(IF(ISBLANK(R763),Q763,R763),IF(ISBLANK(Q763),R763,Q763))=0,"",MIN(IF(ISBLANK(R763),Q763,R763),IF(ISBLANK(Q763),R763,Q763)))</f>
        <v>6.1805555555555563E-3</v>
      </c>
      <c r="U763" s="57"/>
      <c r="V763" s="57"/>
      <c r="W763" s="59">
        <f>IF(MIN(IF(ISBLANK(U763),T763,U763),IF(ISBLANK(T763),U763,T763))=0,"",MIN(IF(ISBLANK(U763),T763,U763),IF(ISBLANK(T763),U763,T763)))</f>
        <v>6.1805555555555563E-3</v>
      </c>
      <c r="X763" s="57"/>
      <c r="Y763" s="57"/>
      <c r="Z763" s="59">
        <f>IF(MIN(IF(ISBLANK(X763),W763,X763),IF(ISBLANK(W763),X763,W763))=0,"",MIN(IF(ISBLANK(X763),W763,X763),IF(ISBLANK(W763),X763,W763)))</f>
        <v>6.1805555555555563E-3</v>
      </c>
      <c r="AA763" s="57"/>
      <c r="AB763" s="57"/>
      <c r="AC763" s="59">
        <f>IF(MIN(IF(ISBLANK(Z763),AA763,Z763),IF(ISBLANK(AA763),Z763,AA763))=0,"",MIN(IF(ISBLANK(Z763),AA763,Z763),IF(ISBLANK(AA763),Z763,AA763)))</f>
        <v>6.1805555555555563E-3</v>
      </c>
      <c r="AD763" s="57"/>
      <c r="AE763" s="57"/>
      <c r="AF763" s="59">
        <f>IF(MIN(IF(ISBLANK(AC763),AD763,AC763),IF(ISBLANK(AD763),AC763,AD763))=0,"",MIN(IF(ISBLANK(AC763),AD763,AC763),IF(ISBLANK(AD763),AC763,AD763)))</f>
        <v>6.1805555555555563E-3</v>
      </c>
      <c r="AG763" s="57"/>
      <c r="AH763" s="57"/>
      <c r="AI763" s="59">
        <f>IF(MIN(IF(ISBLANK(AF763),AG763,AF763),IF(ISBLANK(AG763),AF763,AG763))=0,"",MIN(IF(ISBLANK(AF763),AG763,AF763),IF(ISBLANK(AG763),AF763,AG763)))</f>
        <v>6.1805555555555563E-3</v>
      </c>
      <c r="AJ763" s="57"/>
      <c r="AK763" s="57"/>
      <c r="AL763" s="59">
        <f>IF(MIN(IF(ISBLANK(AI763),AJ763,AI763),IF(ISBLANK(AJ763),AI763,AJ763))=0,"",MIN(IF(ISBLANK(AI763),AJ763,AI763),IF(ISBLANK(AJ763),AI763,AJ763)))</f>
        <v>6.1805555555555563E-3</v>
      </c>
      <c r="AM763" s="57"/>
      <c r="AN763" s="57"/>
      <c r="AO763" s="59">
        <f>IF(MIN(IF(ISBLANK(AL763),AM763,AL763),IF(ISBLANK(AM763),AL763,AM763))=0,"",MIN(IF(ISBLANK(AL763),AM763,AL763),IF(ISBLANK(AM763),AL763,AM763)))</f>
        <v>6.1805555555555563E-3</v>
      </c>
      <c r="AP763" s="57"/>
      <c r="AQ763" s="59">
        <f t="shared" si="291"/>
        <v>6.1805555555555563E-3</v>
      </c>
      <c r="AR763" s="57"/>
      <c r="AS763" s="57"/>
      <c r="AT763" s="59">
        <f t="shared" si="292"/>
        <v>6.1805555555555563E-3</v>
      </c>
    </row>
    <row r="764" spans="1:46" hidden="1">
      <c r="A764" s="24"/>
      <c r="B764" s="26" t="s">
        <v>582</v>
      </c>
      <c r="C764" s="26"/>
      <c r="D764" s="50"/>
      <c r="E764" s="51"/>
      <c r="F764" s="50"/>
      <c r="G764" s="52"/>
      <c r="H764" s="50"/>
      <c r="I764" s="53"/>
      <c r="J764" s="50"/>
      <c r="K764" s="53"/>
      <c r="L764" s="50"/>
      <c r="M764" s="57"/>
      <c r="N764" s="55"/>
      <c r="O764" s="57"/>
      <c r="P764" s="57"/>
      <c r="Q764" s="59"/>
      <c r="R764" s="57"/>
      <c r="S764" s="57"/>
      <c r="T764" s="59" t="str">
        <f>IF(MIN(IF(ISBLANK(R764),Q764,R764),IF(ISBLANK(Q764),R764,Q764))=0,"",MIN(IF(ISBLANK(R764),Q764,R764),IF(ISBLANK(Q764),R764,Q764)))</f>
        <v/>
      </c>
      <c r="U764" s="57"/>
      <c r="V764" s="57"/>
      <c r="W764" s="59" t="str">
        <f>IF(MIN(IF(ISBLANK(U764),T764,U764),IF(ISBLANK(T764),U764,T764))=0,"",MIN(IF(ISBLANK(U764),T764,U764),IF(ISBLANK(T764),U764,T764)))</f>
        <v/>
      </c>
      <c r="X764" s="57"/>
      <c r="Y764" s="57"/>
      <c r="Z764" s="59" t="str">
        <f>IF(MIN(IF(ISBLANK(X764),W764,X764),IF(ISBLANK(W764),X764,W764))=0,"",MIN(IF(ISBLANK(X764),W764,X764),IF(ISBLANK(W764),X764,W764)))</f>
        <v/>
      </c>
      <c r="AA764" s="57"/>
      <c r="AB764" s="57"/>
      <c r="AC764" s="59" t="str">
        <f>IF(MIN(IF(ISBLANK(Z764),AA764,Z764),IF(ISBLANK(AA764),Z764,AA764))=0,"",MIN(IF(ISBLANK(Z764),AA764,Z764),IF(ISBLANK(AA764),Z764,AA764)))</f>
        <v/>
      </c>
      <c r="AD764" s="57"/>
      <c r="AE764" s="57"/>
      <c r="AF764" s="59" t="str">
        <f>IF(MIN(IF(ISBLANK(AC764),AD764,AC764),IF(ISBLANK(AD764),AC764,AD764))=0,"",MIN(IF(ISBLANK(AC764),AD764,AC764),IF(ISBLANK(AD764),AC764,AD764)))</f>
        <v/>
      </c>
      <c r="AG764" s="57"/>
      <c r="AH764" s="57"/>
      <c r="AI764" s="59" t="str">
        <f>IF(MIN(IF(ISBLANK(AF764),AG764,AF764),IF(ISBLANK(AG764),AF764,AG764))=0,"",MIN(IF(ISBLANK(AF764),AG764,AF764),IF(ISBLANK(AG764),AF764,AG764)))</f>
        <v/>
      </c>
      <c r="AJ764" s="57"/>
      <c r="AK764" s="57"/>
      <c r="AL764" s="59" t="str">
        <f>IF(MIN(IF(ISBLANK(AI764),AJ764,AI764),IF(ISBLANK(AJ764),AI764,AJ764))=0,"",MIN(IF(ISBLANK(AI764),AJ764,AI764),IF(ISBLANK(AJ764),AI764,AJ764)))</f>
        <v/>
      </c>
      <c r="AM764" s="57"/>
      <c r="AN764" s="57"/>
      <c r="AO764" s="59" t="str">
        <f>IF(MIN(IF(ISBLANK(AL764),AM764,AL764),IF(ISBLANK(AM764),AL764,AM764))=0,"",MIN(IF(ISBLANK(AL764),AM764,AL764),IF(ISBLANK(AM764),AL764,AM764)))</f>
        <v/>
      </c>
      <c r="AP764" s="57"/>
      <c r="AQ764" s="59" t="str">
        <f t="shared" si="291"/>
        <v/>
      </c>
      <c r="AR764" s="57"/>
      <c r="AS764" s="57"/>
      <c r="AT764" s="59" t="str">
        <f t="shared" si="292"/>
        <v/>
      </c>
    </row>
    <row r="765" spans="1:46" hidden="1">
      <c r="A765" s="24"/>
      <c r="B765" s="26" t="s">
        <v>580</v>
      </c>
      <c r="C765" s="26"/>
      <c r="D765" s="50"/>
      <c r="E765" s="51"/>
      <c r="F765" s="50"/>
      <c r="G765" s="52"/>
      <c r="H765" s="50"/>
      <c r="I765" s="53"/>
      <c r="J765" s="50"/>
      <c r="K765" s="53"/>
      <c r="L765" s="50"/>
      <c r="M765" s="57"/>
      <c r="N765" s="55"/>
      <c r="O765" s="57"/>
      <c r="P765" s="57"/>
      <c r="Q765" s="59"/>
      <c r="R765" s="57"/>
      <c r="S765" s="57"/>
      <c r="T765" s="59" t="str">
        <f>IF(MIN(IF(ISBLANK(R765),Q765,R765),IF(ISBLANK(Q765),R765,Q765))=0,"",MIN(IF(ISBLANK(R765),Q765,R765),IF(ISBLANK(Q765),R765,Q765)))</f>
        <v/>
      </c>
      <c r="U765" s="57"/>
      <c r="V765" s="57"/>
      <c r="W765" s="59" t="str">
        <f>IF(MIN(IF(ISBLANK(U765),T765,U765),IF(ISBLANK(T765),U765,T765))=0,"",MIN(IF(ISBLANK(U765),T765,U765),IF(ISBLANK(T765),U765,T765)))</f>
        <v/>
      </c>
      <c r="X765" s="57"/>
      <c r="Y765" s="57"/>
      <c r="Z765" s="59" t="str">
        <f>IF(MIN(IF(ISBLANK(X765),W765,X765),IF(ISBLANK(W765),X765,W765))=0,"",MIN(IF(ISBLANK(X765),W765,X765),IF(ISBLANK(W765),X765,W765)))</f>
        <v/>
      </c>
      <c r="AA765" s="57"/>
      <c r="AB765" s="57"/>
      <c r="AC765" s="59" t="str">
        <f>IF(MIN(IF(ISBLANK(Z765),AA765,Z765),IF(ISBLANK(AA765),Z765,AA765))=0,"",MIN(IF(ISBLANK(Z765),AA765,Z765),IF(ISBLANK(AA765),Z765,AA765)))</f>
        <v/>
      </c>
      <c r="AD765" s="57"/>
      <c r="AE765" s="57"/>
      <c r="AF765" s="59" t="str">
        <f>IF(MIN(IF(ISBLANK(AC765),AD765,AC765),IF(ISBLANK(AD765),AC765,AD765))=0,"",MIN(IF(ISBLANK(AC765),AD765,AC765),IF(ISBLANK(AD765),AC765,AD765)))</f>
        <v/>
      </c>
      <c r="AG765" s="57"/>
      <c r="AH765" s="57"/>
      <c r="AI765" s="59" t="str">
        <f>IF(MIN(IF(ISBLANK(AF765),AG765,AF765),IF(ISBLANK(AG765),AF765,AG765))=0,"",MIN(IF(ISBLANK(AF765),AG765,AF765),IF(ISBLANK(AG765),AF765,AG765)))</f>
        <v/>
      </c>
      <c r="AJ765" s="57"/>
      <c r="AK765" s="57"/>
      <c r="AL765" s="59" t="str">
        <f>IF(MIN(IF(ISBLANK(AI765),AJ765,AI765),IF(ISBLANK(AJ765),AI765,AJ765))=0,"",MIN(IF(ISBLANK(AI765),AJ765,AI765),IF(ISBLANK(AJ765),AI765,AJ765)))</f>
        <v/>
      </c>
      <c r="AM765" s="57"/>
      <c r="AN765" s="57"/>
      <c r="AO765" s="59" t="str">
        <f>IF(MIN(IF(ISBLANK(AL765),AM765,AL765),IF(ISBLANK(AM765),AL765,AM765))=0,"",MIN(IF(ISBLANK(AL765),AM765,AL765),IF(ISBLANK(AM765),AL765,AM765)))</f>
        <v/>
      </c>
      <c r="AP765" s="57"/>
      <c r="AQ765" s="59" t="str">
        <f t="shared" si="291"/>
        <v/>
      </c>
      <c r="AR765" s="57"/>
      <c r="AS765" s="57"/>
      <c r="AT765" s="59" t="str">
        <f t="shared" si="292"/>
        <v/>
      </c>
    </row>
    <row r="766" spans="1:46" hidden="1">
      <c r="A766" s="24"/>
      <c r="B766" s="26" t="s">
        <v>210</v>
      </c>
      <c r="C766" s="26"/>
      <c r="D766" s="50">
        <v>8.43</v>
      </c>
      <c r="E766" s="51"/>
      <c r="F766" s="50">
        <v>8.43</v>
      </c>
      <c r="G766" s="52"/>
      <c r="H766" s="50">
        <v>8.43</v>
      </c>
      <c r="I766" s="53"/>
      <c r="J766" s="50">
        <v>8.43</v>
      </c>
      <c r="K766" s="53"/>
      <c r="L766" s="50">
        <v>8.43</v>
      </c>
      <c r="M766" s="57"/>
      <c r="N766" s="55">
        <v>6.053240740740741E-3</v>
      </c>
      <c r="O766" s="57"/>
      <c r="P766" s="57"/>
      <c r="Q766" s="59">
        <f>IF(MIN(IF(ISBLANK(O766),N766,O766),IF(ISBLANK(N766),O766,N766))=0,"",MIN(IF(ISBLANK(O766),N766,O766),IF(ISBLANK(N766),O766,N766)))</f>
        <v>6.053240740740741E-3</v>
      </c>
      <c r="R766" s="57"/>
      <c r="S766" s="57"/>
      <c r="T766" s="59">
        <f>IF(MIN(IF(ISBLANK(R766),Q766,R766),IF(ISBLANK(Q766),R766,Q766))=0,"",MIN(IF(ISBLANK(R766),Q766,R766),IF(ISBLANK(Q766),R766,Q766)))</f>
        <v>6.053240740740741E-3</v>
      </c>
      <c r="U766" s="57"/>
      <c r="V766" s="57"/>
      <c r="W766" s="59">
        <f>IF(MIN(IF(ISBLANK(U766),T766,U766),IF(ISBLANK(T766),U766,T766))=0,"",MIN(IF(ISBLANK(U766),T766,U766),IF(ISBLANK(T766),U766,T766)))</f>
        <v>6.053240740740741E-3</v>
      </c>
      <c r="X766" s="57"/>
      <c r="Y766" s="57"/>
      <c r="Z766" s="59">
        <f>IF(MIN(IF(ISBLANK(X766),W766,X766),IF(ISBLANK(W766),X766,W766))=0,"",MIN(IF(ISBLANK(X766),W766,X766),IF(ISBLANK(W766),X766,W766)))</f>
        <v>6.053240740740741E-3</v>
      </c>
      <c r="AA766" s="57"/>
      <c r="AB766" s="57"/>
      <c r="AC766" s="59">
        <f>IF(MIN(IF(ISBLANK(Z766),AA766,Z766),IF(ISBLANK(AA766),Z766,AA766))=0,"",MIN(IF(ISBLANK(Z766),AA766,Z766),IF(ISBLANK(AA766),Z766,AA766)))</f>
        <v>6.053240740740741E-3</v>
      </c>
      <c r="AD766" s="57"/>
      <c r="AE766" s="57"/>
      <c r="AF766" s="59">
        <f>IF(MIN(IF(ISBLANK(AC766),AD766,AC766),IF(ISBLANK(AD766),AC766,AD766))=0,"",MIN(IF(ISBLANK(AC766),AD766,AC766),IF(ISBLANK(AD766),AC766,AD766)))</f>
        <v>6.053240740740741E-3</v>
      </c>
      <c r="AG766" s="57"/>
      <c r="AH766" s="57"/>
      <c r="AI766" s="59">
        <f>IF(MIN(IF(ISBLANK(AF766),AG766,AF766),IF(ISBLANK(AG766),AF766,AG766))=0,"",MIN(IF(ISBLANK(AF766),AG766,AF766),IF(ISBLANK(AG766),AF766,AG766)))</f>
        <v>6.053240740740741E-3</v>
      </c>
      <c r="AJ766" s="57"/>
      <c r="AK766" s="57"/>
      <c r="AL766" s="59">
        <f>IF(MIN(IF(ISBLANK(AI766),AJ766,AI766),IF(ISBLANK(AJ766),AI766,AJ766))=0,"",MIN(IF(ISBLANK(AI766),AJ766,AI766),IF(ISBLANK(AJ766),AI766,AJ766)))</f>
        <v>6.053240740740741E-3</v>
      </c>
      <c r="AM766" s="57"/>
      <c r="AN766" s="57"/>
      <c r="AO766" s="59">
        <f>IF(MIN(IF(ISBLANK(AL766),AM766,AL766),IF(ISBLANK(AM766),AL766,AM766))=0,"",MIN(IF(ISBLANK(AL766),AM766,AL766),IF(ISBLANK(AM766),AL766,AM766)))</f>
        <v>6.053240740740741E-3</v>
      </c>
      <c r="AP766" s="57"/>
      <c r="AQ766" s="59">
        <f t="shared" si="291"/>
        <v>6.053240740740741E-3</v>
      </c>
      <c r="AR766" s="57"/>
      <c r="AS766" s="57"/>
      <c r="AT766" s="59">
        <f t="shared" si="292"/>
        <v>6.053240740740741E-3</v>
      </c>
    </row>
    <row r="767" spans="1:46" hidden="1">
      <c r="A767" s="24"/>
      <c r="B767" s="26" t="s">
        <v>551</v>
      </c>
      <c r="C767" s="26"/>
      <c r="D767" s="50"/>
      <c r="E767" s="51"/>
      <c r="F767" s="50"/>
      <c r="G767" s="52"/>
      <c r="H767" s="50"/>
      <c r="I767" s="53"/>
      <c r="J767" s="50"/>
      <c r="K767" s="53"/>
      <c r="L767" s="50"/>
      <c r="M767" s="57"/>
      <c r="N767" s="55"/>
      <c r="O767" s="57"/>
      <c r="P767" s="57"/>
      <c r="Q767" s="59" t="str">
        <f>IF(MIN(IF(ISBLANK(O767),N767,O767),IF(ISBLANK(N767),O767,N767))=0,"",MIN(IF(ISBLANK(O767),N767,O767),IF(ISBLANK(N767),O767,N767)))</f>
        <v/>
      </c>
      <c r="R767" s="57"/>
      <c r="S767" s="57"/>
      <c r="T767" s="59" t="str">
        <f>IF(MIN(IF(ISBLANK(R767),Q767,R767),IF(ISBLANK(Q767),R767,Q767))=0,"",MIN(IF(ISBLANK(R767),Q767,R767),IF(ISBLANK(Q767),R767,Q767)))</f>
        <v/>
      </c>
      <c r="U767" s="57"/>
      <c r="V767" s="57"/>
      <c r="W767" s="59" t="str">
        <f>IF(MIN(IF(ISBLANK(U767),T767,U767),IF(ISBLANK(T767),U767,T767))=0,"",MIN(IF(ISBLANK(U767),T767,U767),IF(ISBLANK(T767),U767,T767)))</f>
        <v/>
      </c>
      <c r="X767" s="57"/>
      <c r="Y767" s="57"/>
      <c r="Z767" s="59" t="str">
        <f>IF(MIN(IF(ISBLANK(X767),W767,X767),IF(ISBLANK(W767),X767,W767))=0,"",MIN(IF(ISBLANK(X767),W767,X767),IF(ISBLANK(W767),X767,W767)))</f>
        <v/>
      </c>
      <c r="AA767" s="57"/>
      <c r="AB767" s="57"/>
      <c r="AC767" s="59" t="str">
        <f>IF(MIN(IF(ISBLANK(Z767),AA767,Z767),IF(ISBLANK(AA767),Z767,AA767))=0,"",MIN(IF(ISBLANK(Z767),AA767,Z767),IF(ISBLANK(AA767),Z767,AA767)))</f>
        <v/>
      </c>
      <c r="AD767" s="57"/>
      <c r="AE767" s="57"/>
      <c r="AF767" s="59" t="str">
        <f>IF(MIN(IF(ISBLANK(AC767),AD767,AC767),IF(ISBLANK(AD767),AC767,AD767))=0,"",MIN(IF(ISBLANK(AC767),AD767,AC767),IF(ISBLANK(AD767),AC767,AD767)))</f>
        <v/>
      </c>
      <c r="AG767" s="57"/>
      <c r="AH767" s="57"/>
      <c r="AI767" s="59" t="str">
        <f>IF(MIN(IF(ISBLANK(AF767),AG767,AF767),IF(ISBLANK(AG767),AF767,AG767))=0,"",MIN(IF(ISBLANK(AF767),AG767,AF767),IF(ISBLANK(AG767),AF767,AG767)))</f>
        <v/>
      </c>
      <c r="AJ767" s="57"/>
      <c r="AK767" s="57"/>
      <c r="AL767" s="59" t="str">
        <f>IF(MIN(IF(ISBLANK(AI767),AJ767,AI767),IF(ISBLANK(AJ767),AI767,AJ767))=0,"",MIN(IF(ISBLANK(AI767),AJ767,AI767),IF(ISBLANK(AJ767),AI767,AJ767)))</f>
        <v/>
      </c>
      <c r="AM767" s="57"/>
      <c r="AN767" s="57"/>
      <c r="AO767" s="59" t="str">
        <f>IF(MIN(IF(ISBLANK(AL767),AM767,AL767),IF(ISBLANK(AM767),AL767,AM767))=0,"",MIN(IF(ISBLANK(AL767),AM767,AL767),IF(ISBLANK(AM767),AL767,AM767)))</f>
        <v/>
      </c>
      <c r="AP767" s="57"/>
      <c r="AQ767" s="59" t="str">
        <f t="shared" si="291"/>
        <v/>
      </c>
      <c r="AR767" s="57"/>
      <c r="AS767" s="57"/>
      <c r="AT767" s="59" t="str">
        <f t="shared" si="292"/>
        <v/>
      </c>
    </row>
    <row r="768" spans="1:46">
      <c r="A768" s="24" t="s">
        <v>792</v>
      </c>
      <c r="B768" s="26" t="s">
        <v>881</v>
      </c>
      <c r="C768" s="26"/>
      <c r="D768" s="50"/>
      <c r="E768" s="51"/>
      <c r="F768" s="50"/>
      <c r="G768" s="52"/>
      <c r="H768" s="50"/>
      <c r="I768" s="53"/>
      <c r="J768" s="50"/>
      <c r="K768" s="53"/>
      <c r="L768" s="50"/>
      <c r="M768" s="57"/>
      <c r="N768" s="55"/>
      <c r="O768" s="57"/>
      <c r="P768" s="57"/>
      <c r="Q768" s="59"/>
      <c r="R768" s="57"/>
      <c r="S768" s="57"/>
      <c r="T768" s="59"/>
      <c r="U768" s="57"/>
      <c r="V768" s="57"/>
      <c r="W768" s="59"/>
      <c r="X768" s="57"/>
      <c r="Y768" s="57"/>
      <c r="Z768" s="59"/>
      <c r="AA768" s="57"/>
      <c r="AB768" s="57"/>
      <c r="AC768" s="59"/>
      <c r="AD768" s="57"/>
      <c r="AE768" s="57"/>
      <c r="AF768" s="59"/>
      <c r="AG768" s="57"/>
      <c r="AH768" s="57"/>
      <c r="AI768" s="59"/>
      <c r="AJ768" s="57"/>
      <c r="AK768" s="57"/>
      <c r="AL768" s="59"/>
      <c r="AM768" s="57"/>
      <c r="AN768" s="57"/>
      <c r="AO768" s="59"/>
      <c r="AP768" s="57"/>
      <c r="AQ768" s="59" t="str">
        <f t="shared" si="291"/>
        <v/>
      </c>
      <c r="AR768" s="57"/>
      <c r="AS768" s="57"/>
      <c r="AT768" s="59" t="str">
        <f t="shared" si="292"/>
        <v/>
      </c>
    </row>
    <row r="769" spans="1:46" hidden="1">
      <c r="A769" s="24"/>
      <c r="B769" s="26" t="s">
        <v>683</v>
      </c>
      <c r="C769" s="26"/>
      <c r="D769" s="50"/>
      <c r="E769" s="51"/>
      <c r="F769" s="50"/>
      <c r="G769" s="52"/>
      <c r="H769" s="50"/>
      <c r="I769" s="53"/>
      <c r="J769" s="50"/>
      <c r="K769" s="53"/>
      <c r="L769" s="50"/>
      <c r="M769" s="57"/>
      <c r="N769" s="55"/>
      <c r="O769" s="57"/>
      <c r="P769" s="57"/>
      <c r="Q769" s="59"/>
      <c r="R769" s="57"/>
      <c r="S769" s="57"/>
      <c r="T769" s="59"/>
      <c r="U769" s="57"/>
      <c r="V769" s="57"/>
      <c r="W769" s="59"/>
      <c r="X769" s="57"/>
      <c r="Y769" s="57"/>
      <c r="Z769" s="59" t="str">
        <f>IF(MIN(IF(ISBLANK(X769),W769,X769),IF(ISBLANK(W769),X769,W769))=0,"",MIN(IF(ISBLANK(X769),W769,X769),IF(ISBLANK(W769),X769,W769)))</f>
        <v/>
      </c>
      <c r="AA769" s="57"/>
      <c r="AB769" s="57"/>
      <c r="AC769" s="59" t="str">
        <f>IF(MIN(IF(ISBLANK(Z769),AA769,Z769),IF(ISBLANK(AA769),Z769,AA769))=0,"",MIN(IF(ISBLANK(Z769),AA769,Z769),IF(ISBLANK(AA769),Z769,AA769)))</f>
        <v/>
      </c>
      <c r="AD769" s="57"/>
      <c r="AE769" s="57"/>
      <c r="AF769" s="59" t="str">
        <f t="shared" ref="AF769:AF775" si="310">IF(MIN(IF(ISBLANK(AC769),AD769,AC769),IF(ISBLANK(AD769),AC769,AD769))=0,"",MIN(IF(ISBLANK(AC769),AD769,AC769),IF(ISBLANK(AD769),AC769,AD769)))</f>
        <v/>
      </c>
      <c r="AG769" s="57"/>
      <c r="AH769" s="57"/>
      <c r="AI769" s="59" t="str">
        <f t="shared" ref="AI769:AI775" si="311">IF(MIN(IF(ISBLANK(AF769),AG769,AF769),IF(ISBLANK(AG769),AF769,AG769))=0,"",MIN(IF(ISBLANK(AF769),AG769,AF769),IF(ISBLANK(AG769),AF769,AG769)))</f>
        <v/>
      </c>
      <c r="AJ769" s="57"/>
      <c r="AK769" s="57"/>
      <c r="AL769" s="59" t="str">
        <f t="shared" ref="AL769:AL775" si="312">IF(MIN(IF(ISBLANK(AI769),AJ769,AI769),IF(ISBLANK(AJ769),AI769,AJ769))=0,"",MIN(IF(ISBLANK(AI769),AJ769,AI769),IF(ISBLANK(AJ769),AI769,AJ769)))</f>
        <v/>
      </c>
      <c r="AM769" s="57"/>
      <c r="AN769" s="57"/>
      <c r="AO769" s="59" t="str">
        <f t="shared" ref="AO769:AO777" si="313">IF(MIN(IF(ISBLANK(AL769),AM769,AL769),IF(ISBLANK(AM769),AL769,AM769))=0,"",MIN(IF(ISBLANK(AL769),AM769,AL769),IF(ISBLANK(AM769),AL769,AM769)))</f>
        <v/>
      </c>
      <c r="AP769" s="57"/>
      <c r="AQ769" s="59" t="str">
        <f t="shared" si="291"/>
        <v/>
      </c>
      <c r="AR769" s="57"/>
      <c r="AS769" s="57"/>
      <c r="AT769" s="59" t="str">
        <f t="shared" si="292"/>
        <v/>
      </c>
    </row>
    <row r="770" spans="1:46" hidden="1">
      <c r="A770" s="24"/>
      <c r="B770" s="26" t="s">
        <v>514</v>
      </c>
      <c r="C770" s="26" t="s">
        <v>443</v>
      </c>
      <c r="D770" s="50"/>
      <c r="E770" s="51"/>
      <c r="F770" s="50"/>
      <c r="G770" s="52"/>
      <c r="H770" s="50"/>
      <c r="I770" s="53"/>
      <c r="J770" s="50"/>
      <c r="K770" s="53"/>
      <c r="L770" s="50"/>
      <c r="M770" s="57">
        <v>7.2916666666666659E-3</v>
      </c>
      <c r="N770" s="55">
        <v>7.2916666666666659E-3</v>
      </c>
      <c r="O770" s="57"/>
      <c r="P770" s="57"/>
      <c r="Q770" s="59">
        <f>IF(MIN(IF(ISBLANK(O770),N770,O770),IF(ISBLANK(N770),O770,N770))=0,"",MIN(IF(ISBLANK(O770),N770,O770),IF(ISBLANK(N770),O770,N770)))</f>
        <v>7.2916666666666659E-3</v>
      </c>
      <c r="R770" s="57"/>
      <c r="S770" s="57"/>
      <c r="T770" s="59">
        <f>IF(MIN(IF(ISBLANK(R770),Q770,R770),IF(ISBLANK(Q770),R770,Q770))=0,"",MIN(IF(ISBLANK(R770),Q770,R770),IF(ISBLANK(Q770),R770,Q770)))</f>
        <v>7.2916666666666659E-3</v>
      </c>
      <c r="U770" s="57"/>
      <c r="V770" s="57"/>
      <c r="W770" s="59">
        <f>IF(MIN(IF(ISBLANK(U770),T770,U770),IF(ISBLANK(T770),U770,T770))=0,"",MIN(IF(ISBLANK(U770),T770,U770),IF(ISBLANK(T770),U770,T770)))</f>
        <v>7.2916666666666659E-3</v>
      </c>
      <c r="X770" s="57"/>
      <c r="Y770" s="57"/>
      <c r="Z770" s="59">
        <f>IF(MIN(IF(ISBLANK(X770),W770,X770),IF(ISBLANK(W770),X770,W770))=0,"",MIN(IF(ISBLANK(X770),W770,X770),IF(ISBLANK(W770),X770,W770)))</f>
        <v>7.2916666666666659E-3</v>
      </c>
      <c r="AA770" s="57"/>
      <c r="AB770" s="57"/>
      <c r="AC770" s="59">
        <f>IF(MIN(IF(ISBLANK(Z770),AA770,Z770),IF(ISBLANK(AA770),Z770,AA770))=0,"",MIN(IF(ISBLANK(Z770),AA770,Z770),IF(ISBLANK(AA770),Z770,AA770)))</f>
        <v>7.2916666666666659E-3</v>
      </c>
      <c r="AD770" s="57"/>
      <c r="AE770" s="57"/>
      <c r="AF770" s="59">
        <f t="shared" si="310"/>
        <v>7.2916666666666659E-3</v>
      </c>
      <c r="AG770" s="57"/>
      <c r="AH770" s="57"/>
      <c r="AI770" s="59">
        <f t="shared" si="311"/>
        <v>7.2916666666666659E-3</v>
      </c>
      <c r="AJ770" s="57"/>
      <c r="AK770" s="57"/>
      <c r="AL770" s="59">
        <f t="shared" si="312"/>
        <v>7.2916666666666659E-3</v>
      </c>
      <c r="AM770" s="57"/>
      <c r="AN770" s="57"/>
      <c r="AO770" s="59">
        <f t="shared" si="313"/>
        <v>7.2916666666666659E-3</v>
      </c>
      <c r="AP770" s="57"/>
      <c r="AQ770" s="59">
        <f t="shared" si="291"/>
        <v>7.2916666666666659E-3</v>
      </c>
      <c r="AR770" s="57"/>
      <c r="AS770" s="57"/>
      <c r="AT770" s="59">
        <f t="shared" si="292"/>
        <v>7.2916666666666659E-3</v>
      </c>
    </row>
    <row r="771" spans="1:46" hidden="1">
      <c r="A771" s="24"/>
      <c r="B771" s="26" t="s">
        <v>337</v>
      </c>
      <c r="C771" s="26" t="s">
        <v>444</v>
      </c>
      <c r="D771" s="50"/>
      <c r="E771" s="51"/>
      <c r="F771" s="50" t="s">
        <v>448</v>
      </c>
      <c r="G771" s="52" t="s">
        <v>362</v>
      </c>
      <c r="H771" s="50">
        <v>13.43</v>
      </c>
      <c r="I771" s="53">
        <v>11.32</v>
      </c>
      <c r="J771" s="50">
        <v>11.32</v>
      </c>
      <c r="K771" s="53"/>
      <c r="L771" s="50">
        <v>11.32</v>
      </c>
      <c r="M771" s="57"/>
      <c r="N771" s="55">
        <v>8.0092592592592594E-3</v>
      </c>
      <c r="O771" s="57"/>
      <c r="P771" s="57"/>
      <c r="Q771" s="59">
        <f>IF(MIN(IF(ISBLANK(O771),N771,O771),IF(ISBLANK(N771),O771,N771))=0,"",MIN(IF(ISBLANK(O771),N771,O771),IF(ISBLANK(N771),O771,N771)))</f>
        <v>8.0092592592592594E-3</v>
      </c>
      <c r="R771" s="57"/>
      <c r="S771" s="57"/>
      <c r="T771" s="59">
        <f>IF(MIN(IF(ISBLANK(R771),Q771,R771),IF(ISBLANK(Q771),R771,Q771))=0,"",MIN(IF(ISBLANK(R771),Q771,R771),IF(ISBLANK(Q771),R771,Q771)))</f>
        <v>8.0092592592592594E-3</v>
      </c>
      <c r="U771" s="57"/>
      <c r="V771" s="57"/>
      <c r="W771" s="59">
        <f>IF(MIN(IF(ISBLANK(U771),T771,U771),IF(ISBLANK(T771),U771,T771))=0,"",MIN(IF(ISBLANK(U771),T771,U771),IF(ISBLANK(T771),U771,T771)))</f>
        <v>8.0092592592592594E-3</v>
      </c>
      <c r="X771" s="57"/>
      <c r="Y771" s="57"/>
      <c r="Z771" s="59">
        <f>IF(MIN(IF(ISBLANK(X771),W771,X771),IF(ISBLANK(W771),X771,W771))=0,"",MIN(IF(ISBLANK(X771),W771,X771),IF(ISBLANK(W771),X771,W771)))</f>
        <v>8.0092592592592594E-3</v>
      </c>
      <c r="AA771" s="57"/>
      <c r="AB771" s="57"/>
      <c r="AC771" s="59">
        <f>IF(MIN(IF(ISBLANK(Z771),AA771,Z771),IF(ISBLANK(AA771),Z771,AA771))=0,"",MIN(IF(ISBLANK(Z771),AA771,Z771),IF(ISBLANK(AA771),Z771,AA771)))</f>
        <v>8.0092592592592594E-3</v>
      </c>
      <c r="AD771" s="57"/>
      <c r="AE771" s="57"/>
      <c r="AF771" s="59">
        <f t="shared" si="310"/>
        <v>8.0092592592592594E-3</v>
      </c>
      <c r="AG771" s="57"/>
      <c r="AH771" s="57"/>
      <c r="AI771" s="59">
        <f t="shared" si="311"/>
        <v>8.0092592592592594E-3</v>
      </c>
      <c r="AJ771" s="57"/>
      <c r="AK771" s="57"/>
      <c r="AL771" s="59">
        <f t="shared" si="312"/>
        <v>8.0092592592592594E-3</v>
      </c>
      <c r="AM771" s="57"/>
      <c r="AN771" s="57"/>
      <c r="AO771" s="59">
        <f t="shared" si="313"/>
        <v>8.0092592592592594E-3</v>
      </c>
      <c r="AP771" s="57"/>
      <c r="AQ771" s="59">
        <f t="shared" si="291"/>
        <v>8.0092592592592594E-3</v>
      </c>
      <c r="AR771" s="57"/>
      <c r="AS771" s="57"/>
      <c r="AT771" s="59">
        <f t="shared" si="292"/>
        <v>8.0092592592592594E-3</v>
      </c>
    </row>
    <row r="772" spans="1:46" hidden="1">
      <c r="A772" s="24"/>
      <c r="B772" s="26" t="s">
        <v>338</v>
      </c>
      <c r="C772" s="26" t="s">
        <v>444</v>
      </c>
      <c r="D772" s="50"/>
      <c r="E772" s="51"/>
      <c r="F772" s="50" t="s">
        <v>448</v>
      </c>
      <c r="G772" s="52" t="s">
        <v>363</v>
      </c>
      <c r="H772" s="50">
        <v>12.5</v>
      </c>
      <c r="I772" s="53">
        <v>11.23</v>
      </c>
      <c r="J772" s="50">
        <v>11.23</v>
      </c>
      <c r="K772" s="53"/>
      <c r="L772" s="50">
        <v>11.23</v>
      </c>
      <c r="M772" s="57"/>
      <c r="N772" s="55">
        <v>7.905092592592592E-3</v>
      </c>
      <c r="O772" s="57"/>
      <c r="P772" s="57"/>
      <c r="Q772" s="59">
        <f>IF(MIN(IF(ISBLANK(O772),N772,O772),IF(ISBLANK(N772),O772,N772))=0,"",MIN(IF(ISBLANK(O772),N772,O772),IF(ISBLANK(N772),O772,N772)))</f>
        <v>7.905092592592592E-3</v>
      </c>
      <c r="R772" s="57"/>
      <c r="S772" s="57"/>
      <c r="T772" s="59">
        <f>IF(MIN(IF(ISBLANK(R772),Q772,R772),IF(ISBLANK(Q772),R772,Q772))=0,"",MIN(IF(ISBLANK(R772),Q772,R772),IF(ISBLANK(Q772),R772,Q772)))</f>
        <v>7.905092592592592E-3</v>
      </c>
      <c r="U772" s="57"/>
      <c r="V772" s="57"/>
      <c r="W772" s="59">
        <f>IF(MIN(IF(ISBLANK(U772),T772,U772),IF(ISBLANK(T772),U772,T772))=0,"",MIN(IF(ISBLANK(U772),T772,U772),IF(ISBLANK(T772),U772,T772)))</f>
        <v>7.905092592592592E-3</v>
      </c>
      <c r="X772" s="57"/>
      <c r="Y772" s="57"/>
      <c r="Z772" s="59">
        <f>IF(MIN(IF(ISBLANK(X772),W772,X772),IF(ISBLANK(W772),X772,W772))=0,"",MIN(IF(ISBLANK(X772),W772,X772),IF(ISBLANK(W772),X772,W772)))</f>
        <v>7.905092592592592E-3</v>
      </c>
      <c r="AA772" s="57"/>
      <c r="AB772" s="57"/>
      <c r="AC772" s="59">
        <f>IF(MIN(IF(ISBLANK(Z772),AA772,Z772),IF(ISBLANK(AA772),Z772,AA772))=0,"",MIN(IF(ISBLANK(Z772),AA772,Z772),IF(ISBLANK(AA772),Z772,AA772)))</f>
        <v>7.905092592592592E-3</v>
      </c>
      <c r="AD772" s="57"/>
      <c r="AE772" s="57"/>
      <c r="AF772" s="59">
        <f t="shared" si="310"/>
        <v>7.905092592592592E-3</v>
      </c>
      <c r="AG772" s="57"/>
      <c r="AH772" s="57"/>
      <c r="AI772" s="59">
        <f t="shared" si="311"/>
        <v>7.905092592592592E-3</v>
      </c>
      <c r="AJ772" s="57"/>
      <c r="AK772" s="57"/>
      <c r="AL772" s="59">
        <f t="shared" si="312"/>
        <v>7.905092592592592E-3</v>
      </c>
      <c r="AM772" s="57"/>
      <c r="AN772" s="57"/>
      <c r="AO772" s="59">
        <f t="shared" si="313"/>
        <v>7.905092592592592E-3</v>
      </c>
      <c r="AP772" s="57"/>
      <c r="AQ772" s="59">
        <f t="shared" si="291"/>
        <v>7.905092592592592E-3</v>
      </c>
      <c r="AR772" s="57"/>
      <c r="AS772" s="57"/>
      <c r="AT772" s="59">
        <f t="shared" si="292"/>
        <v>7.905092592592592E-3</v>
      </c>
    </row>
    <row r="773" spans="1:46" hidden="1">
      <c r="A773" s="24"/>
      <c r="B773" s="26" t="s">
        <v>793</v>
      </c>
      <c r="C773" s="26"/>
      <c r="D773" s="50"/>
      <c r="E773" s="51"/>
      <c r="F773" s="50"/>
      <c r="G773" s="52"/>
      <c r="H773" s="50"/>
      <c r="I773" s="53"/>
      <c r="J773" s="50"/>
      <c r="K773" s="53"/>
      <c r="L773" s="50"/>
      <c r="M773" s="57"/>
      <c r="N773" s="55"/>
      <c r="O773" s="57"/>
      <c r="P773" s="57"/>
      <c r="Q773" s="59"/>
      <c r="R773" s="57"/>
      <c r="S773" s="57"/>
      <c r="T773" s="59"/>
      <c r="U773" s="57"/>
      <c r="V773" s="57"/>
      <c r="W773" s="59"/>
      <c r="X773" s="57"/>
      <c r="Y773" s="57"/>
      <c r="Z773" s="59"/>
      <c r="AA773" s="57"/>
      <c r="AB773" s="57"/>
      <c r="AC773" s="59"/>
      <c r="AD773" s="57"/>
      <c r="AE773" s="57"/>
      <c r="AF773" s="59" t="str">
        <f t="shared" si="310"/>
        <v/>
      </c>
      <c r="AG773" s="57"/>
      <c r="AH773" s="57"/>
      <c r="AI773" s="59" t="str">
        <f t="shared" si="311"/>
        <v/>
      </c>
      <c r="AJ773" s="57">
        <v>5.7060185185185191E-3</v>
      </c>
      <c r="AK773" s="57"/>
      <c r="AL773" s="59">
        <f t="shared" si="312"/>
        <v>5.7060185185185191E-3</v>
      </c>
      <c r="AM773" s="57"/>
      <c r="AN773" s="57"/>
      <c r="AO773" s="59">
        <f t="shared" si="313"/>
        <v>5.7060185185185191E-3</v>
      </c>
      <c r="AP773" s="57"/>
      <c r="AQ773" s="59">
        <f t="shared" si="291"/>
        <v>5.7060185185185191E-3</v>
      </c>
      <c r="AR773" s="57"/>
      <c r="AS773" s="57"/>
      <c r="AT773" s="59">
        <f t="shared" si="292"/>
        <v>5.7060185185185191E-3</v>
      </c>
    </row>
    <row r="774" spans="1:46" hidden="1">
      <c r="A774" s="24"/>
      <c r="B774" s="26" t="s">
        <v>720</v>
      </c>
      <c r="C774" s="26"/>
      <c r="D774" s="50"/>
      <c r="E774" s="51"/>
      <c r="F774" s="50"/>
      <c r="G774" s="52"/>
      <c r="H774" s="50"/>
      <c r="I774" s="53"/>
      <c r="J774" s="50"/>
      <c r="K774" s="53"/>
      <c r="L774" s="50"/>
      <c r="M774" s="57"/>
      <c r="N774" s="55"/>
      <c r="O774" s="57"/>
      <c r="P774" s="57"/>
      <c r="Q774" s="59"/>
      <c r="R774" s="57"/>
      <c r="S774" s="57"/>
      <c r="T774" s="59"/>
      <c r="U774" s="57"/>
      <c r="V774" s="57"/>
      <c r="W774" s="59"/>
      <c r="X774" s="57"/>
      <c r="Y774" s="57"/>
      <c r="Z774" s="59"/>
      <c r="AA774" s="57"/>
      <c r="AB774" s="57"/>
      <c r="AC774" s="59"/>
      <c r="AD774" s="57"/>
      <c r="AE774" s="57"/>
      <c r="AF774" s="59" t="str">
        <f t="shared" si="310"/>
        <v/>
      </c>
      <c r="AG774" s="57"/>
      <c r="AH774" s="57"/>
      <c r="AI774" s="59" t="str">
        <f t="shared" si="311"/>
        <v/>
      </c>
      <c r="AJ774" s="57"/>
      <c r="AK774" s="57"/>
      <c r="AL774" s="59" t="str">
        <f t="shared" si="312"/>
        <v/>
      </c>
      <c r="AM774" s="57"/>
      <c r="AN774" s="57"/>
      <c r="AO774" s="59" t="str">
        <f t="shared" si="313"/>
        <v/>
      </c>
      <c r="AP774" s="57"/>
      <c r="AQ774" s="59" t="str">
        <f t="shared" si="291"/>
        <v/>
      </c>
      <c r="AR774" s="57"/>
      <c r="AS774" s="57"/>
      <c r="AT774" s="59" t="str">
        <f t="shared" si="292"/>
        <v/>
      </c>
    </row>
    <row r="775" spans="1:46" hidden="1">
      <c r="A775" s="24"/>
      <c r="B775" s="26" t="s">
        <v>791</v>
      </c>
      <c r="C775" s="26"/>
      <c r="D775" s="50"/>
      <c r="E775" s="51"/>
      <c r="F775" s="50"/>
      <c r="G775" s="52"/>
      <c r="H775" s="50"/>
      <c r="I775" s="53"/>
      <c r="J775" s="50"/>
      <c r="K775" s="53"/>
      <c r="L775" s="50"/>
      <c r="M775" s="57"/>
      <c r="N775" s="55"/>
      <c r="O775" s="57"/>
      <c r="P775" s="57"/>
      <c r="Q775" s="59"/>
      <c r="R775" s="57"/>
      <c r="S775" s="57"/>
      <c r="T775" s="59"/>
      <c r="U775" s="57"/>
      <c r="V775" s="57"/>
      <c r="W775" s="59"/>
      <c r="X775" s="57">
        <v>6.0995370370370361E-3</v>
      </c>
      <c r="Y775" s="57"/>
      <c r="Z775" s="59">
        <f>IF(MIN(IF(ISBLANK(X775),W775,X775),IF(ISBLANK(W775),X775,W775))=0,"",MIN(IF(ISBLANK(X775),W775,X775),IF(ISBLANK(W775),X775,W775)))</f>
        <v>6.0995370370370361E-3</v>
      </c>
      <c r="AA775" s="57"/>
      <c r="AB775" s="57"/>
      <c r="AC775" s="59">
        <f>IF(MIN(IF(ISBLANK(Z775),AA775,Z775),IF(ISBLANK(AA775),Z775,AA775))=0,"",MIN(IF(ISBLANK(Z775),AA775,Z775),IF(ISBLANK(AA775),Z775,AA775)))</f>
        <v>6.0995370370370361E-3</v>
      </c>
      <c r="AD775" s="57"/>
      <c r="AE775" s="57"/>
      <c r="AF775" s="59">
        <f t="shared" si="310"/>
        <v>6.0995370370370361E-3</v>
      </c>
      <c r="AG775" s="57"/>
      <c r="AH775" s="57"/>
      <c r="AI775" s="59">
        <f t="shared" si="311"/>
        <v>6.0995370370370361E-3</v>
      </c>
      <c r="AJ775" s="57"/>
      <c r="AK775" s="57"/>
      <c r="AL775" s="59">
        <f t="shared" si="312"/>
        <v>6.0995370370370361E-3</v>
      </c>
      <c r="AM775" s="57"/>
      <c r="AN775" s="57"/>
      <c r="AO775" s="59">
        <f t="shared" si="313"/>
        <v>6.0995370370370361E-3</v>
      </c>
      <c r="AP775" s="57"/>
      <c r="AQ775" s="59">
        <f t="shared" si="291"/>
        <v>6.0995370370370361E-3</v>
      </c>
      <c r="AR775" s="57"/>
      <c r="AS775" s="57"/>
      <c r="AT775" s="59">
        <f t="shared" si="292"/>
        <v>6.0995370370370361E-3</v>
      </c>
    </row>
    <row r="776" spans="1:46">
      <c r="A776" s="24" t="s">
        <v>792</v>
      </c>
      <c r="B776" s="26" t="s">
        <v>812</v>
      </c>
      <c r="C776" s="26"/>
      <c r="D776" s="50"/>
      <c r="E776" s="51"/>
      <c r="F776" s="50"/>
      <c r="G776" s="52"/>
      <c r="H776" s="50"/>
      <c r="I776" s="53"/>
      <c r="J776" s="50"/>
      <c r="K776" s="53"/>
      <c r="L776" s="50"/>
      <c r="M776" s="57"/>
      <c r="N776" s="55"/>
      <c r="O776" s="57"/>
      <c r="P776" s="57"/>
      <c r="Q776" s="59"/>
      <c r="R776" s="57"/>
      <c r="S776" s="57"/>
      <c r="T776" s="59"/>
      <c r="U776" s="57"/>
      <c r="V776" s="57"/>
      <c r="W776" s="59"/>
      <c r="X776" s="57"/>
      <c r="Y776" s="57"/>
      <c r="Z776" s="59"/>
      <c r="AA776" s="57"/>
      <c r="AB776" s="57"/>
      <c r="AC776" s="59"/>
      <c r="AD776" s="57"/>
      <c r="AE776" s="57"/>
      <c r="AF776" s="59"/>
      <c r="AG776" s="57"/>
      <c r="AH776" s="57"/>
      <c r="AI776" s="59"/>
      <c r="AJ776" s="57"/>
      <c r="AK776" s="57"/>
      <c r="AL776" s="59"/>
      <c r="AM776" s="57"/>
      <c r="AN776" s="57"/>
      <c r="AO776" s="59" t="str">
        <f t="shared" si="313"/>
        <v/>
      </c>
      <c r="AP776" s="57"/>
      <c r="AQ776" s="59" t="str">
        <f t="shared" si="291"/>
        <v/>
      </c>
      <c r="AR776" s="57"/>
      <c r="AS776" s="57"/>
      <c r="AT776" s="59" t="str">
        <f t="shared" si="292"/>
        <v/>
      </c>
    </row>
    <row r="777" spans="1:46" hidden="1">
      <c r="A777" s="24"/>
      <c r="B777" s="26" t="s">
        <v>264</v>
      </c>
      <c r="C777" s="26" t="s">
        <v>444</v>
      </c>
      <c r="D777" s="50" t="s">
        <v>279</v>
      </c>
      <c r="E777" s="51"/>
      <c r="F777" s="50" t="s">
        <v>279</v>
      </c>
      <c r="G777" s="52"/>
      <c r="H777" s="50" t="s">
        <v>279</v>
      </c>
      <c r="I777" s="53"/>
      <c r="J777" s="50" t="s">
        <v>279</v>
      </c>
      <c r="K777" s="53"/>
      <c r="L777" s="50" t="s">
        <v>279</v>
      </c>
      <c r="M777" s="57"/>
      <c r="N777" s="55">
        <v>7.5231481481481477E-3</v>
      </c>
      <c r="O777" s="57"/>
      <c r="P777" s="57"/>
      <c r="Q777" s="59">
        <f>IF(MIN(IF(ISBLANK(O777),N777,O777),IF(ISBLANK(N777),O777,N777))=0,"",MIN(IF(ISBLANK(O777),N777,O777),IF(ISBLANK(N777),O777,N777)))</f>
        <v>7.5231481481481477E-3</v>
      </c>
      <c r="R777" s="57"/>
      <c r="S777" s="57"/>
      <c r="T777" s="59">
        <f>IF(MIN(IF(ISBLANK(R777),Q777,R777),IF(ISBLANK(Q777),R777,Q777))=0,"",MIN(IF(ISBLANK(R777),Q777,R777),IF(ISBLANK(Q777),R777,Q777)))</f>
        <v>7.5231481481481477E-3</v>
      </c>
      <c r="U777" s="57"/>
      <c r="V777" s="57"/>
      <c r="W777" s="59">
        <f>IF(MIN(IF(ISBLANK(U777),T777,U777),IF(ISBLANK(T777),U777,T777))=0,"",MIN(IF(ISBLANK(U777),T777,U777),IF(ISBLANK(T777),U777,T777)))</f>
        <v>7.5231481481481477E-3</v>
      </c>
      <c r="X777" s="57"/>
      <c r="Y777" s="57"/>
      <c r="Z777" s="59">
        <f>IF(MIN(IF(ISBLANK(X777),W777,X777),IF(ISBLANK(W777),X777,W777))=0,"",MIN(IF(ISBLANK(X777),W777,X777),IF(ISBLANK(W777),X777,W777)))</f>
        <v>7.5231481481481477E-3</v>
      </c>
      <c r="AA777" s="57"/>
      <c r="AB777" s="57"/>
      <c r="AC777" s="59">
        <f>IF(MIN(IF(ISBLANK(Z777),AA777,Z777),IF(ISBLANK(AA777),Z777,AA777))=0,"",MIN(IF(ISBLANK(Z777),AA777,Z777),IF(ISBLANK(AA777),Z777,AA777)))</f>
        <v>7.5231481481481477E-3</v>
      </c>
      <c r="AD777" s="57"/>
      <c r="AE777" s="57"/>
      <c r="AF777" s="59">
        <f>IF(MIN(IF(ISBLANK(AC777),AD777,AC777),IF(ISBLANK(AD777),AC777,AD777))=0,"",MIN(IF(ISBLANK(AC777),AD777,AC777),IF(ISBLANK(AD777),AC777,AD777)))</f>
        <v>7.5231481481481477E-3</v>
      </c>
      <c r="AG777" s="57"/>
      <c r="AH777" s="57"/>
      <c r="AI777" s="59">
        <f>IF(MIN(IF(ISBLANK(AF777),AG777,AF777),IF(ISBLANK(AG777),AF777,AG777))=0,"",MIN(IF(ISBLANK(AF777),AG777,AF777),IF(ISBLANK(AG777),AF777,AG777)))</f>
        <v>7.5231481481481477E-3</v>
      </c>
      <c r="AJ777" s="57"/>
      <c r="AK777" s="57"/>
      <c r="AL777" s="59">
        <f>IF(MIN(IF(ISBLANK(AI777),AJ777,AI777),IF(ISBLANK(AJ777),AI777,AJ777))=0,"",MIN(IF(ISBLANK(AI777),AJ777,AI777),IF(ISBLANK(AJ777),AI777,AJ777)))</f>
        <v>7.5231481481481477E-3</v>
      </c>
      <c r="AM777" s="57"/>
      <c r="AN777" s="57"/>
      <c r="AO777" s="59">
        <f t="shared" si="313"/>
        <v>7.5231481481481477E-3</v>
      </c>
      <c r="AP777" s="57"/>
      <c r="AQ777" s="59">
        <f t="shared" si="291"/>
        <v>7.5231481481481477E-3</v>
      </c>
      <c r="AR777" s="57"/>
      <c r="AS777" s="57"/>
      <c r="AT777" s="59">
        <f t="shared" si="292"/>
        <v>7.5231481481481477E-3</v>
      </c>
    </row>
    <row r="778" spans="1:46">
      <c r="O778" s="3"/>
      <c r="P778" s="3"/>
      <c r="Q778" s="3"/>
    </row>
    <row r="779" spans="1:46">
      <c r="A779" s="3">
        <f>SUBTOTAL(3,B10:B777)</f>
        <v>175</v>
      </c>
      <c r="D779" s="31" t="s">
        <v>445</v>
      </c>
      <c r="E779" s="17">
        <f>COUNTA(E10:E777)</f>
        <v>53</v>
      </c>
      <c r="G779" s="17">
        <f>COUNTA(G10:G777)</f>
        <v>53</v>
      </c>
      <c r="I779" s="17">
        <f>COUNTA(I10:I777)</f>
        <v>81</v>
      </c>
      <c r="K779" s="17">
        <f>COUNTA(K10:K777)</f>
        <v>68</v>
      </c>
      <c r="L779" s="17"/>
      <c r="M779" s="17">
        <f>COUNTA(M10:M777)</f>
        <v>51</v>
      </c>
      <c r="N779" s="17"/>
      <c r="O779" s="17">
        <f>COUNTA(O10:O777)</f>
        <v>76</v>
      </c>
      <c r="P779" s="17"/>
      <c r="Q779" s="17"/>
      <c r="R779" s="17">
        <f>COUNTA(R10:R777)</f>
        <v>47</v>
      </c>
      <c r="U779" s="17">
        <f>COUNTA(U10:U777)</f>
        <v>50</v>
      </c>
      <c r="X779" s="17">
        <f>COUNTA(X10:X777)</f>
        <v>64</v>
      </c>
      <c r="AA779" s="17">
        <f>COUNTA(AA10:AA777)</f>
        <v>57</v>
      </c>
      <c r="AD779" s="17">
        <f>COUNTA(AD10:AD777)</f>
        <v>52</v>
      </c>
      <c r="AG779" s="17">
        <f>COUNTA(AG10:AG777)</f>
        <v>64</v>
      </c>
      <c r="AJ779" s="17">
        <f>COUNTA(AJ10:AJ777)</f>
        <v>42</v>
      </c>
      <c r="AM779" s="17">
        <f>COUNTA(AM10:AM777)</f>
        <v>49</v>
      </c>
      <c r="AP779" s="17">
        <f>COUNTA(AP10:AP777)</f>
        <v>54</v>
      </c>
      <c r="AR779" s="17">
        <f>COUNTA(AR10:AR777)</f>
        <v>29</v>
      </c>
      <c r="AS779" s="17"/>
    </row>
    <row r="780" spans="1:46">
      <c r="D780" s="31" t="s">
        <v>446</v>
      </c>
      <c r="E780" s="17">
        <f>MAX(E10:E777)</f>
        <v>7.3148148148148148E-3</v>
      </c>
      <c r="G780" s="17">
        <f>MAX(G10:G777)</f>
        <v>10.23</v>
      </c>
      <c r="I780" s="17">
        <f>MAX(I10:I777)</f>
        <v>12.41</v>
      </c>
      <c r="K780" s="17">
        <f>MAX(K10:K777)</f>
        <v>12.12</v>
      </c>
      <c r="L780" s="17"/>
      <c r="M780" s="62">
        <f>MAX(M10:M777)</f>
        <v>7.9629629629629634E-3</v>
      </c>
      <c r="N780" s="17"/>
      <c r="O780" s="62">
        <f>MAX(O10:O777)</f>
        <v>1.2268518518518519E-2</v>
      </c>
      <c r="P780" s="62"/>
      <c r="Q780" s="62"/>
      <c r="R780" s="62">
        <f>MAX(R10:R777)</f>
        <v>7.4074074074074068E-3</v>
      </c>
      <c r="U780" s="62">
        <f>MAX(U10:U777)</f>
        <v>1.0763888888888891E-2</v>
      </c>
      <c r="X780" s="62">
        <f>MAX(X10:X777)</f>
        <v>8.726851851851852E-3</v>
      </c>
      <c r="AA780" s="62">
        <f>MAX(AA10:AA777)</f>
        <v>8.1712962962962963E-3</v>
      </c>
      <c r="AD780" s="62">
        <f>MAX(AD10:AD777)</f>
        <v>9.7222222222222224E-3</v>
      </c>
      <c r="AG780" s="62">
        <f>MAX(AG10:AG777)</f>
        <v>9.0740740740740729E-3</v>
      </c>
      <c r="AJ780" s="62">
        <f>MAX(AJ10:AJ777)</f>
        <v>9.7453703703703713E-3</v>
      </c>
      <c r="AM780" s="62">
        <f>MAX(AM10:AM777)</f>
        <v>8.2754629629629619E-3</v>
      </c>
      <c r="AP780" s="62">
        <f>MAX(AP10:AP777)</f>
        <v>0.30416666666666664</v>
      </c>
      <c r="AR780" s="62">
        <f>MAX(AR10:AR777)</f>
        <v>9.8842592592592576E-3</v>
      </c>
      <c r="AS780" s="62"/>
    </row>
    <row r="781" spans="1:46">
      <c r="D781" s="31" t="s">
        <v>447</v>
      </c>
      <c r="E781" s="17">
        <f>MIN(E10:E777)</f>
        <v>4.8032407407407407E-3</v>
      </c>
      <c r="G781" s="17">
        <f>MIN(G10:G777)</f>
        <v>5.3240740740740748E-3</v>
      </c>
      <c r="I781" s="17">
        <f>MIN(I10:I777)</f>
        <v>4.6180555555555558E-3</v>
      </c>
      <c r="K781" s="17">
        <f>MIN(K10:K777)</f>
        <v>5.0462962962962961E-3</v>
      </c>
      <c r="M781" s="62">
        <f>MIN(M10:M777)</f>
        <v>4.3981481481481484E-3</v>
      </c>
      <c r="O781" s="62">
        <f>MIN(O10:O777)</f>
        <v>4.340277777777778E-3</v>
      </c>
      <c r="P781" s="62"/>
      <c r="Q781" s="62"/>
      <c r="R781" s="62">
        <f>MIN(R10:R777)</f>
        <v>4.2939814814814811E-3</v>
      </c>
      <c r="U781" s="62">
        <f>MIN(U10:U777)</f>
        <v>4.6064814814814814E-3</v>
      </c>
      <c r="X781" s="62">
        <f>MIN(X10:X777)</f>
        <v>4.4328703703703709E-3</v>
      </c>
      <c r="AA781" s="62">
        <f>MIN(AA10:AA777)</f>
        <v>4.340277777777778E-3</v>
      </c>
      <c r="AD781" s="62">
        <f>MIN(AD10:AD777)</f>
        <v>4.5254629629629629E-3</v>
      </c>
      <c r="AG781" s="62">
        <f>MIN(AG10:AG777)</f>
        <v>4.31712962962963E-3</v>
      </c>
      <c r="AJ781" s="62">
        <f>MIN(AJ10:AJ777)</f>
        <v>4.386574074074074E-3</v>
      </c>
      <c r="AM781" s="62">
        <f>MIN(AM10:AM777)</f>
        <v>4.2824074074074075E-3</v>
      </c>
      <c r="AP781" s="62">
        <f>MIN(AP10:AP777)</f>
        <v>4.6874999999999998E-3</v>
      </c>
      <c r="AR781" s="62">
        <f>MIN(AR10:AR777)</f>
        <v>4.7222222222222223E-3</v>
      </c>
      <c r="AS781" s="62"/>
    </row>
    <row r="782" spans="1:46">
      <c r="D782" s="31" t="s">
        <v>0</v>
      </c>
      <c r="I782" s="17">
        <v>26</v>
      </c>
      <c r="K782" s="17">
        <v>21</v>
      </c>
      <c r="M782" s="17"/>
      <c r="O782" s="17"/>
      <c r="P782" s="17"/>
      <c r="Q782" s="3"/>
    </row>
    <row r="783" spans="1:46">
      <c r="B783" s="14"/>
      <c r="O783" s="3"/>
      <c r="P783" s="3"/>
      <c r="Q783" s="3"/>
    </row>
  </sheetData>
  <autoFilter ref="A9:AQ777">
    <filterColumn colId="0">
      <customFilters>
        <customFilter operator="notEqual" val=" "/>
      </customFilters>
    </filterColumn>
  </autoFilter>
  <sortState ref="A10:AR777">
    <sortCondition ref="B10"/>
  </sortState>
  <mergeCells count="16">
    <mergeCell ref="AR8:AT8"/>
    <mergeCell ref="AP8:AQ8"/>
    <mergeCell ref="E8:F8"/>
    <mergeCell ref="G8:H8"/>
    <mergeCell ref="I8:J8"/>
    <mergeCell ref="K8:L8"/>
    <mergeCell ref="X8:Z8"/>
    <mergeCell ref="U8:W8"/>
    <mergeCell ref="R8:T8"/>
    <mergeCell ref="M8:N8"/>
    <mergeCell ref="O8:Q8"/>
    <mergeCell ref="AM8:AO8"/>
    <mergeCell ref="AJ8:AL8"/>
    <mergeCell ref="AG8:AI8"/>
    <mergeCell ref="AD8:AF8"/>
    <mergeCell ref="AA8:AC8"/>
  </mergeCells>
  <conditionalFormatting sqref="E9 E191:E192 E138:E139 E146:E147 E142:E144 G203:G207 E150:E189 G138:G190 G192:G201 E194:E201 G218:G222 G209:G216 E203:E216 E218:E221 E223:E571 G224:G571">
    <cfRule type="expression" dxfId="91" priority="120">
      <formula>AND(NOT(ISBLANK(D9)),VALUE(E9)&lt;=VALUE(D9))</formula>
    </cfRule>
    <cfRule type="expression" dxfId="90" priority="121">
      <formula>AND(ISBLANK(D9),NOT(ISBLANK(E9)))</formula>
    </cfRule>
  </conditionalFormatting>
  <conditionalFormatting sqref="A9:A777">
    <cfRule type="expression" dxfId="89" priority="118">
      <formula>A9="Y"</formula>
    </cfRule>
  </conditionalFormatting>
  <conditionalFormatting sqref="B695:C696 C9 B616:B694 B697:B777 C616:C777 B138:C646">
    <cfRule type="expression" dxfId="88" priority="115">
      <formula>$A9 = "Y"</formula>
    </cfRule>
  </conditionalFormatting>
  <conditionalFormatting sqref="B10:C137">
    <cfRule type="expression" dxfId="87" priority="111">
      <formula>$A10 = "Y"</formula>
    </cfRule>
  </conditionalFormatting>
  <conditionalFormatting sqref="E10:E109 E111 E113:E126 E128:E137">
    <cfRule type="expression" dxfId="86" priority="108">
      <formula>AND(NOT(ISBLANK(D10)),VALUE(E10)&lt;=VALUE(D10))</formula>
    </cfRule>
    <cfRule type="expression" dxfId="85" priority="109">
      <formula>AND(ISBLANK(D10),NOT(ISBLANK(E10)))</formula>
    </cfRule>
  </conditionalFormatting>
  <conditionalFormatting sqref="G9">
    <cfRule type="expression" dxfId="84" priority="106">
      <formula>AND(NOT(ISBLANK(F9)),VALUE(G9)&lt;=VALUE(F9))</formula>
    </cfRule>
    <cfRule type="expression" dxfId="83" priority="107">
      <formula>AND(ISBLANK(F9),NOT(ISBLANK(G9)))</formula>
    </cfRule>
  </conditionalFormatting>
  <conditionalFormatting sqref="G10:G11 G13:G108 G110:G111 G113:G126 G128:G137">
    <cfRule type="expression" dxfId="82" priority="104">
      <formula>AND(NOT(ISBLANK(F10)),VALUE(G10)&lt;=VALUE(F10))</formula>
    </cfRule>
    <cfRule type="expression" dxfId="81" priority="105">
      <formula>AND(ISBLANK(F10),NOT(ISBLANK(G10)))</formula>
    </cfRule>
  </conditionalFormatting>
  <conditionalFormatting sqref="B647:C658">
    <cfRule type="expression" dxfId="80" priority="93">
      <formula>$A647 = "Y"</formula>
    </cfRule>
  </conditionalFormatting>
  <conditionalFormatting sqref="I168:I169">
    <cfRule type="expression" dxfId="79" priority="90">
      <formula>AND(NOT(ISBLANK(H168)),VALUE(I168)&lt;=VALUE(H168))</formula>
    </cfRule>
    <cfRule type="expression" dxfId="78" priority="91">
      <formula>AND(ISBLANK(H168),NOT(ISBLANK(I168)))</formula>
    </cfRule>
  </conditionalFormatting>
  <conditionalFormatting sqref="I10:I23 I25:I91 I93:I111 I113:I126 I128:I147 I150:I165 I168:I183 I185:I190 I203:I213 I192:I201 I215:I216 I218:I219 I221:I777">
    <cfRule type="expression" dxfId="77" priority="89">
      <formula>AND(NOT(ISBLANK(H10)),VALUE(I10)&lt;=VALUE(H10))</formula>
    </cfRule>
  </conditionalFormatting>
  <conditionalFormatting sqref="B695:C696">
    <cfRule type="expression" dxfId="76" priority="88">
      <formula>$A695 = "Y"</formula>
    </cfRule>
  </conditionalFormatting>
  <conditionalFormatting sqref="C647:C650">
    <cfRule type="expression" dxfId="75" priority="87">
      <formula>$A647 = "Y"</formula>
    </cfRule>
  </conditionalFormatting>
  <conditionalFormatting sqref="C651">
    <cfRule type="expression" dxfId="74" priority="86">
      <formula>$A651 = "Y"</formula>
    </cfRule>
  </conditionalFormatting>
  <conditionalFormatting sqref="C659">
    <cfRule type="expression" dxfId="73" priority="85">
      <formula>$A659 = "Y"</formula>
    </cfRule>
  </conditionalFormatting>
  <conditionalFormatting sqref="C660">
    <cfRule type="expression" dxfId="72" priority="84">
      <formula>$A660 = "Y"</formula>
    </cfRule>
  </conditionalFormatting>
  <conditionalFormatting sqref="C663">
    <cfRule type="expression" dxfId="71" priority="83">
      <formula>$A663 = "Y"</formula>
    </cfRule>
  </conditionalFormatting>
  <conditionalFormatting sqref="C657:C658">
    <cfRule type="expression" dxfId="70" priority="82">
      <formula>$A657 = "Y"</formula>
    </cfRule>
  </conditionalFormatting>
  <conditionalFormatting sqref="G9">
    <cfRule type="expression" dxfId="69" priority="80">
      <formula>AND(NOT(ISBLANK(F9)),VALUE(G9)&lt;=VALUE(F9))</formula>
    </cfRule>
    <cfRule type="expression" dxfId="68" priority="81">
      <formula>AND(ISBLANK(F9),NOT(ISBLANK(G9)))</formula>
    </cfRule>
  </conditionalFormatting>
  <conditionalFormatting sqref="I9">
    <cfRule type="expression" dxfId="67" priority="72">
      <formula>AND(NOT(ISBLANK(H9)),VALUE(I9)&lt;=VALUE(H9))</formula>
    </cfRule>
    <cfRule type="expression" dxfId="66" priority="73">
      <formula>AND(ISBLANK(H9),NOT(ISBLANK(I9)))</formula>
    </cfRule>
  </conditionalFormatting>
  <conditionalFormatting sqref="G9">
    <cfRule type="expression" dxfId="65" priority="78">
      <formula>AND(NOT(ISBLANK(F9)),VALUE(G9)&lt;=VALUE(F9))</formula>
    </cfRule>
    <cfRule type="expression" dxfId="64" priority="79">
      <formula>AND(ISBLANK(F9),NOT(ISBLANK(G9)))</formula>
    </cfRule>
  </conditionalFormatting>
  <conditionalFormatting sqref="G9">
    <cfRule type="expression" dxfId="63" priority="76">
      <formula>AND(NOT(ISBLANK(F9)),VALUE(G9)&lt;=VALUE(F9))</formula>
    </cfRule>
    <cfRule type="expression" dxfId="62" priority="77">
      <formula>AND(ISBLANK(F9),NOT(ISBLANK(G9)))</formula>
    </cfRule>
  </conditionalFormatting>
  <conditionalFormatting sqref="G9">
    <cfRule type="expression" dxfId="61" priority="74">
      <formula>AND(NOT(ISBLANK(F9)),VALUE(G9)&lt;=VALUE(F9))</formula>
    </cfRule>
    <cfRule type="expression" dxfId="60" priority="75">
      <formula>AND(ISBLANK(F9),NOT(ISBLANK(G9)))</formula>
    </cfRule>
  </conditionalFormatting>
  <conditionalFormatting sqref="K9">
    <cfRule type="expression" dxfId="59" priority="70">
      <formula>AND(NOT(ISBLANK(J9)),VALUE(K9)&lt;=VALUE(J9))</formula>
    </cfRule>
    <cfRule type="expression" dxfId="58" priority="71">
      <formula>AND(ISBLANK(J9),NOT(ISBLANK(K9)))</formula>
    </cfRule>
  </conditionalFormatting>
  <conditionalFormatting sqref="G9">
    <cfRule type="expression" dxfId="57" priority="68">
      <formula>AND(NOT(ISBLANK(F9)),VALUE(G9)&lt;=VALUE(F9))</formula>
    </cfRule>
    <cfRule type="expression" dxfId="56" priority="69">
      <formula>AND(ISBLANK(F9),NOT(ISBLANK(G9)))</formula>
    </cfRule>
  </conditionalFormatting>
  <conditionalFormatting sqref="I9">
    <cfRule type="expression" dxfId="55" priority="66">
      <formula>AND(NOT(ISBLANK(H9)),VALUE(I9)&lt;=VALUE(H9))</formula>
    </cfRule>
    <cfRule type="expression" dxfId="54" priority="67">
      <formula>AND(ISBLANK(H9),NOT(ISBLANK(I9)))</formula>
    </cfRule>
  </conditionalFormatting>
  <conditionalFormatting sqref="K9">
    <cfRule type="expression" dxfId="53" priority="64">
      <formula>AND(NOT(ISBLANK(J9)),VALUE(K9)&lt;=VALUE(J9))</formula>
    </cfRule>
    <cfRule type="expression" dxfId="52" priority="65">
      <formula>AND(ISBLANK(J9),NOT(ISBLANK(K9)))</formula>
    </cfRule>
  </conditionalFormatting>
  <conditionalFormatting sqref="M9">
    <cfRule type="expression" dxfId="51" priority="62">
      <formula>AND(NOT(ISBLANK(L9)),VALUE(M9)&lt;=VALUE(L9))</formula>
    </cfRule>
    <cfRule type="expression" dxfId="50" priority="63">
      <formula>AND(ISBLANK(L9),NOT(ISBLANK(M9)))</formula>
    </cfRule>
  </conditionalFormatting>
  <conditionalFormatting sqref="M9">
    <cfRule type="expression" dxfId="49" priority="60">
      <formula>AND(NOT(ISBLANK(L9)),VALUE(M9)&lt;=VALUE(L9))</formula>
    </cfRule>
    <cfRule type="expression" dxfId="48" priority="61">
      <formula>AND(ISBLANK(L9),NOT(ISBLANK(M9)))</formula>
    </cfRule>
  </conditionalFormatting>
  <conditionalFormatting sqref="O9:P9">
    <cfRule type="expression" dxfId="47" priority="58">
      <formula>AND(NOT(ISBLANK(N9)),VALUE(O9)&lt;=VALUE(N9))</formula>
    </cfRule>
    <cfRule type="expression" dxfId="46" priority="59">
      <formula>AND(ISBLANK(N9),NOT(ISBLANK(O9)))</formula>
    </cfRule>
  </conditionalFormatting>
  <conditionalFormatting sqref="O9:P9">
    <cfRule type="expression" dxfId="45" priority="56">
      <formula>AND(NOT(ISBLANK(N9)),VALUE(O9)&lt;=VALUE(N9))</formula>
    </cfRule>
    <cfRule type="expression" dxfId="44" priority="57">
      <formula>AND(ISBLANK(N9),NOT(ISBLANK(O9)))</formula>
    </cfRule>
  </conditionalFormatting>
  <conditionalFormatting sqref="O9:P9">
    <cfRule type="expression" dxfId="43" priority="54">
      <formula>AND(NOT(ISBLANK(N9)),VALUE(O9)&lt;=VALUE(N9))</formula>
    </cfRule>
    <cfRule type="expression" dxfId="42" priority="55">
      <formula>AND(ISBLANK(N9),NOT(ISBLANK(O9)))</formula>
    </cfRule>
  </conditionalFormatting>
  <conditionalFormatting sqref="O9:P9">
    <cfRule type="expression" dxfId="41" priority="52">
      <formula>AND(NOT(ISBLANK(N9)),VALUE(O9)&lt;=VALUE(N9))</formula>
    </cfRule>
    <cfRule type="expression" dxfId="40" priority="53">
      <formula>AND(ISBLANK(N9),NOT(ISBLANK(O9)))</formula>
    </cfRule>
  </conditionalFormatting>
  <conditionalFormatting sqref="I9">
    <cfRule type="expression" dxfId="39" priority="40">
      <formula>AND(NOT(ISBLANK(H9)),VALUE(I9)&lt;=VALUE(H9))</formula>
    </cfRule>
    <cfRule type="expression" dxfId="38" priority="41">
      <formula>AND(ISBLANK(H9),NOT(ISBLANK(I9)))</formula>
    </cfRule>
  </conditionalFormatting>
  <conditionalFormatting sqref="K9">
    <cfRule type="expression" dxfId="37" priority="38">
      <formula>AND(NOT(ISBLANK(J9)),VALUE(K9)&lt;=VALUE(J9))</formula>
    </cfRule>
    <cfRule type="expression" dxfId="36" priority="39">
      <formula>AND(ISBLANK(J9),NOT(ISBLANK(K9)))</formula>
    </cfRule>
  </conditionalFormatting>
  <conditionalFormatting sqref="M9">
    <cfRule type="expression" dxfId="35" priority="36">
      <formula>AND(NOT(ISBLANK(L9)),VALUE(M9)&lt;=VALUE(L9))</formula>
    </cfRule>
    <cfRule type="expression" dxfId="34" priority="37">
      <formula>AND(ISBLANK(L9),NOT(ISBLANK(M9)))</formula>
    </cfRule>
  </conditionalFormatting>
  <conditionalFormatting sqref="O9:P9">
    <cfRule type="expression" dxfId="33" priority="34">
      <formula>AND(NOT(ISBLANK(N9)),VALUE(O9)&lt;=VALUE(N9))</formula>
    </cfRule>
    <cfRule type="expression" dxfId="32" priority="35">
      <formula>AND(ISBLANK(N9),NOT(ISBLANK(O9)))</formula>
    </cfRule>
  </conditionalFormatting>
  <conditionalFormatting sqref="G9">
    <cfRule type="expression" dxfId="31" priority="42">
      <formula>AND(NOT(ISBLANK(F9)),VALUE(G9)&lt;=VALUE(F9))</formula>
    </cfRule>
    <cfRule type="expression" dxfId="30" priority="43">
      <formula>AND(ISBLANK(F9),NOT(ISBLANK(G9)))</formula>
    </cfRule>
  </conditionalFormatting>
  <conditionalFormatting sqref="R9:S9">
    <cfRule type="expression" dxfId="29" priority="32">
      <formula>AND(NOT(ISBLANK(Q9)),VALUE(R9)&lt;=VALUE(Q9))</formula>
    </cfRule>
    <cfRule type="expression" dxfId="28" priority="33">
      <formula>AND(ISBLANK(Q9),NOT(ISBLANK(R9)))</formula>
    </cfRule>
  </conditionalFormatting>
  <conditionalFormatting sqref="R9:S9">
    <cfRule type="expression" dxfId="27" priority="30">
      <formula>AND(NOT(ISBLANK(Q9)),VALUE(R9)&lt;=VALUE(Q9))</formula>
    </cfRule>
    <cfRule type="expression" dxfId="26" priority="31">
      <formula>AND(ISBLANK(Q9),NOT(ISBLANK(R9)))</formula>
    </cfRule>
  </conditionalFormatting>
  <conditionalFormatting sqref="R9:S9">
    <cfRule type="expression" dxfId="25" priority="28">
      <formula>AND(NOT(ISBLANK(Q9)),VALUE(R9)&lt;=VALUE(Q9))</formula>
    </cfRule>
    <cfRule type="expression" dxfId="24" priority="29">
      <formula>AND(ISBLANK(Q9),NOT(ISBLANK(R9)))</formula>
    </cfRule>
  </conditionalFormatting>
  <conditionalFormatting sqref="R9:S9">
    <cfRule type="expression" dxfId="23" priority="26">
      <formula>AND(NOT(ISBLANK(Q9)),VALUE(R9)&lt;=VALUE(Q9))</formula>
    </cfRule>
    <cfRule type="expression" dxfId="22" priority="27">
      <formula>AND(ISBLANK(Q9),NOT(ISBLANK(R9)))</formula>
    </cfRule>
  </conditionalFormatting>
  <conditionalFormatting sqref="R9:S9">
    <cfRule type="expression" dxfId="21" priority="24">
      <formula>AND(NOT(ISBLANK(Q9)),VALUE(R9)&lt;=VALUE(Q9))</formula>
    </cfRule>
    <cfRule type="expression" dxfId="20" priority="25">
      <formula>AND(ISBLANK(Q9),NOT(ISBLANK(R9)))</formula>
    </cfRule>
  </conditionalFormatting>
  <conditionalFormatting sqref="U9:V9">
    <cfRule type="expression" dxfId="19" priority="4">
      <formula>AND(NOT(ISBLANK(T9)),VALUE(U9)&lt;=VALUE(T9))</formula>
    </cfRule>
    <cfRule type="expression" dxfId="18" priority="5">
      <formula>AND(ISBLANK(T9),NOT(ISBLANK(U9)))</formula>
    </cfRule>
  </conditionalFormatting>
  <conditionalFormatting sqref="U9:V9">
    <cfRule type="expression" dxfId="17" priority="22">
      <formula>AND(NOT(ISBLANK(T9)),VALUE(U9)&lt;=VALUE(T9))</formula>
    </cfRule>
    <cfRule type="expression" dxfId="16" priority="23">
      <formula>AND(ISBLANK(T9),NOT(ISBLANK(U9)))</formula>
    </cfRule>
  </conditionalFormatting>
  <conditionalFormatting sqref="U9:V9">
    <cfRule type="expression" dxfId="15" priority="20">
      <formula>AND(NOT(ISBLANK(T9)),VALUE(U9)&lt;=VALUE(T9))</formula>
    </cfRule>
    <cfRule type="expression" dxfId="14" priority="21">
      <formula>AND(ISBLANK(T9),NOT(ISBLANK(U9)))</formula>
    </cfRule>
  </conditionalFormatting>
  <conditionalFormatting sqref="U9:V9">
    <cfRule type="expression" dxfId="13" priority="18">
      <formula>AND(NOT(ISBLANK(T9)),VALUE(U9)&lt;=VALUE(T9))</formula>
    </cfRule>
    <cfRule type="expression" dxfId="12" priority="19">
      <formula>AND(ISBLANK(T9),NOT(ISBLANK(U9)))</formula>
    </cfRule>
  </conditionalFormatting>
  <conditionalFormatting sqref="U9:V9">
    <cfRule type="expression" dxfId="11" priority="16">
      <formula>AND(NOT(ISBLANK(T9)),VALUE(U9)&lt;=VALUE(T9))</formula>
    </cfRule>
    <cfRule type="expression" dxfId="10" priority="17">
      <formula>AND(ISBLANK(T9),NOT(ISBLANK(U9)))</formula>
    </cfRule>
  </conditionalFormatting>
  <conditionalFormatting sqref="U9:V9">
    <cfRule type="expression" dxfId="9" priority="14">
      <formula>AND(NOT(ISBLANK(T9)),VALUE(U9)&lt;=VALUE(T9))</formula>
    </cfRule>
    <cfRule type="expression" dxfId="8" priority="15">
      <formula>AND(ISBLANK(T9),NOT(ISBLANK(U9)))</formula>
    </cfRule>
  </conditionalFormatting>
  <conditionalFormatting sqref="U9:V9">
    <cfRule type="expression" dxfId="7" priority="12">
      <formula>AND(NOT(ISBLANK(T9)),VALUE(U9)&lt;=VALUE(T9))</formula>
    </cfRule>
    <cfRule type="expression" dxfId="6" priority="13">
      <formula>AND(ISBLANK(T9),NOT(ISBLANK(U9)))</formula>
    </cfRule>
  </conditionalFormatting>
  <conditionalFormatting sqref="U9:V9">
    <cfRule type="expression" dxfId="5" priority="10">
      <formula>AND(NOT(ISBLANK(T9)),VALUE(U9)&lt;=VALUE(T9))</formula>
    </cfRule>
    <cfRule type="expression" dxfId="4" priority="11">
      <formula>AND(ISBLANK(T9),NOT(ISBLANK(U9)))</formula>
    </cfRule>
  </conditionalFormatting>
  <conditionalFormatting sqref="U9:V9">
    <cfRule type="expression" dxfId="3" priority="8">
      <formula>AND(NOT(ISBLANK(T9)),VALUE(U9)&lt;=VALUE(T9))</formula>
    </cfRule>
    <cfRule type="expression" dxfId="2" priority="9">
      <formula>AND(ISBLANK(T9),NOT(ISBLANK(U9)))</formula>
    </cfRule>
  </conditionalFormatting>
  <conditionalFormatting sqref="U9:V9">
    <cfRule type="expression" dxfId="1" priority="6">
      <formula>AND(NOT(ISBLANK(T9)),VALUE(U9)&lt;=VALUE(T9))</formula>
    </cfRule>
    <cfRule type="expression" dxfId="0" priority="7">
      <formula>AND(ISBLANK(T9),NOT(ISBLANK(U9)))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53"/>
  <sheetViews>
    <sheetView topLeftCell="J4" workbookViewId="0">
      <selection activeCell="W3" sqref="W3:W40"/>
    </sheetView>
  </sheetViews>
  <sheetFormatPr defaultRowHeight="15"/>
  <cols>
    <col min="1" max="1" width="27.7109375" customWidth="1"/>
    <col min="2" max="2" width="9.140625" style="49"/>
    <col min="3" max="3" width="9.140625" style="3"/>
    <col min="4" max="4" width="27.7109375" customWidth="1"/>
    <col min="5" max="5" width="9.140625" style="2"/>
    <col min="6" max="6" width="9.140625" style="3"/>
    <col min="7" max="7" width="27.7109375" customWidth="1"/>
    <col min="8" max="8" width="9.140625" style="2" customWidth="1"/>
    <col min="9" max="9" width="9.140625" style="3"/>
    <col min="10" max="10" width="27.7109375" customWidth="1"/>
    <col min="11" max="11" width="9.140625" style="2"/>
    <col min="12" max="12" width="9.140625" style="3"/>
    <col min="13" max="13" width="27.7109375" customWidth="1"/>
    <col min="14" max="14" width="9.140625" style="2" customWidth="1"/>
    <col min="15" max="15" width="9.140625" style="3"/>
    <col min="16" max="16" width="27.7109375" customWidth="1"/>
    <col min="17" max="17" width="9.140625" style="2" customWidth="1"/>
    <col min="18" max="18" width="9.140625" style="3"/>
    <col min="19" max="19" width="27.7109375" customWidth="1"/>
    <col min="20" max="20" width="9.140625" style="2"/>
    <col min="21" max="21" width="9.140625" style="3"/>
    <col min="22" max="22" width="27.7109375" customWidth="1"/>
    <col min="24" max="24" width="9.140625" customWidth="1"/>
    <col min="25" max="25" width="27.7109375" customWidth="1"/>
    <col min="27" max="27" width="9.140625" customWidth="1"/>
    <col min="28" max="28" width="27.7109375" customWidth="1"/>
    <col min="30" max="30" width="9.140625" customWidth="1"/>
  </cols>
  <sheetData>
    <row r="1" spans="1:30" s="14" customFormat="1" ht="18.75">
      <c r="A1" s="14" t="s">
        <v>321</v>
      </c>
      <c r="B1" s="46"/>
      <c r="C1" s="17"/>
      <c r="E1" s="18"/>
      <c r="F1" s="17"/>
      <c r="H1" s="18"/>
      <c r="I1" s="17"/>
      <c r="K1" s="18"/>
      <c r="L1" s="17"/>
      <c r="N1" s="18"/>
      <c r="O1" s="17"/>
      <c r="Q1" s="18"/>
      <c r="R1" s="17"/>
      <c r="T1" s="18"/>
      <c r="U1" s="17"/>
    </row>
    <row r="2" spans="1:30" s="6" customFormat="1" ht="18.75">
      <c r="A2" s="42"/>
      <c r="B2" s="43" t="s">
        <v>0</v>
      </c>
      <c r="C2" s="39" t="s">
        <v>1</v>
      </c>
      <c r="D2" s="42"/>
      <c r="E2" s="43" t="s">
        <v>0</v>
      </c>
      <c r="F2" s="39" t="s">
        <v>1</v>
      </c>
      <c r="G2" s="42"/>
      <c r="H2" s="43" t="s">
        <v>0</v>
      </c>
      <c r="I2" s="39" t="s">
        <v>1</v>
      </c>
      <c r="J2" s="42"/>
      <c r="K2" s="43" t="s">
        <v>0</v>
      </c>
      <c r="L2" s="39" t="s">
        <v>1</v>
      </c>
      <c r="M2" s="42"/>
      <c r="N2" s="43" t="s">
        <v>0</v>
      </c>
      <c r="O2" s="39" t="s">
        <v>1</v>
      </c>
      <c r="P2" s="42"/>
      <c r="Q2" s="43" t="s">
        <v>0</v>
      </c>
      <c r="R2" s="39" t="s">
        <v>1</v>
      </c>
      <c r="S2" s="42"/>
      <c r="T2" s="43" t="s">
        <v>0</v>
      </c>
      <c r="U2" s="39" t="s">
        <v>1</v>
      </c>
      <c r="V2" s="44"/>
      <c r="W2" s="39" t="s">
        <v>0</v>
      </c>
      <c r="X2" s="39" t="s">
        <v>1</v>
      </c>
      <c r="Y2" s="44"/>
      <c r="Z2" s="39" t="s">
        <v>0</v>
      </c>
      <c r="AA2" s="39" t="s">
        <v>1</v>
      </c>
      <c r="AB2" s="44"/>
      <c r="AC2" s="39" t="s">
        <v>0</v>
      </c>
      <c r="AD2" s="39" t="s">
        <v>1</v>
      </c>
    </row>
    <row r="3" spans="1:30" s="5" customFormat="1" ht="18.75">
      <c r="A3" s="38"/>
      <c r="B3" s="70"/>
      <c r="C3" s="39"/>
      <c r="D3" s="38"/>
      <c r="E3" s="70"/>
      <c r="F3" s="40"/>
      <c r="G3" s="38"/>
      <c r="H3" s="70"/>
      <c r="I3" s="40"/>
      <c r="J3" s="38"/>
      <c r="K3" s="70"/>
      <c r="L3" s="40"/>
      <c r="M3" s="38"/>
      <c r="N3" s="70"/>
      <c r="O3" s="40"/>
      <c r="P3" s="38"/>
      <c r="Q3" s="70"/>
      <c r="R3" s="41"/>
      <c r="S3" s="38"/>
      <c r="T3" s="70"/>
      <c r="U3" s="40"/>
      <c r="V3" s="38"/>
      <c r="W3" s="70"/>
      <c r="X3" s="40"/>
      <c r="Y3" s="38"/>
      <c r="Z3" s="67"/>
      <c r="AA3" s="40"/>
      <c r="AB3" s="38"/>
      <c r="AC3" s="67"/>
      <c r="AD3" s="40"/>
    </row>
    <row r="4" spans="1:30" s="5" customFormat="1" ht="18.75">
      <c r="A4" s="30"/>
      <c r="B4" s="70"/>
      <c r="C4" s="10"/>
      <c r="D4" s="30"/>
      <c r="E4" s="70"/>
      <c r="F4" s="27"/>
      <c r="G4" s="30"/>
      <c r="H4" s="70"/>
      <c r="I4" s="12"/>
      <c r="J4" s="30"/>
      <c r="K4" s="70"/>
      <c r="L4" s="12"/>
      <c r="M4" s="30"/>
      <c r="N4" s="70"/>
      <c r="O4" s="15"/>
      <c r="P4" s="30"/>
      <c r="Q4" s="70"/>
      <c r="R4" s="20"/>
      <c r="S4" s="30"/>
      <c r="T4" s="70"/>
      <c r="U4" s="12"/>
      <c r="V4" s="30"/>
      <c r="W4" s="70"/>
      <c r="X4" s="12"/>
      <c r="Y4" s="30"/>
      <c r="Z4" s="68"/>
      <c r="AA4" s="12"/>
      <c r="AB4" s="30"/>
      <c r="AC4" s="68"/>
      <c r="AD4" s="12"/>
    </row>
    <row r="5" spans="1:30" s="5" customFormat="1" ht="18.75">
      <c r="A5" s="30"/>
      <c r="B5" s="70"/>
      <c r="C5" s="10"/>
      <c r="D5" s="30"/>
      <c r="E5" s="70"/>
      <c r="F5" s="12"/>
      <c r="G5" s="30"/>
      <c r="H5" s="70"/>
      <c r="I5" s="12"/>
      <c r="J5" s="30"/>
      <c r="K5" s="70"/>
      <c r="L5" s="12"/>
      <c r="M5" s="30"/>
      <c r="N5" s="70"/>
      <c r="O5" s="12"/>
      <c r="P5" s="30"/>
      <c r="Q5" s="70"/>
      <c r="R5" s="20"/>
      <c r="S5" s="30"/>
      <c r="T5" s="70"/>
      <c r="U5" s="12"/>
      <c r="V5" s="30"/>
      <c r="W5" s="70"/>
      <c r="X5" s="12"/>
      <c r="Y5" s="30"/>
      <c r="Z5" s="68"/>
      <c r="AA5" s="12"/>
      <c r="AB5" s="30"/>
      <c r="AC5" s="68"/>
      <c r="AD5" s="12"/>
    </row>
    <row r="6" spans="1:30" s="5" customFormat="1" ht="18.75">
      <c r="A6" s="30"/>
      <c r="B6" s="70"/>
      <c r="C6" s="10"/>
      <c r="D6" s="30"/>
      <c r="E6" s="70"/>
      <c r="F6" s="12"/>
      <c r="G6" s="30"/>
      <c r="H6" s="70"/>
      <c r="I6" s="12"/>
      <c r="J6" s="30"/>
      <c r="K6" s="70"/>
      <c r="L6" s="12"/>
      <c r="M6" s="30"/>
      <c r="N6" s="70"/>
      <c r="O6" s="12"/>
      <c r="P6" s="30"/>
      <c r="Q6" s="70"/>
      <c r="R6" s="12"/>
      <c r="S6" s="30"/>
      <c r="T6" s="70"/>
      <c r="U6" s="12"/>
      <c r="V6" s="30"/>
      <c r="W6" s="70"/>
      <c r="X6" s="12"/>
      <c r="Y6" s="30"/>
      <c r="Z6" s="68"/>
      <c r="AA6" s="12"/>
      <c r="AB6" s="30"/>
      <c r="AC6" s="68"/>
      <c r="AD6" s="12"/>
    </row>
    <row r="7" spans="1:30" s="5" customFormat="1" ht="18.75">
      <c r="A7" s="30"/>
      <c r="B7" s="70"/>
      <c r="C7" s="10"/>
      <c r="D7" s="30"/>
      <c r="E7" s="70"/>
      <c r="F7" s="12"/>
      <c r="G7" s="30"/>
      <c r="H7" s="70"/>
      <c r="I7" s="12"/>
      <c r="J7" s="30"/>
      <c r="K7" s="70"/>
      <c r="L7" s="20"/>
      <c r="M7" s="30"/>
      <c r="N7" s="70"/>
      <c r="O7" s="12"/>
      <c r="P7" s="30"/>
      <c r="Q7" s="70"/>
      <c r="R7" s="15"/>
      <c r="S7" s="30"/>
      <c r="T7" s="70"/>
      <c r="U7" s="20"/>
      <c r="V7" s="30"/>
      <c r="W7" s="70"/>
      <c r="X7" s="12"/>
      <c r="Y7" s="30"/>
      <c r="Z7" s="68"/>
      <c r="AA7" s="12"/>
      <c r="AB7" s="30"/>
      <c r="AC7" s="68"/>
      <c r="AD7" s="12"/>
    </row>
    <row r="8" spans="1:30" s="5" customFormat="1" ht="18.75">
      <c r="A8" s="30"/>
      <c r="B8" s="70"/>
      <c r="C8" s="10"/>
      <c r="D8" s="30"/>
      <c r="E8" s="70"/>
      <c r="F8" s="12"/>
      <c r="G8" s="30"/>
      <c r="H8" s="70"/>
      <c r="I8" s="12"/>
      <c r="J8" s="30"/>
      <c r="K8" s="70"/>
      <c r="L8" s="12"/>
      <c r="M8" s="30"/>
      <c r="N8" s="70"/>
      <c r="O8" s="12"/>
      <c r="P8" s="30"/>
      <c r="Q8" s="70"/>
      <c r="R8" s="15"/>
      <c r="S8" s="30"/>
      <c r="T8" s="70"/>
      <c r="U8" s="12"/>
      <c r="V8" s="30"/>
      <c r="W8" s="70"/>
      <c r="X8" s="12"/>
      <c r="Y8" s="30"/>
      <c r="Z8" s="68"/>
      <c r="AA8" s="12"/>
      <c r="AB8" s="30"/>
      <c r="AC8" s="68"/>
      <c r="AD8" s="12"/>
    </row>
    <row r="9" spans="1:30" s="5" customFormat="1" ht="18.75">
      <c r="A9" s="30"/>
      <c r="B9" s="70"/>
      <c r="C9" s="10"/>
      <c r="D9" s="30"/>
      <c r="E9" s="70"/>
      <c r="F9" s="12"/>
      <c r="G9" s="30"/>
      <c r="H9" s="70"/>
      <c r="I9" s="12"/>
      <c r="J9" s="30"/>
      <c r="K9" s="70"/>
      <c r="L9" s="12"/>
      <c r="M9" s="30"/>
      <c r="N9" s="70"/>
      <c r="O9" s="12"/>
      <c r="P9" s="30"/>
      <c r="Q9" s="70"/>
      <c r="R9" s="12"/>
      <c r="S9" s="30"/>
      <c r="T9" s="70"/>
      <c r="U9" s="12"/>
      <c r="V9" s="30"/>
      <c r="W9" s="70"/>
      <c r="X9" s="12"/>
      <c r="Y9" s="30"/>
      <c r="Z9" s="68"/>
      <c r="AA9" s="12"/>
      <c r="AB9" s="30"/>
      <c r="AC9" s="68"/>
      <c r="AD9" s="12"/>
    </row>
    <row r="10" spans="1:30" s="5" customFormat="1" ht="18.75">
      <c r="A10" s="30"/>
      <c r="B10" s="70"/>
      <c r="C10" s="10"/>
      <c r="D10" s="30"/>
      <c r="E10" s="70"/>
      <c r="F10" s="12"/>
      <c r="G10" s="30"/>
      <c r="H10" s="70"/>
      <c r="I10" s="12"/>
      <c r="J10" s="30"/>
      <c r="K10" s="70"/>
      <c r="L10" s="12"/>
      <c r="M10" s="30"/>
      <c r="N10" s="70"/>
      <c r="O10" s="12"/>
      <c r="P10" s="30"/>
      <c r="Q10" s="70"/>
      <c r="R10" s="15"/>
      <c r="S10" s="30"/>
      <c r="T10" s="70"/>
      <c r="U10" s="12"/>
      <c r="V10" s="30"/>
      <c r="W10" s="70"/>
      <c r="X10" s="20"/>
      <c r="Y10" s="30"/>
      <c r="Z10" s="68"/>
      <c r="AA10" s="20"/>
      <c r="AB10" s="30"/>
      <c r="AC10" s="68"/>
      <c r="AD10" s="20"/>
    </row>
    <row r="11" spans="1:30" s="5" customFormat="1" ht="18.75">
      <c r="A11" s="30"/>
      <c r="B11" s="70"/>
      <c r="C11" s="10"/>
      <c r="D11" s="30"/>
      <c r="E11" s="70"/>
      <c r="F11" s="20"/>
      <c r="G11" s="30"/>
      <c r="H11" s="70"/>
      <c r="I11" s="20"/>
      <c r="J11" s="30"/>
      <c r="K11" s="70"/>
      <c r="L11" s="12"/>
      <c r="M11" s="30"/>
      <c r="N11" s="70"/>
      <c r="O11" s="12"/>
      <c r="P11" s="30"/>
      <c r="Q11" s="70"/>
      <c r="R11" s="12"/>
      <c r="S11" s="30"/>
      <c r="T11" s="70"/>
      <c r="U11" s="12"/>
      <c r="V11" s="30"/>
      <c r="W11" s="70"/>
      <c r="X11" s="20"/>
      <c r="Y11" s="30"/>
      <c r="Z11" s="68"/>
      <c r="AA11" s="20"/>
      <c r="AB11" s="30"/>
      <c r="AC11" s="68"/>
      <c r="AD11" s="20"/>
    </row>
    <row r="12" spans="1:30" s="5" customFormat="1" ht="18.75">
      <c r="A12" s="30"/>
      <c r="B12" s="70"/>
      <c r="C12" s="10"/>
      <c r="D12" s="30"/>
      <c r="E12" s="70"/>
      <c r="F12" s="12"/>
      <c r="G12" s="30"/>
      <c r="H12" s="70"/>
      <c r="I12" s="12"/>
      <c r="J12" s="30"/>
      <c r="K12" s="70"/>
      <c r="L12" s="20"/>
      <c r="M12" s="30"/>
      <c r="N12" s="70"/>
      <c r="O12" s="12"/>
      <c r="P12" s="30"/>
      <c r="Q12" s="70"/>
      <c r="R12" s="12"/>
      <c r="S12" s="30"/>
      <c r="T12" s="70"/>
      <c r="U12" s="12"/>
      <c r="V12" s="30"/>
      <c r="W12" s="70"/>
      <c r="X12" s="20"/>
      <c r="Y12" s="30"/>
      <c r="Z12" s="68"/>
      <c r="AA12" s="20"/>
      <c r="AB12" s="30"/>
      <c r="AC12" s="68"/>
      <c r="AD12" s="20"/>
    </row>
    <row r="13" spans="1:30" s="5" customFormat="1" ht="18.75">
      <c r="A13" s="30"/>
      <c r="B13" s="70"/>
      <c r="C13" s="10"/>
      <c r="D13" s="30"/>
      <c r="E13" s="70"/>
      <c r="F13" s="20"/>
      <c r="G13" s="30"/>
      <c r="H13" s="70"/>
      <c r="I13" s="12"/>
      <c r="J13" s="30"/>
      <c r="K13" s="70"/>
      <c r="L13" s="12"/>
      <c r="M13" s="30"/>
      <c r="N13" s="70"/>
      <c r="O13" s="12"/>
      <c r="P13" s="30"/>
      <c r="Q13" s="70"/>
      <c r="R13" s="12"/>
      <c r="S13" s="30"/>
      <c r="T13" s="70"/>
      <c r="U13" s="12"/>
      <c r="V13" s="30"/>
      <c r="W13" s="70"/>
      <c r="X13" s="20"/>
      <c r="Y13" s="30"/>
      <c r="Z13" s="68"/>
      <c r="AA13" s="20"/>
      <c r="AB13" s="30"/>
      <c r="AC13" s="68"/>
      <c r="AD13" s="20"/>
    </row>
    <row r="14" spans="1:30" s="5" customFormat="1" ht="18.75">
      <c r="A14" s="30"/>
      <c r="B14" s="70"/>
      <c r="C14" s="10"/>
      <c r="D14" s="30"/>
      <c r="E14" s="70"/>
      <c r="F14" s="12"/>
      <c r="G14" s="30"/>
      <c r="H14" s="70"/>
      <c r="I14" s="12"/>
      <c r="J14" s="30"/>
      <c r="K14" s="70"/>
      <c r="L14" s="12"/>
      <c r="M14" s="30"/>
      <c r="N14" s="70"/>
      <c r="O14" s="12"/>
      <c r="P14" s="30"/>
      <c r="Q14" s="70"/>
      <c r="R14" s="12"/>
      <c r="S14" s="30"/>
      <c r="T14" s="70"/>
      <c r="U14" s="12"/>
      <c r="V14" s="30"/>
      <c r="W14" s="70"/>
      <c r="X14" s="20"/>
      <c r="Y14" s="30"/>
      <c r="Z14" s="68"/>
      <c r="AA14" s="20"/>
      <c r="AB14" s="30"/>
      <c r="AC14" s="68"/>
      <c r="AD14" s="20"/>
    </row>
    <row r="15" spans="1:30" s="5" customFormat="1" ht="18.75">
      <c r="A15" s="30"/>
      <c r="B15" s="70"/>
      <c r="C15" s="10"/>
      <c r="D15" s="30"/>
      <c r="E15" s="70"/>
      <c r="F15" s="15"/>
      <c r="G15" s="30"/>
      <c r="H15" s="70"/>
      <c r="I15" s="12"/>
      <c r="J15" s="30"/>
      <c r="K15" s="70"/>
      <c r="L15" s="12"/>
      <c r="M15" s="30"/>
      <c r="N15" s="70"/>
      <c r="O15" s="12"/>
      <c r="P15" s="30"/>
      <c r="Q15" s="70"/>
      <c r="R15" s="12"/>
      <c r="S15" s="30"/>
      <c r="T15" s="70"/>
      <c r="U15" s="12"/>
      <c r="V15" s="30"/>
      <c r="W15" s="70"/>
      <c r="X15" s="20"/>
      <c r="Y15" s="30"/>
      <c r="Z15" s="68"/>
      <c r="AA15" s="20"/>
      <c r="AB15" s="30"/>
      <c r="AC15" s="68"/>
      <c r="AD15" s="20"/>
    </row>
    <row r="16" spans="1:30" s="5" customFormat="1" ht="18.75">
      <c r="A16" s="30"/>
      <c r="B16" s="70"/>
      <c r="C16" s="10"/>
      <c r="D16" s="30"/>
      <c r="E16" s="70"/>
      <c r="F16" s="12"/>
      <c r="G16" s="30"/>
      <c r="H16" s="70"/>
      <c r="I16" s="12"/>
      <c r="J16" s="30"/>
      <c r="K16" s="70"/>
      <c r="L16" s="12"/>
      <c r="M16" s="30"/>
      <c r="N16" s="70"/>
      <c r="O16" s="12"/>
      <c r="P16" s="30"/>
      <c r="Q16" s="70"/>
      <c r="R16" s="12"/>
      <c r="S16" s="30"/>
      <c r="T16" s="70"/>
      <c r="U16" s="12"/>
      <c r="V16" s="30"/>
      <c r="W16" s="70"/>
      <c r="X16" s="20"/>
      <c r="Y16" s="30"/>
      <c r="Z16" s="68"/>
      <c r="AA16" s="20"/>
      <c r="AB16" s="30"/>
      <c r="AC16" s="68"/>
      <c r="AD16" s="20"/>
    </row>
    <row r="17" spans="1:30" s="5" customFormat="1" ht="18.75">
      <c r="A17" s="30"/>
      <c r="B17" s="70"/>
      <c r="C17" s="10"/>
      <c r="D17" s="30"/>
      <c r="E17" s="70"/>
      <c r="F17" s="20"/>
      <c r="G17" s="30"/>
      <c r="H17" s="70"/>
      <c r="I17" s="12"/>
      <c r="J17" s="30"/>
      <c r="K17" s="70"/>
      <c r="L17" s="12"/>
      <c r="M17" s="30"/>
      <c r="N17" s="70"/>
      <c r="O17" s="12"/>
      <c r="P17" s="30"/>
      <c r="Q17" s="70"/>
      <c r="R17" s="12"/>
      <c r="S17" s="30"/>
      <c r="T17" s="70"/>
      <c r="U17" s="12"/>
      <c r="V17" s="30"/>
      <c r="W17" s="70"/>
      <c r="X17" s="20"/>
      <c r="Y17" s="30"/>
      <c r="Z17" s="68"/>
      <c r="AA17" s="20"/>
      <c r="AB17" s="30"/>
      <c r="AC17" s="68"/>
      <c r="AD17" s="20"/>
    </row>
    <row r="18" spans="1:30" s="5" customFormat="1" ht="18.75">
      <c r="A18" s="30"/>
      <c r="B18" s="70"/>
      <c r="C18" s="10"/>
      <c r="D18" s="30"/>
      <c r="E18" s="70"/>
      <c r="F18" s="12"/>
      <c r="G18" s="30"/>
      <c r="H18" s="70"/>
      <c r="I18" s="20"/>
      <c r="J18" s="30"/>
      <c r="K18" s="70"/>
      <c r="L18" s="12"/>
      <c r="M18" s="30"/>
      <c r="N18" s="70"/>
      <c r="O18" s="12"/>
      <c r="P18" s="30"/>
      <c r="Q18" s="70"/>
      <c r="R18" s="12"/>
      <c r="S18" s="30"/>
      <c r="T18" s="70"/>
      <c r="U18" s="20"/>
      <c r="V18" s="30"/>
      <c r="W18" s="70"/>
      <c r="X18" s="20"/>
      <c r="Y18" s="30"/>
      <c r="Z18" s="68"/>
      <c r="AA18" s="20"/>
      <c r="AB18" s="30"/>
      <c r="AC18" s="68"/>
      <c r="AD18" s="20"/>
    </row>
    <row r="19" spans="1:30" s="5" customFormat="1" ht="18.75">
      <c r="A19" s="30"/>
      <c r="B19" s="70"/>
      <c r="C19" s="10"/>
      <c r="D19" s="30"/>
      <c r="E19" s="70"/>
      <c r="F19" s="20"/>
      <c r="G19" s="30"/>
      <c r="H19" s="70"/>
      <c r="I19" s="12"/>
      <c r="J19" s="30"/>
      <c r="K19" s="70"/>
      <c r="L19" s="20"/>
      <c r="M19" s="30"/>
      <c r="N19" s="70"/>
      <c r="O19" s="12"/>
      <c r="P19" s="30"/>
      <c r="Q19" s="70"/>
      <c r="R19" s="15"/>
      <c r="S19" s="30"/>
      <c r="T19" s="70"/>
      <c r="U19" s="12"/>
      <c r="V19" s="30"/>
      <c r="W19" s="70"/>
      <c r="X19" s="20"/>
      <c r="Y19" s="30"/>
      <c r="Z19" s="68"/>
      <c r="AA19" s="20"/>
      <c r="AB19" s="30"/>
      <c r="AC19" s="68"/>
      <c r="AD19" s="20"/>
    </row>
    <row r="20" spans="1:30" s="5" customFormat="1" ht="18.75">
      <c r="A20" s="30"/>
      <c r="B20" s="70"/>
      <c r="C20" s="13"/>
      <c r="D20" s="30"/>
      <c r="E20" s="70"/>
      <c r="F20" s="12"/>
      <c r="G20" s="30"/>
      <c r="H20" s="70"/>
      <c r="I20" s="12"/>
      <c r="J20" s="30"/>
      <c r="K20" s="70"/>
      <c r="L20" s="20"/>
      <c r="M20" s="30"/>
      <c r="N20" s="70"/>
      <c r="O20" s="12"/>
      <c r="P20" s="30"/>
      <c r="Q20" s="70"/>
      <c r="R20" s="12"/>
      <c r="S20" s="30"/>
      <c r="T20" s="70"/>
      <c r="U20" s="12"/>
      <c r="V20" s="30"/>
      <c r="W20" s="70"/>
      <c r="X20" s="20"/>
      <c r="Y20" s="30"/>
      <c r="Z20" s="68"/>
      <c r="AA20" s="20"/>
      <c r="AB20" s="30"/>
      <c r="AC20" s="68"/>
      <c r="AD20" s="20"/>
    </row>
    <row r="21" spans="1:30" s="5" customFormat="1" ht="18.75">
      <c r="A21" s="30"/>
      <c r="B21" s="70"/>
      <c r="C21" s="10"/>
      <c r="D21" s="30"/>
      <c r="E21" s="70"/>
      <c r="F21" s="20"/>
      <c r="G21" s="30"/>
      <c r="H21" s="70"/>
      <c r="I21" s="12"/>
      <c r="J21" s="30"/>
      <c r="K21" s="70"/>
      <c r="L21" s="12"/>
      <c r="M21" s="30"/>
      <c r="N21" s="70"/>
      <c r="O21" s="20"/>
      <c r="P21" s="30"/>
      <c r="Q21" s="70"/>
      <c r="R21" s="12"/>
      <c r="S21" s="30"/>
      <c r="T21" s="70"/>
      <c r="U21" s="12"/>
      <c r="V21" s="30"/>
      <c r="W21" s="70"/>
      <c r="X21" s="20"/>
      <c r="Y21" s="30"/>
      <c r="Z21" s="68"/>
      <c r="AA21" s="20"/>
      <c r="AB21" s="30"/>
      <c r="AC21" s="68"/>
      <c r="AD21" s="20"/>
    </row>
    <row r="22" spans="1:30" s="5" customFormat="1" ht="18.75">
      <c r="A22" s="30"/>
      <c r="B22" s="70"/>
      <c r="C22" s="10"/>
      <c r="D22" s="30"/>
      <c r="E22" s="70"/>
      <c r="F22" s="12"/>
      <c r="G22" s="30"/>
      <c r="H22" s="70"/>
      <c r="I22" s="12"/>
      <c r="J22" s="30"/>
      <c r="K22" s="70"/>
      <c r="L22" s="12"/>
      <c r="M22" s="30"/>
      <c r="N22" s="70"/>
      <c r="O22" s="20"/>
      <c r="P22" s="30"/>
      <c r="Q22" s="70"/>
      <c r="R22" s="12"/>
      <c r="S22" s="30"/>
      <c r="T22" s="70"/>
      <c r="U22" s="12"/>
      <c r="V22" s="30"/>
      <c r="W22" s="70"/>
      <c r="X22" s="20"/>
      <c r="Y22" s="30"/>
      <c r="Z22" s="68"/>
      <c r="AA22" s="20"/>
      <c r="AB22" s="30"/>
      <c r="AC22" s="68"/>
      <c r="AD22" s="20"/>
    </row>
    <row r="23" spans="1:30" s="5" customFormat="1" ht="18.75">
      <c r="A23" s="30"/>
      <c r="B23" s="70"/>
      <c r="C23" s="10"/>
      <c r="D23" s="30"/>
      <c r="E23" s="70"/>
      <c r="F23" s="12"/>
      <c r="G23" s="30"/>
      <c r="H23" s="70"/>
      <c r="I23" s="12"/>
      <c r="J23" s="30"/>
      <c r="K23" s="70"/>
      <c r="L23" s="12"/>
      <c r="M23" s="30"/>
      <c r="N23" s="70"/>
      <c r="O23" s="12"/>
      <c r="P23" s="30"/>
      <c r="Q23" s="70"/>
      <c r="R23" s="12"/>
      <c r="S23" s="30"/>
      <c r="T23" s="70"/>
      <c r="U23" s="12"/>
      <c r="V23" s="30"/>
      <c r="W23" s="70"/>
      <c r="X23" s="20"/>
      <c r="Y23" s="30"/>
      <c r="Z23" s="68"/>
      <c r="AA23" s="20"/>
      <c r="AB23" s="30"/>
      <c r="AC23" s="68"/>
      <c r="AD23" s="20"/>
    </row>
    <row r="24" spans="1:30" s="5" customFormat="1" ht="18.75">
      <c r="A24" s="30"/>
      <c r="B24" s="70"/>
      <c r="C24" s="10"/>
      <c r="D24" s="30"/>
      <c r="E24" s="70"/>
      <c r="F24" s="12"/>
      <c r="G24" s="30"/>
      <c r="H24" s="70"/>
      <c r="I24" s="12"/>
      <c r="J24" s="30"/>
      <c r="K24" s="70"/>
      <c r="L24" s="15"/>
      <c r="M24" s="30"/>
      <c r="N24" s="70"/>
      <c r="O24" s="12"/>
      <c r="P24" s="30"/>
      <c r="Q24" s="70"/>
      <c r="R24" s="12"/>
      <c r="S24" s="30"/>
      <c r="T24" s="70"/>
      <c r="U24" s="12"/>
      <c r="V24" s="30"/>
      <c r="W24" s="70"/>
      <c r="X24" s="20"/>
      <c r="Y24" s="30"/>
      <c r="Z24" s="68"/>
      <c r="AA24" s="20"/>
      <c r="AB24" s="30"/>
      <c r="AC24" s="68"/>
      <c r="AD24" s="20"/>
    </row>
    <row r="25" spans="1:30" s="5" customFormat="1" ht="18.75">
      <c r="A25" s="30"/>
      <c r="B25" s="70"/>
      <c r="C25" s="10"/>
      <c r="D25" s="30"/>
      <c r="E25" s="70"/>
      <c r="F25" s="12"/>
      <c r="G25" s="30"/>
      <c r="H25" s="70"/>
      <c r="I25" s="12"/>
      <c r="J25" s="30"/>
      <c r="K25" s="70"/>
      <c r="L25" s="12"/>
      <c r="M25" s="30"/>
      <c r="N25" s="70"/>
      <c r="O25" s="12"/>
      <c r="P25" s="30"/>
      <c r="Q25" s="70"/>
      <c r="R25" s="12"/>
      <c r="S25" s="30"/>
      <c r="T25" s="70"/>
      <c r="U25" s="12"/>
      <c r="V25" s="30"/>
      <c r="W25" s="70"/>
      <c r="X25" s="20"/>
      <c r="Y25" s="30"/>
      <c r="Z25" s="68"/>
      <c r="AA25" s="20"/>
      <c r="AB25" s="30"/>
      <c r="AC25" s="68"/>
      <c r="AD25" s="20"/>
    </row>
    <row r="26" spans="1:30" s="5" customFormat="1" ht="18.75">
      <c r="A26" s="30"/>
      <c r="B26" s="70"/>
      <c r="C26" s="10"/>
      <c r="D26" s="30"/>
      <c r="E26" s="70"/>
      <c r="F26" s="12"/>
      <c r="G26" s="30"/>
      <c r="H26" s="70"/>
      <c r="I26" s="12"/>
      <c r="J26" s="30"/>
      <c r="K26" s="70"/>
      <c r="L26" s="15"/>
      <c r="M26" s="30"/>
      <c r="N26" s="70"/>
      <c r="O26" s="12"/>
      <c r="P26" s="30"/>
      <c r="Q26" s="70"/>
      <c r="R26" s="12"/>
      <c r="S26" s="30"/>
      <c r="T26" s="70"/>
      <c r="U26" s="12"/>
      <c r="V26" s="30"/>
      <c r="W26" s="70"/>
      <c r="X26" s="20"/>
      <c r="Y26" s="30"/>
      <c r="Z26" s="68"/>
      <c r="AA26" s="20"/>
      <c r="AB26" s="30"/>
      <c r="AC26" s="68"/>
      <c r="AD26" s="20"/>
    </row>
    <row r="27" spans="1:30" s="5" customFormat="1" ht="18.75">
      <c r="A27" s="30"/>
      <c r="B27" s="70"/>
      <c r="C27" s="10"/>
      <c r="D27" s="30"/>
      <c r="E27" s="70"/>
      <c r="F27" s="12"/>
      <c r="G27" s="30"/>
      <c r="H27" s="70"/>
      <c r="I27" s="12"/>
      <c r="J27" s="30"/>
      <c r="K27" s="70"/>
      <c r="L27" s="12"/>
      <c r="M27" s="30"/>
      <c r="N27" s="70"/>
      <c r="O27" s="12"/>
      <c r="P27" s="30"/>
      <c r="Q27" s="70"/>
      <c r="R27" s="12"/>
      <c r="S27" s="30"/>
      <c r="T27" s="70"/>
      <c r="U27" s="12"/>
      <c r="V27" s="30"/>
      <c r="W27" s="70"/>
      <c r="X27" s="20"/>
      <c r="Y27" s="30"/>
      <c r="Z27" s="68"/>
      <c r="AA27" s="20"/>
      <c r="AB27" s="30"/>
      <c r="AC27" s="68"/>
      <c r="AD27" s="20"/>
    </row>
    <row r="28" spans="1:30" s="5" customFormat="1" ht="18.75">
      <c r="A28" s="30"/>
      <c r="B28" s="70"/>
      <c r="C28" s="10"/>
      <c r="D28" s="30"/>
      <c r="E28" s="70"/>
      <c r="F28" s="12"/>
      <c r="G28" s="30"/>
      <c r="H28" s="70"/>
      <c r="I28" s="12"/>
      <c r="J28" s="30"/>
      <c r="K28" s="70"/>
      <c r="L28" s="12"/>
      <c r="M28" s="30"/>
      <c r="N28" s="70"/>
      <c r="O28" s="12"/>
      <c r="P28" s="30"/>
      <c r="Q28" s="70"/>
      <c r="R28" s="12"/>
      <c r="S28" s="30"/>
      <c r="T28" s="70"/>
      <c r="U28" s="12"/>
      <c r="V28" s="30"/>
      <c r="W28" s="70"/>
      <c r="X28" s="20"/>
      <c r="Y28" s="30"/>
      <c r="Z28" s="68"/>
      <c r="AA28" s="20"/>
      <c r="AB28" s="30"/>
      <c r="AC28" s="68"/>
      <c r="AD28" s="20"/>
    </row>
    <row r="29" spans="1:30" s="5" customFormat="1" ht="18.75">
      <c r="A29" s="30"/>
      <c r="B29" s="70"/>
      <c r="C29" s="12"/>
      <c r="D29" s="30"/>
      <c r="E29" s="70"/>
      <c r="F29" s="20"/>
      <c r="G29" s="30"/>
      <c r="H29" s="70"/>
      <c r="I29" s="12"/>
      <c r="J29" s="30"/>
      <c r="K29" s="70"/>
      <c r="L29" s="12"/>
      <c r="M29" s="30"/>
      <c r="N29" s="70"/>
      <c r="O29" s="20"/>
      <c r="P29" s="30"/>
      <c r="Q29" s="70"/>
      <c r="R29" s="12"/>
      <c r="S29" s="30"/>
      <c r="T29" s="70"/>
      <c r="U29" s="12"/>
      <c r="V29" s="30"/>
      <c r="W29" s="70"/>
      <c r="X29" s="20"/>
      <c r="Y29" s="30"/>
      <c r="Z29" s="68"/>
      <c r="AA29" s="20"/>
      <c r="AB29" s="30"/>
      <c r="AC29" s="68"/>
      <c r="AD29" s="20"/>
    </row>
    <row r="30" spans="1:30" s="5" customFormat="1" ht="18.75">
      <c r="A30" s="30"/>
      <c r="B30" s="70"/>
      <c r="C30" s="19"/>
      <c r="D30" s="30"/>
      <c r="E30" s="70"/>
      <c r="F30" s="20"/>
      <c r="G30" s="30"/>
      <c r="H30" s="70"/>
      <c r="I30" s="12"/>
      <c r="J30" s="30"/>
      <c r="K30" s="70"/>
      <c r="L30" s="12"/>
      <c r="M30" s="30"/>
      <c r="N30" s="70"/>
      <c r="O30" s="12"/>
      <c r="P30" s="30"/>
      <c r="Q30" s="70"/>
      <c r="R30" s="12"/>
      <c r="S30" s="30"/>
      <c r="T30" s="70"/>
      <c r="U30" s="12"/>
      <c r="V30" s="30"/>
      <c r="W30" s="70"/>
      <c r="X30" s="20"/>
      <c r="Y30" s="30"/>
      <c r="Z30" s="68"/>
      <c r="AA30" s="20"/>
      <c r="AB30" s="30"/>
      <c r="AC30" s="68"/>
      <c r="AD30" s="20"/>
    </row>
    <row r="31" spans="1:30" s="5" customFormat="1" ht="18.75">
      <c r="A31" s="30"/>
      <c r="B31" s="70"/>
      <c r="C31" s="10"/>
      <c r="D31" s="30"/>
      <c r="E31" s="70"/>
      <c r="F31" s="12"/>
      <c r="G31" s="30"/>
      <c r="H31" s="70"/>
      <c r="I31" s="12"/>
      <c r="J31" s="30"/>
      <c r="K31" s="70"/>
      <c r="L31" s="12"/>
      <c r="M31" s="30"/>
      <c r="N31" s="70"/>
      <c r="O31" s="12"/>
      <c r="P31" s="30"/>
      <c r="Q31" s="70"/>
      <c r="R31" s="12"/>
      <c r="S31" s="30"/>
      <c r="T31" s="70"/>
      <c r="U31" s="12"/>
      <c r="V31" s="30"/>
      <c r="W31" s="70"/>
      <c r="X31" s="20"/>
      <c r="Y31" s="30"/>
      <c r="Z31" s="68"/>
      <c r="AA31" s="20"/>
      <c r="AB31" s="30"/>
      <c r="AC31" s="68"/>
      <c r="AD31" s="20"/>
    </row>
    <row r="32" spans="1:30" s="5" customFormat="1" ht="18.75">
      <c r="A32" s="30"/>
      <c r="B32" s="70"/>
      <c r="C32" s="10"/>
      <c r="D32" s="30"/>
      <c r="E32" s="70"/>
      <c r="F32" s="12"/>
      <c r="G32" s="30"/>
      <c r="H32" s="70"/>
      <c r="I32" s="12"/>
      <c r="J32" s="30"/>
      <c r="K32" s="70"/>
      <c r="L32" s="12"/>
      <c r="M32" s="30"/>
      <c r="N32" s="70"/>
      <c r="O32" s="11"/>
      <c r="P32" s="30"/>
      <c r="Q32" s="70"/>
      <c r="R32" s="12"/>
      <c r="S32" s="30"/>
      <c r="T32" s="70"/>
      <c r="U32" s="12"/>
      <c r="V32" s="30"/>
      <c r="W32" s="70"/>
      <c r="X32" s="20"/>
      <c r="Y32" s="30"/>
      <c r="Z32" s="68"/>
      <c r="AA32" s="20"/>
      <c r="AB32" s="30"/>
      <c r="AC32" s="68"/>
      <c r="AD32" s="20"/>
    </row>
    <row r="33" spans="1:32" s="5" customFormat="1" ht="18.75">
      <c r="A33" s="30"/>
      <c r="B33" s="70"/>
      <c r="C33" s="12"/>
      <c r="D33" s="30"/>
      <c r="E33" s="70"/>
      <c r="F33" s="12"/>
      <c r="G33" s="30"/>
      <c r="H33" s="70"/>
      <c r="I33" s="12"/>
      <c r="J33" s="30"/>
      <c r="K33" s="70"/>
      <c r="L33" s="12"/>
      <c r="M33" s="30"/>
      <c r="N33" s="70"/>
      <c r="O33" s="12"/>
      <c r="P33" s="30"/>
      <c r="Q33" s="70"/>
      <c r="R33" s="12"/>
      <c r="S33" s="30"/>
      <c r="T33" s="70"/>
      <c r="U33" s="12"/>
      <c r="V33" s="30"/>
      <c r="W33" s="70"/>
      <c r="X33" s="20"/>
      <c r="Y33" s="30"/>
      <c r="Z33" s="68"/>
      <c r="AA33" s="20"/>
      <c r="AB33" s="30"/>
      <c r="AC33" s="68"/>
      <c r="AD33" s="20"/>
    </row>
    <row r="34" spans="1:32" s="5" customFormat="1" ht="18.75">
      <c r="A34" s="30"/>
      <c r="B34" s="70"/>
      <c r="D34" s="30"/>
      <c r="E34" s="70"/>
      <c r="F34" s="12"/>
      <c r="G34" s="30"/>
      <c r="H34" s="70"/>
      <c r="I34" s="20"/>
      <c r="J34" s="30"/>
      <c r="K34" s="70"/>
      <c r="L34" s="12"/>
      <c r="M34" s="30"/>
      <c r="N34" s="70"/>
      <c r="O34" s="12"/>
      <c r="P34" s="30"/>
      <c r="Q34" s="70"/>
      <c r="R34" s="12"/>
      <c r="S34" s="30"/>
      <c r="T34" s="70"/>
      <c r="U34" s="12"/>
      <c r="V34" s="30"/>
      <c r="W34" s="70"/>
      <c r="X34" s="20"/>
      <c r="Y34" s="30"/>
      <c r="Z34" s="68"/>
      <c r="AA34" s="20"/>
      <c r="AB34" s="30"/>
      <c r="AC34" s="68"/>
      <c r="AD34" s="20"/>
    </row>
    <row r="35" spans="1:32" s="5" customFormat="1" ht="18.75">
      <c r="A35" s="30"/>
      <c r="B35" s="70"/>
      <c r="C35" s="10"/>
      <c r="D35" s="30"/>
      <c r="E35" s="70"/>
      <c r="F35" s="12"/>
      <c r="G35" s="30"/>
      <c r="H35" s="70"/>
      <c r="I35" s="12"/>
      <c r="J35" s="30"/>
      <c r="K35" s="70"/>
      <c r="L35" s="12"/>
      <c r="M35" s="30"/>
      <c r="N35" s="70"/>
      <c r="O35" s="20"/>
      <c r="P35" s="30"/>
      <c r="Q35" s="70"/>
      <c r="R35" s="12"/>
      <c r="S35" s="30"/>
      <c r="T35" s="70"/>
      <c r="U35" s="12"/>
      <c r="V35" s="30"/>
      <c r="W35" s="70"/>
      <c r="X35" s="20"/>
      <c r="Y35" s="30"/>
      <c r="Z35" s="68"/>
      <c r="AA35" s="20"/>
      <c r="AB35" s="30"/>
      <c r="AC35" s="68"/>
      <c r="AD35" s="20"/>
    </row>
    <row r="36" spans="1:32" s="5" customFormat="1" ht="18.75">
      <c r="A36" s="30"/>
      <c r="B36" s="70"/>
      <c r="C36" s="10"/>
      <c r="D36" s="30"/>
      <c r="E36" s="70"/>
      <c r="F36" s="12"/>
      <c r="G36" s="30"/>
      <c r="H36" s="70"/>
      <c r="I36" s="12"/>
      <c r="J36" s="30"/>
      <c r="K36" s="70"/>
      <c r="L36" s="12"/>
      <c r="M36" s="30"/>
      <c r="N36" s="70"/>
      <c r="O36" s="12"/>
      <c r="P36" s="30"/>
      <c r="Q36" s="70"/>
      <c r="R36" s="12"/>
      <c r="S36" s="30"/>
      <c r="T36" s="70"/>
      <c r="U36" s="12"/>
      <c r="V36" s="30"/>
      <c r="W36" s="70"/>
      <c r="X36" s="20"/>
      <c r="Y36" s="30"/>
      <c r="Z36" s="68"/>
      <c r="AA36" s="20"/>
      <c r="AB36" s="30"/>
      <c r="AC36" s="68"/>
      <c r="AD36" s="20"/>
    </row>
    <row r="37" spans="1:32" s="5" customFormat="1" ht="18.75">
      <c r="A37" s="30"/>
      <c r="B37" s="70"/>
      <c r="C37" s="12"/>
      <c r="D37" s="30"/>
      <c r="E37" s="70"/>
      <c r="F37" s="12"/>
      <c r="G37" s="30"/>
      <c r="H37" s="70"/>
      <c r="I37" s="12"/>
      <c r="J37" s="30"/>
      <c r="K37" s="70"/>
      <c r="L37" s="12"/>
      <c r="M37" s="30"/>
      <c r="N37" s="70"/>
      <c r="O37" s="12"/>
      <c r="P37" s="30"/>
      <c r="Q37" s="70"/>
      <c r="R37" s="12"/>
      <c r="S37" s="30"/>
      <c r="T37" s="70"/>
      <c r="U37" s="12"/>
      <c r="V37" s="30"/>
      <c r="W37" s="70"/>
      <c r="X37" s="20"/>
      <c r="Y37" s="30"/>
      <c r="Z37" s="68"/>
      <c r="AA37" s="20"/>
      <c r="AB37" s="30"/>
      <c r="AC37" s="68"/>
      <c r="AD37" s="20"/>
    </row>
    <row r="38" spans="1:32" s="5" customFormat="1" ht="18.75">
      <c r="A38" s="30"/>
      <c r="B38" s="70"/>
      <c r="C38" s="29"/>
      <c r="D38" s="30"/>
      <c r="E38" s="70"/>
      <c r="F38" s="12"/>
      <c r="G38" s="30"/>
      <c r="H38" s="70"/>
      <c r="I38" s="12"/>
      <c r="J38" s="30"/>
      <c r="K38" s="70"/>
      <c r="L38" s="12"/>
      <c r="M38" s="30"/>
      <c r="N38" s="70"/>
      <c r="O38" s="12"/>
      <c r="P38" s="30"/>
      <c r="Q38" s="70"/>
      <c r="R38" s="12"/>
      <c r="S38" s="30"/>
      <c r="T38" s="70"/>
      <c r="U38" s="12"/>
      <c r="V38" s="30"/>
      <c r="W38" s="70"/>
      <c r="X38" s="20"/>
      <c r="Y38" s="30"/>
      <c r="Z38" s="68"/>
      <c r="AA38" s="20"/>
      <c r="AB38" s="30"/>
      <c r="AC38" s="68"/>
      <c r="AD38" s="20"/>
    </row>
    <row r="39" spans="1:32" s="5" customFormat="1" ht="18.75">
      <c r="A39" s="33"/>
      <c r="B39" s="70"/>
      <c r="C39" s="34"/>
      <c r="D39" s="33"/>
      <c r="E39" s="70"/>
      <c r="F39" s="35"/>
      <c r="G39" s="33"/>
      <c r="H39" s="70"/>
      <c r="I39" s="35"/>
      <c r="J39" s="33"/>
      <c r="K39" s="70"/>
      <c r="L39" s="35"/>
      <c r="M39" s="33"/>
      <c r="N39" s="70"/>
      <c r="O39" s="36"/>
      <c r="P39" s="33"/>
      <c r="Q39" s="70"/>
      <c r="R39" s="35"/>
      <c r="S39" s="33"/>
      <c r="T39" s="70"/>
      <c r="U39" s="35"/>
      <c r="V39" s="33"/>
      <c r="W39" s="70"/>
      <c r="X39" s="37"/>
      <c r="Y39" s="33"/>
      <c r="Z39" s="69"/>
      <c r="AA39" s="37"/>
      <c r="AB39" s="33"/>
      <c r="AC39" s="69"/>
      <c r="AD39" s="37"/>
    </row>
    <row r="40" spans="1:32" s="5" customFormat="1" ht="18.75">
      <c r="A40" s="30"/>
      <c r="B40" s="70"/>
      <c r="C40" s="16"/>
      <c r="D40" s="30"/>
      <c r="E40" s="70"/>
      <c r="F40" s="12"/>
      <c r="G40" s="30"/>
      <c r="H40" s="70"/>
      <c r="I40" s="12"/>
      <c r="J40" s="30"/>
      <c r="K40" s="70"/>
      <c r="L40" s="12"/>
      <c r="M40" s="30"/>
      <c r="N40" s="70"/>
      <c r="O40" s="11"/>
      <c r="P40" s="30"/>
      <c r="Q40" s="70"/>
      <c r="R40" s="12"/>
      <c r="S40" s="30"/>
      <c r="T40" s="70"/>
      <c r="U40" s="12"/>
      <c r="V40" s="30"/>
      <c r="W40" s="70"/>
      <c r="X40" s="20"/>
      <c r="Y40" s="30"/>
      <c r="Z40" s="68"/>
      <c r="AA40" s="20"/>
      <c r="AB40" s="30"/>
      <c r="AC40" s="68"/>
      <c r="AD40" s="20"/>
    </row>
    <row r="41" spans="1:32" s="1" customFormat="1" ht="17.25">
      <c r="B41" s="47"/>
    </row>
    <row r="43" spans="1:32">
      <c r="A43" s="6"/>
      <c r="B43" s="48"/>
      <c r="C43" s="8"/>
      <c r="D43" s="6"/>
      <c r="E43" s="7"/>
      <c r="F43" s="8"/>
      <c r="G43" s="6"/>
      <c r="H43" s="7"/>
      <c r="I43" s="8"/>
      <c r="J43" s="6"/>
      <c r="K43" s="7"/>
      <c r="L43" s="8"/>
      <c r="M43" s="6"/>
      <c r="N43" s="7"/>
      <c r="O43" s="8"/>
      <c r="P43" s="6"/>
      <c r="Q43" s="7"/>
      <c r="R43" s="8"/>
      <c r="S43" s="6"/>
      <c r="T43" s="7"/>
      <c r="U43" s="8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8.75">
      <c r="A44" s="21"/>
      <c r="B44" s="46"/>
      <c r="C44" s="19"/>
      <c r="D44" s="6"/>
      <c r="E44" s="7"/>
      <c r="F44" s="8"/>
      <c r="G44" s="21"/>
      <c r="H44" s="21"/>
      <c r="I44" s="19"/>
      <c r="J44" s="6"/>
      <c r="K44" s="7"/>
      <c r="L44" s="8"/>
      <c r="M44" s="6"/>
      <c r="N44" s="7"/>
      <c r="O44" s="8"/>
      <c r="P44" s="6"/>
      <c r="Q44" s="7"/>
      <c r="R44" s="8"/>
      <c r="S44" s="6"/>
      <c r="T44" s="7"/>
      <c r="U44" s="8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ht="18.75">
      <c r="A45" s="6"/>
      <c r="B45" s="48"/>
      <c r="C45" s="8"/>
      <c r="D45" s="21"/>
      <c r="E45" s="21"/>
      <c r="F45" s="19"/>
      <c r="G45" s="5"/>
      <c r="H45" s="5"/>
      <c r="I45" s="4"/>
      <c r="J45" s="6"/>
      <c r="K45" s="7"/>
      <c r="L45" s="8"/>
      <c r="M45" s="6"/>
      <c r="N45" s="7"/>
      <c r="O45" s="8"/>
      <c r="P45" s="6"/>
      <c r="Q45" s="7"/>
      <c r="R45" s="8"/>
      <c r="S45" s="6"/>
      <c r="T45" s="7"/>
      <c r="U45" s="8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ht="18.75">
      <c r="A46" s="6"/>
      <c r="B46" s="48"/>
      <c r="C46" s="8"/>
      <c r="D46" s="21"/>
      <c r="E46" s="21"/>
      <c r="F46" s="19"/>
      <c r="G46" s="5"/>
      <c r="H46" s="9"/>
      <c r="I46" s="4"/>
      <c r="J46" s="21"/>
      <c r="K46" s="22"/>
      <c r="L46" s="19"/>
      <c r="M46" s="6"/>
      <c r="N46" s="7"/>
      <c r="O46" s="8"/>
      <c r="P46" s="6"/>
      <c r="Q46" s="7"/>
      <c r="R46" s="8"/>
      <c r="S46" s="6"/>
      <c r="T46" s="7"/>
      <c r="U46" s="8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ht="18.75">
      <c r="A47" s="6"/>
      <c r="B47" s="48"/>
      <c r="C47" s="8"/>
      <c r="D47" s="5"/>
      <c r="E47" s="5"/>
      <c r="F47" s="4"/>
      <c r="G47" s="6"/>
      <c r="H47" s="7"/>
      <c r="I47" s="8"/>
      <c r="J47" s="6"/>
      <c r="K47" s="7"/>
      <c r="L47" s="8"/>
      <c r="M47" s="21"/>
      <c r="N47" s="21"/>
      <c r="O47" s="21"/>
      <c r="P47" s="6"/>
      <c r="Q47" s="7"/>
      <c r="R47" s="8"/>
      <c r="S47" s="6"/>
      <c r="T47" s="7"/>
      <c r="U47" s="8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ht="17.25">
      <c r="A48" s="6"/>
      <c r="B48" s="48"/>
      <c r="C48" s="8"/>
      <c r="D48" s="6"/>
      <c r="E48" s="7"/>
      <c r="F48" s="8"/>
      <c r="G48" s="6"/>
      <c r="H48" s="7"/>
      <c r="I48" s="8"/>
      <c r="J48" s="6"/>
      <c r="K48" s="7"/>
      <c r="L48" s="8"/>
      <c r="M48" s="5"/>
      <c r="N48" s="5"/>
      <c r="O48" s="5"/>
      <c r="P48" s="6"/>
      <c r="Q48" s="7"/>
      <c r="R48" s="8"/>
      <c r="S48" s="6"/>
      <c r="T48" s="7"/>
      <c r="U48" s="8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ht="18.75">
      <c r="A49" s="6"/>
      <c r="B49" s="48"/>
      <c r="C49" s="8"/>
      <c r="D49" s="6"/>
      <c r="E49" s="7"/>
      <c r="F49" s="8"/>
      <c r="G49" s="6"/>
      <c r="H49" s="7"/>
      <c r="I49" s="8"/>
      <c r="J49" s="6"/>
      <c r="K49" s="7"/>
      <c r="L49" s="8"/>
      <c r="M49" s="5"/>
      <c r="N49" s="9"/>
      <c r="O49" s="4"/>
      <c r="P49" s="21"/>
      <c r="Q49" s="21"/>
      <c r="R49" s="19"/>
      <c r="S49" s="6"/>
      <c r="T49" s="7"/>
      <c r="U49" s="8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ht="17.25">
      <c r="A50" s="6"/>
      <c r="B50" s="48"/>
      <c r="C50" s="8"/>
      <c r="D50" s="5"/>
      <c r="E50" s="9"/>
      <c r="F50" s="4"/>
      <c r="G50" s="6"/>
      <c r="H50" s="7"/>
      <c r="I50" s="8"/>
      <c r="J50" s="6"/>
      <c r="K50" s="7"/>
      <c r="L50" s="8"/>
      <c r="M50" s="6"/>
      <c r="N50" s="7"/>
      <c r="O50" s="8"/>
      <c r="P50" s="5"/>
      <c r="Q50" s="9"/>
      <c r="R50" s="4"/>
      <c r="S50" s="6"/>
      <c r="T50" s="7"/>
      <c r="U50" s="8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>
      <c r="M51" s="6"/>
      <c r="N51" s="7"/>
      <c r="O51" s="8"/>
      <c r="P51" s="6"/>
      <c r="Q51" s="7"/>
      <c r="R51" s="8"/>
      <c r="S51" s="6"/>
      <c r="T51" s="7"/>
      <c r="U51" s="8"/>
    </row>
    <row r="52" spans="1:32">
      <c r="P52" s="6"/>
      <c r="Q52" s="7"/>
      <c r="R52" s="8"/>
      <c r="S52" s="6"/>
      <c r="T52" s="7"/>
      <c r="U52" s="8"/>
    </row>
    <row r="53" spans="1:32">
      <c r="P53" s="6"/>
      <c r="Q53" s="7"/>
      <c r="R53" s="8"/>
    </row>
  </sheetData>
  <pageMargins left="0.25" right="0.25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H53"/>
  <sheetViews>
    <sheetView workbookViewId="0">
      <selection activeCell="C3" sqref="C3"/>
    </sheetView>
  </sheetViews>
  <sheetFormatPr defaultRowHeight="15"/>
  <cols>
    <col min="1" max="1" width="23.7109375" customWidth="1"/>
    <col min="2" max="3" width="8.5703125" style="49" customWidth="1"/>
    <col min="4" max="4" width="8.5703125" style="3" customWidth="1"/>
    <col min="5" max="5" width="23.7109375" customWidth="1"/>
    <col min="6" max="6" width="8.5703125" style="2" customWidth="1"/>
    <col min="7" max="7" width="8.5703125" style="49" customWidth="1"/>
    <col min="8" max="8" width="8.5703125" style="3" customWidth="1"/>
    <col min="9" max="9" width="27.7109375" customWidth="1"/>
    <col min="10" max="10" width="9.140625" style="2" customWidth="1"/>
    <col min="11" max="11" width="9.140625" style="3"/>
    <col min="12" max="12" width="27.7109375" customWidth="1"/>
    <col min="13" max="13" width="9.140625" style="2"/>
    <col min="14" max="14" width="9.140625" style="3"/>
    <col min="15" max="15" width="27.7109375" customWidth="1"/>
    <col min="16" max="16" width="9.140625" style="2" customWidth="1"/>
    <col min="17" max="17" width="9.140625" style="3"/>
    <col min="18" max="18" width="27.7109375" customWidth="1"/>
    <col min="19" max="19" width="9.140625" style="2" customWidth="1"/>
    <col min="20" max="20" width="9.140625" style="3"/>
    <col min="21" max="21" width="27.7109375" customWidth="1"/>
    <col min="22" max="22" width="9.140625" style="2"/>
    <col min="23" max="23" width="9.140625" style="3"/>
    <col min="24" max="24" width="27.7109375" customWidth="1"/>
    <col min="26" max="26" width="9.140625" customWidth="1"/>
    <col min="27" max="27" width="27.7109375" customWidth="1"/>
    <col min="29" max="29" width="9.140625" customWidth="1"/>
    <col min="30" max="30" width="27.7109375" customWidth="1"/>
    <col min="32" max="32" width="9.140625" customWidth="1"/>
  </cols>
  <sheetData>
    <row r="1" spans="1:32" s="14" customFormat="1" ht="18.75">
      <c r="A1" s="14" t="s">
        <v>321</v>
      </c>
      <c r="B1" s="46"/>
      <c r="C1" s="46"/>
      <c r="D1" s="17"/>
      <c r="F1" s="18"/>
      <c r="G1" s="46"/>
      <c r="H1" s="17"/>
      <c r="J1" s="18"/>
      <c r="K1" s="17"/>
      <c r="M1" s="18"/>
      <c r="N1" s="17"/>
      <c r="P1" s="18"/>
      <c r="Q1" s="17"/>
      <c r="S1" s="18"/>
      <c r="T1" s="17"/>
      <c r="V1" s="18"/>
      <c r="W1" s="17"/>
    </row>
    <row r="2" spans="1:32" s="6" customFormat="1" ht="18.75">
      <c r="A2" s="42"/>
      <c r="B2" s="43" t="s">
        <v>0</v>
      </c>
      <c r="C2" s="43" t="s">
        <v>713</v>
      </c>
      <c r="D2" s="39" t="s">
        <v>1</v>
      </c>
      <c r="E2" s="42"/>
      <c r="F2" s="43" t="s">
        <v>0</v>
      </c>
      <c r="G2" s="43" t="s">
        <v>713</v>
      </c>
      <c r="H2" s="39" t="s">
        <v>1</v>
      </c>
      <c r="I2" s="42"/>
      <c r="J2" s="43" t="s">
        <v>0</v>
      </c>
      <c r="K2" s="39" t="s">
        <v>1</v>
      </c>
      <c r="L2" s="42"/>
      <c r="M2" s="43" t="s">
        <v>0</v>
      </c>
      <c r="N2" s="39" t="s">
        <v>1</v>
      </c>
      <c r="O2" s="42"/>
      <c r="P2" s="43" t="s">
        <v>0</v>
      </c>
      <c r="Q2" s="39" t="s">
        <v>1</v>
      </c>
      <c r="R2" s="42"/>
      <c r="S2" s="43" t="s">
        <v>0</v>
      </c>
      <c r="T2" s="39" t="s">
        <v>1</v>
      </c>
      <c r="U2" s="42"/>
      <c r="V2" s="43" t="s">
        <v>0</v>
      </c>
      <c r="W2" s="39" t="s">
        <v>1</v>
      </c>
      <c r="X2" s="44"/>
      <c r="Y2" s="39" t="s">
        <v>0</v>
      </c>
      <c r="Z2" s="39" t="s">
        <v>1</v>
      </c>
      <c r="AA2" s="44"/>
      <c r="AB2" s="39" t="s">
        <v>0</v>
      </c>
      <c r="AC2" s="39" t="s">
        <v>1</v>
      </c>
      <c r="AD2" s="44"/>
      <c r="AE2" s="39" t="s">
        <v>0</v>
      </c>
      <c r="AF2" s="39" t="s">
        <v>1</v>
      </c>
    </row>
    <row r="3" spans="1:32" s="5" customFormat="1" ht="18.75">
      <c r="A3" s="38"/>
      <c r="B3" s="73"/>
      <c r="C3" s="76"/>
      <c r="D3" s="39"/>
      <c r="E3" s="38"/>
      <c r="F3" s="74"/>
      <c r="G3" s="68"/>
      <c r="H3" s="40"/>
      <c r="I3" s="38"/>
      <c r="J3" s="67"/>
      <c r="K3" s="40"/>
      <c r="L3" s="38"/>
      <c r="M3" s="67"/>
      <c r="N3" s="40"/>
      <c r="O3" s="38"/>
      <c r="P3" s="67"/>
      <c r="Q3" s="40"/>
      <c r="R3" s="38"/>
      <c r="S3" s="67"/>
      <c r="T3" s="41"/>
      <c r="U3" s="38"/>
      <c r="V3" s="67"/>
      <c r="W3" s="40"/>
      <c r="X3" s="38"/>
      <c r="Y3" s="67"/>
      <c r="Z3" s="40"/>
      <c r="AA3" s="38"/>
      <c r="AB3" s="67"/>
      <c r="AC3" s="40"/>
      <c r="AD3" s="38"/>
      <c r="AE3" s="67"/>
      <c r="AF3" s="40"/>
    </row>
    <row r="4" spans="1:32" s="5" customFormat="1" ht="18.75">
      <c r="A4" s="30"/>
      <c r="B4" s="71"/>
      <c r="C4" s="76"/>
      <c r="D4" s="10"/>
      <c r="E4" s="30"/>
      <c r="F4" s="74"/>
      <c r="G4" s="68"/>
      <c r="H4" s="27"/>
      <c r="I4" s="30"/>
      <c r="J4" s="68"/>
      <c r="K4" s="12"/>
      <c r="L4" s="30"/>
      <c r="M4" s="68"/>
      <c r="N4" s="12"/>
      <c r="O4" s="30"/>
      <c r="P4" s="68"/>
      <c r="Q4" s="15"/>
      <c r="R4" s="30"/>
      <c r="S4" s="68"/>
      <c r="T4" s="20"/>
      <c r="U4" s="30"/>
      <c r="V4" s="68"/>
      <c r="W4" s="12"/>
      <c r="X4" s="30"/>
      <c r="Y4" s="68"/>
      <c r="Z4" s="12"/>
      <c r="AA4" s="30"/>
      <c r="AB4" s="68"/>
      <c r="AC4" s="12"/>
      <c r="AD4" s="30"/>
      <c r="AE4" s="68"/>
      <c r="AF4" s="12"/>
    </row>
    <row r="5" spans="1:32" s="5" customFormat="1" ht="18.75">
      <c r="A5" s="30"/>
      <c r="B5" s="71"/>
      <c r="C5" s="76"/>
      <c r="D5" s="10"/>
      <c r="E5" s="30"/>
      <c r="F5" s="74"/>
      <c r="G5" s="68"/>
      <c r="H5" s="12"/>
      <c r="I5" s="30"/>
      <c r="J5" s="68"/>
      <c r="K5" s="12"/>
      <c r="L5" s="30"/>
      <c r="M5" s="68"/>
      <c r="N5" s="12"/>
      <c r="O5" s="30"/>
      <c r="P5" s="68"/>
      <c r="Q5" s="12"/>
      <c r="R5" s="30"/>
      <c r="S5" s="68"/>
      <c r="T5" s="20"/>
      <c r="U5" s="30"/>
      <c r="V5" s="68"/>
      <c r="W5" s="12"/>
      <c r="X5" s="30"/>
      <c r="Y5" s="68"/>
      <c r="Z5" s="12"/>
      <c r="AA5" s="30"/>
      <c r="AB5" s="68"/>
      <c r="AC5" s="12"/>
      <c r="AD5" s="30"/>
      <c r="AE5" s="68"/>
      <c r="AF5" s="12"/>
    </row>
    <row r="6" spans="1:32" s="5" customFormat="1" ht="18.75">
      <c r="A6" s="30"/>
      <c r="B6" s="71"/>
      <c r="C6" s="76"/>
      <c r="D6" s="10"/>
      <c r="E6" s="30"/>
      <c r="F6" s="74"/>
      <c r="G6" s="68"/>
      <c r="H6" s="12"/>
      <c r="I6" s="30"/>
      <c r="J6" s="68"/>
      <c r="K6" s="12"/>
      <c r="L6" s="30"/>
      <c r="M6" s="68"/>
      <c r="N6" s="12"/>
      <c r="O6" s="30"/>
      <c r="P6" s="68"/>
      <c r="Q6" s="12"/>
      <c r="R6" s="30"/>
      <c r="S6" s="68"/>
      <c r="T6" s="12"/>
      <c r="U6" s="30"/>
      <c r="V6" s="68"/>
      <c r="W6" s="12"/>
      <c r="X6" s="30"/>
      <c r="Y6" s="68"/>
      <c r="Z6" s="12"/>
      <c r="AA6" s="30"/>
      <c r="AB6" s="68"/>
      <c r="AC6" s="12"/>
      <c r="AD6" s="30"/>
      <c r="AE6" s="68"/>
      <c r="AF6" s="12"/>
    </row>
    <row r="7" spans="1:32" s="5" customFormat="1" ht="18.75">
      <c r="A7" s="30"/>
      <c r="B7" s="71"/>
      <c r="C7" s="76"/>
      <c r="D7" s="10"/>
      <c r="E7" s="30"/>
      <c r="F7" s="74"/>
      <c r="G7" s="68"/>
      <c r="H7" s="12"/>
      <c r="I7" s="30"/>
      <c r="J7" s="68"/>
      <c r="K7" s="12"/>
      <c r="L7" s="30"/>
      <c r="M7" s="68"/>
      <c r="N7" s="20"/>
      <c r="O7" s="30"/>
      <c r="P7" s="68"/>
      <c r="Q7" s="12"/>
      <c r="R7" s="30"/>
      <c r="S7" s="68"/>
      <c r="T7" s="15"/>
      <c r="U7" s="30"/>
      <c r="V7" s="68"/>
      <c r="W7" s="20"/>
      <c r="X7" s="30"/>
      <c r="Y7" s="68"/>
      <c r="Z7" s="12"/>
      <c r="AA7" s="30"/>
      <c r="AB7" s="68"/>
      <c r="AC7" s="12"/>
      <c r="AD7" s="30"/>
      <c r="AE7" s="68"/>
      <c r="AF7" s="12"/>
    </row>
    <row r="8" spans="1:32" s="5" customFormat="1" ht="18.75">
      <c r="A8" s="30"/>
      <c r="B8" s="71"/>
      <c r="C8" s="76"/>
      <c r="D8" s="10"/>
      <c r="E8" s="30"/>
      <c r="F8" s="74"/>
      <c r="G8" s="68"/>
      <c r="H8" s="12"/>
      <c r="I8" s="30"/>
      <c r="J8" s="68"/>
      <c r="K8" s="12"/>
      <c r="L8" s="30"/>
      <c r="M8" s="68"/>
      <c r="N8" s="12"/>
      <c r="O8" s="30"/>
      <c r="P8" s="68"/>
      <c r="Q8" s="12"/>
      <c r="R8" s="30"/>
      <c r="S8" s="68"/>
      <c r="T8" s="15"/>
      <c r="U8" s="30"/>
      <c r="V8" s="68"/>
      <c r="W8" s="12"/>
      <c r="X8" s="30"/>
      <c r="Y8" s="68"/>
      <c r="Z8" s="12"/>
      <c r="AA8" s="30"/>
      <c r="AB8" s="68"/>
      <c r="AC8" s="12"/>
      <c r="AD8" s="30"/>
      <c r="AE8" s="68"/>
      <c r="AF8" s="12"/>
    </row>
    <row r="9" spans="1:32" s="5" customFormat="1" ht="18.75">
      <c r="A9" s="30"/>
      <c r="B9" s="71"/>
      <c r="C9" s="76"/>
      <c r="D9" s="10"/>
      <c r="E9" s="30"/>
      <c r="F9" s="74"/>
      <c r="G9" s="68"/>
      <c r="H9" s="12"/>
      <c r="I9" s="30"/>
      <c r="J9" s="68"/>
      <c r="K9" s="12"/>
      <c r="L9" s="30"/>
      <c r="M9" s="68"/>
      <c r="N9" s="12"/>
      <c r="O9" s="30"/>
      <c r="P9" s="68"/>
      <c r="Q9" s="12"/>
      <c r="R9" s="30"/>
      <c r="S9" s="68"/>
      <c r="T9" s="12"/>
      <c r="U9" s="30"/>
      <c r="V9" s="68"/>
      <c r="W9" s="12"/>
      <c r="X9" s="30"/>
      <c r="Y9" s="68"/>
      <c r="Z9" s="12"/>
      <c r="AA9" s="30"/>
      <c r="AB9" s="68"/>
      <c r="AC9" s="12"/>
      <c r="AD9" s="30"/>
      <c r="AE9" s="68"/>
      <c r="AF9" s="12"/>
    </row>
    <row r="10" spans="1:32" s="5" customFormat="1" ht="18.75">
      <c r="A10" s="30"/>
      <c r="B10" s="71"/>
      <c r="C10" s="76"/>
      <c r="D10" s="10"/>
      <c r="E10" s="30"/>
      <c r="F10" s="74"/>
      <c r="G10" s="68"/>
      <c r="H10" s="12"/>
      <c r="I10" s="30"/>
      <c r="J10" s="68"/>
      <c r="K10" s="12"/>
      <c r="L10" s="30"/>
      <c r="M10" s="68"/>
      <c r="N10" s="12"/>
      <c r="O10" s="30"/>
      <c r="P10" s="68"/>
      <c r="Q10" s="12"/>
      <c r="R10" s="30"/>
      <c r="S10" s="68"/>
      <c r="T10" s="15"/>
      <c r="U10" s="30"/>
      <c r="V10" s="68"/>
      <c r="W10" s="12"/>
      <c r="X10" s="30"/>
      <c r="Y10" s="68"/>
      <c r="Z10" s="20"/>
      <c r="AA10" s="30"/>
      <c r="AB10" s="68"/>
      <c r="AC10" s="20"/>
      <c r="AD10" s="30"/>
      <c r="AE10" s="68"/>
      <c r="AF10" s="20"/>
    </row>
    <row r="11" spans="1:32" s="5" customFormat="1" ht="18.75">
      <c r="A11" s="30"/>
      <c r="B11" s="71"/>
      <c r="C11" s="76"/>
      <c r="D11" s="10"/>
      <c r="E11" s="30"/>
      <c r="F11" s="74"/>
      <c r="G11" s="68"/>
      <c r="H11" s="20"/>
      <c r="I11" s="30"/>
      <c r="J11" s="68"/>
      <c r="K11" s="20"/>
      <c r="L11" s="30"/>
      <c r="M11" s="68"/>
      <c r="N11" s="12"/>
      <c r="O11" s="30"/>
      <c r="P11" s="68"/>
      <c r="Q11" s="12"/>
      <c r="R11" s="30"/>
      <c r="S11" s="68"/>
      <c r="T11" s="12"/>
      <c r="U11" s="30"/>
      <c r="V11" s="68"/>
      <c r="W11" s="12"/>
      <c r="X11" s="30"/>
      <c r="Y11" s="68"/>
      <c r="Z11" s="20"/>
      <c r="AA11" s="30"/>
      <c r="AB11" s="68"/>
      <c r="AC11" s="20"/>
      <c r="AD11" s="30"/>
      <c r="AE11" s="68"/>
      <c r="AF11" s="20"/>
    </row>
    <row r="12" spans="1:32" s="5" customFormat="1" ht="18.75">
      <c r="A12" s="30"/>
      <c r="B12" s="71"/>
      <c r="C12" s="76"/>
      <c r="D12" s="10"/>
      <c r="E12" s="30"/>
      <c r="F12" s="74"/>
      <c r="G12" s="68"/>
      <c r="H12" s="12"/>
      <c r="I12" s="30"/>
      <c r="J12" s="68"/>
      <c r="K12" s="12"/>
      <c r="L12" s="30"/>
      <c r="M12" s="68"/>
      <c r="N12" s="20"/>
      <c r="O12" s="30"/>
      <c r="P12" s="68"/>
      <c r="Q12" s="12"/>
      <c r="R12" s="30"/>
      <c r="S12" s="68"/>
      <c r="T12" s="12"/>
      <c r="U12" s="30"/>
      <c r="V12" s="68"/>
      <c r="W12" s="12"/>
      <c r="X12" s="30"/>
      <c r="Y12" s="68"/>
      <c r="Z12" s="20"/>
      <c r="AA12" s="30"/>
      <c r="AB12" s="68"/>
      <c r="AC12" s="20"/>
      <c r="AD12" s="30"/>
      <c r="AE12" s="68"/>
      <c r="AF12" s="20"/>
    </row>
    <row r="13" spans="1:32" s="5" customFormat="1" ht="18.75">
      <c r="A13" s="30"/>
      <c r="B13" s="71"/>
      <c r="C13" s="76"/>
      <c r="D13" s="10"/>
      <c r="E13" s="30"/>
      <c r="F13" s="74"/>
      <c r="G13" s="68"/>
      <c r="H13" s="20"/>
      <c r="I13" s="30"/>
      <c r="J13" s="68"/>
      <c r="K13" s="12"/>
      <c r="L13" s="30"/>
      <c r="M13" s="68"/>
      <c r="N13" s="12"/>
      <c r="O13" s="30"/>
      <c r="P13" s="68"/>
      <c r="Q13" s="12"/>
      <c r="R13" s="30"/>
      <c r="S13" s="68"/>
      <c r="T13" s="12"/>
      <c r="U13" s="30"/>
      <c r="V13" s="68"/>
      <c r="W13" s="12"/>
      <c r="X13" s="30"/>
      <c r="Y13" s="68"/>
      <c r="Z13" s="20"/>
      <c r="AA13" s="30"/>
      <c r="AB13" s="68"/>
      <c r="AC13" s="20"/>
      <c r="AD13" s="30"/>
      <c r="AE13" s="68"/>
      <c r="AF13" s="20"/>
    </row>
    <row r="14" spans="1:32" s="5" customFormat="1" ht="18.75">
      <c r="A14" s="30"/>
      <c r="B14" s="71"/>
      <c r="C14" s="76"/>
      <c r="D14" s="10"/>
      <c r="E14" s="30"/>
      <c r="F14" s="74"/>
      <c r="G14" s="68"/>
      <c r="H14" s="12"/>
      <c r="I14" s="30"/>
      <c r="J14" s="68"/>
      <c r="K14" s="12"/>
      <c r="L14" s="30"/>
      <c r="M14" s="68"/>
      <c r="N14" s="12"/>
      <c r="O14" s="30"/>
      <c r="P14" s="68"/>
      <c r="Q14" s="12"/>
      <c r="R14" s="30"/>
      <c r="S14" s="68"/>
      <c r="T14" s="12"/>
      <c r="U14" s="30"/>
      <c r="V14" s="68"/>
      <c r="W14" s="12"/>
      <c r="X14" s="30"/>
      <c r="Y14" s="68"/>
      <c r="Z14" s="20"/>
      <c r="AA14" s="30"/>
      <c r="AB14" s="68"/>
      <c r="AC14" s="20"/>
      <c r="AD14" s="30"/>
      <c r="AE14" s="68"/>
      <c r="AF14" s="20"/>
    </row>
    <row r="15" spans="1:32" s="5" customFormat="1" ht="18.75">
      <c r="A15" s="30"/>
      <c r="B15" s="71"/>
      <c r="C15" s="76"/>
      <c r="D15" s="10"/>
      <c r="E15" s="30"/>
      <c r="F15" s="74"/>
      <c r="G15" s="68"/>
      <c r="H15" s="15"/>
      <c r="I15" s="30"/>
      <c r="J15" s="68"/>
      <c r="K15" s="12"/>
      <c r="L15" s="30"/>
      <c r="M15" s="68"/>
      <c r="N15" s="12"/>
      <c r="O15" s="30"/>
      <c r="P15" s="68"/>
      <c r="Q15" s="12"/>
      <c r="R15" s="30"/>
      <c r="S15" s="68"/>
      <c r="T15" s="12"/>
      <c r="U15" s="30"/>
      <c r="V15" s="68"/>
      <c r="W15" s="12"/>
      <c r="X15" s="30"/>
      <c r="Y15" s="68"/>
      <c r="Z15" s="20"/>
      <c r="AA15" s="30"/>
      <c r="AB15" s="68"/>
      <c r="AC15" s="20"/>
      <c r="AD15" s="30"/>
      <c r="AE15" s="68"/>
      <c r="AF15" s="20"/>
    </row>
    <row r="16" spans="1:32" s="5" customFormat="1" ht="18.75">
      <c r="A16" s="30"/>
      <c r="B16" s="71"/>
      <c r="C16" s="76"/>
      <c r="D16" s="10"/>
      <c r="E16" s="30"/>
      <c r="F16" s="74"/>
      <c r="G16" s="68"/>
      <c r="H16" s="12"/>
      <c r="I16" s="30"/>
      <c r="J16" s="68"/>
      <c r="K16" s="12"/>
      <c r="L16" s="30"/>
      <c r="M16" s="68"/>
      <c r="N16" s="12"/>
      <c r="O16" s="30"/>
      <c r="P16" s="68"/>
      <c r="Q16" s="12"/>
      <c r="R16" s="30"/>
      <c r="S16" s="68"/>
      <c r="T16" s="12"/>
      <c r="U16" s="30"/>
      <c r="V16" s="68"/>
      <c r="W16" s="12"/>
      <c r="X16" s="30"/>
      <c r="Y16" s="68"/>
      <c r="Z16" s="20"/>
      <c r="AA16" s="30"/>
      <c r="AB16" s="68"/>
      <c r="AC16" s="20"/>
      <c r="AD16" s="30"/>
      <c r="AE16" s="68"/>
      <c r="AF16" s="20"/>
    </row>
    <row r="17" spans="1:32" s="5" customFormat="1" ht="18.75">
      <c r="A17" s="30"/>
      <c r="B17" s="71"/>
      <c r="C17" s="76"/>
      <c r="D17" s="10"/>
      <c r="E17" s="30"/>
      <c r="F17" s="74"/>
      <c r="G17" s="68"/>
      <c r="H17" s="20"/>
      <c r="I17" s="30"/>
      <c r="J17" s="68"/>
      <c r="K17" s="12"/>
      <c r="L17" s="30"/>
      <c r="M17" s="68"/>
      <c r="N17" s="12"/>
      <c r="O17" s="30"/>
      <c r="P17" s="68"/>
      <c r="Q17" s="12"/>
      <c r="R17" s="30"/>
      <c r="S17" s="68"/>
      <c r="T17" s="12"/>
      <c r="U17" s="30"/>
      <c r="V17" s="68"/>
      <c r="W17" s="12"/>
      <c r="X17" s="30"/>
      <c r="Y17" s="68"/>
      <c r="Z17" s="20"/>
      <c r="AA17" s="30"/>
      <c r="AB17" s="68"/>
      <c r="AC17" s="20"/>
      <c r="AD17" s="30"/>
      <c r="AE17" s="68"/>
      <c r="AF17" s="20"/>
    </row>
    <row r="18" spans="1:32" s="5" customFormat="1" ht="18.75">
      <c r="A18" s="30"/>
      <c r="B18" s="71"/>
      <c r="C18" s="76"/>
      <c r="D18" s="10"/>
      <c r="E18" s="30"/>
      <c r="F18" s="74"/>
      <c r="G18" s="68"/>
      <c r="H18" s="12"/>
      <c r="I18" s="30"/>
      <c r="J18" s="68"/>
      <c r="K18" s="20"/>
      <c r="L18" s="30"/>
      <c r="M18" s="68"/>
      <c r="N18" s="12"/>
      <c r="O18" s="30"/>
      <c r="P18" s="68"/>
      <c r="Q18" s="12"/>
      <c r="R18" s="30"/>
      <c r="S18" s="68"/>
      <c r="T18" s="12"/>
      <c r="U18" s="30"/>
      <c r="V18" s="68"/>
      <c r="W18" s="20"/>
      <c r="X18" s="30"/>
      <c r="Y18" s="68"/>
      <c r="Z18" s="20"/>
      <c r="AA18" s="30"/>
      <c r="AB18" s="68"/>
      <c r="AC18" s="20"/>
      <c r="AD18" s="30"/>
      <c r="AE18" s="68"/>
      <c r="AF18" s="20"/>
    </row>
    <row r="19" spans="1:32" s="5" customFormat="1" ht="18.75">
      <c r="A19" s="30"/>
      <c r="B19" s="71"/>
      <c r="C19" s="76"/>
      <c r="D19" s="10"/>
      <c r="E19" s="30"/>
      <c r="F19" s="74"/>
      <c r="G19" s="68"/>
      <c r="H19" s="20"/>
      <c r="I19" s="30"/>
      <c r="J19" s="68"/>
      <c r="K19" s="12"/>
      <c r="L19" s="30"/>
      <c r="M19" s="68"/>
      <c r="N19" s="20"/>
      <c r="O19" s="30"/>
      <c r="P19" s="68"/>
      <c r="Q19" s="12"/>
      <c r="R19" s="30"/>
      <c r="S19" s="68"/>
      <c r="T19" s="15"/>
      <c r="U19" s="30"/>
      <c r="V19" s="68"/>
      <c r="W19" s="12"/>
      <c r="X19" s="30"/>
      <c r="Y19" s="68"/>
      <c r="Z19" s="20"/>
      <c r="AA19" s="30"/>
      <c r="AB19" s="68"/>
      <c r="AC19" s="20"/>
      <c r="AD19" s="30"/>
      <c r="AE19" s="68"/>
      <c r="AF19" s="20"/>
    </row>
    <row r="20" spans="1:32" s="5" customFormat="1" ht="18.75">
      <c r="A20" s="30"/>
      <c r="B20" s="71"/>
      <c r="C20" s="76"/>
      <c r="D20" s="13"/>
      <c r="E20" s="30"/>
      <c r="F20" s="74"/>
      <c r="G20" s="68"/>
      <c r="H20" s="12"/>
      <c r="I20" s="30"/>
      <c r="J20" s="68"/>
      <c r="K20" s="12"/>
      <c r="L20" s="30"/>
      <c r="M20" s="68"/>
      <c r="N20" s="20"/>
      <c r="O20" s="30"/>
      <c r="P20" s="68"/>
      <c r="Q20" s="12"/>
      <c r="R20" s="30"/>
      <c r="S20" s="68"/>
      <c r="T20" s="12"/>
      <c r="U20" s="30"/>
      <c r="V20" s="68"/>
      <c r="W20" s="12"/>
      <c r="X20" s="30"/>
      <c r="Y20" s="68"/>
      <c r="Z20" s="20"/>
      <c r="AA20" s="30"/>
      <c r="AB20" s="68"/>
      <c r="AC20" s="20"/>
      <c r="AD20" s="30"/>
      <c r="AE20" s="68"/>
      <c r="AF20" s="20"/>
    </row>
    <row r="21" spans="1:32" s="5" customFormat="1" ht="18.75">
      <c r="A21" s="30"/>
      <c r="B21" s="71"/>
      <c r="C21" s="76"/>
      <c r="D21" s="10"/>
      <c r="E21" s="30"/>
      <c r="F21" s="74"/>
      <c r="G21" s="68"/>
      <c r="H21" s="20"/>
      <c r="I21" s="30"/>
      <c r="J21" s="68"/>
      <c r="K21" s="12"/>
      <c r="L21" s="30"/>
      <c r="M21" s="68"/>
      <c r="N21" s="12"/>
      <c r="O21" s="30"/>
      <c r="P21" s="68"/>
      <c r="Q21" s="20"/>
      <c r="R21" s="30"/>
      <c r="S21" s="68"/>
      <c r="T21" s="12"/>
      <c r="U21" s="30"/>
      <c r="V21" s="68"/>
      <c r="W21" s="12"/>
      <c r="X21" s="30"/>
      <c r="Y21" s="68"/>
      <c r="Z21" s="20"/>
      <c r="AA21" s="30"/>
      <c r="AB21" s="68"/>
      <c r="AC21" s="20"/>
      <c r="AD21" s="30"/>
      <c r="AE21" s="68"/>
      <c r="AF21" s="20"/>
    </row>
    <row r="22" spans="1:32" s="5" customFormat="1" ht="18.75">
      <c r="A22" s="30"/>
      <c r="B22" s="71"/>
      <c r="C22" s="76"/>
      <c r="D22" s="10"/>
      <c r="E22" s="30"/>
      <c r="F22" s="74"/>
      <c r="G22" s="68"/>
      <c r="H22" s="12"/>
      <c r="I22" s="30"/>
      <c r="J22" s="68"/>
      <c r="K22" s="12"/>
      <c r="L22" s="30"/>
      <c r="M22" s="68"/>
      <c r="N22" s="12"/>
      <c r="O22" s="30"/>
      <c r="P22" s="68"/>
      <c r="Q22" s="20"/>
      <c r="R22" s="30"/>
      <c r="S22" s="68"/>
      <c r="T22" s="12"/>
      <c r="U22" s="30"/>
      <c r="V22" s="68"/>
      <c r="W22" s="12"/>
      <c r="X22" s="30"/>
      <c r="Y22" s="68"/>
      <c r="Z22" s="20"/>
      <c r="AA22" s="30"/>
      <c r="AB22" s="68"/>
      <c r="AC22" s="20"/>
      <c r="AD22" s="30"/>
      <c r="AE22" s="68"/>
      <c r="AF22" s="20"/>
    </row>
    <row r="23" spans="1:32" s="5" customFormat="1" ht="18.75">
      <c r="A23" s="30"/>
      <c r="B23" s="71"/>
      <c r="C23" s="76"/>
      <c r="D23" s="10"/>
      <c r="E23" s="30"/>
      <c r="F23" s="74"/>
      <c r="G23" s="68"/>
      <c r="H23" s="12"/>
      <c r="I23" s="30"/>
      <c r="J23" s="68"/>
      <c r="K23" s="12"/>
      <c r="L23" s="30"/>
      <c r="M23" s="68"/>
      <c r="N23" s="12"/>
      <c r="O23" s="30"/>
      <c r="P23" s="68"/>
      <c r="Q23" s="12"/>
      <c r="R23" s="30"/>
      <c r="S23" s="68"/>
      <c r="T23" s="12"/>
      <c r="U23" s="30"/>
      <c r="V23" s="68"/>
      <c r="W23" s="12"/>
      <c r="X23" s="30"/>
      <c r="Y23" s="68"/>
      <c r="Z23" s="20"/>
      <c r="AA23" s="30"/>
      <c r="AB23" s="68"/>
      <c r="AC23" s="20"/>
      <c r="AD23" s="30"/>
      <c r="AE23" s="68"/>
      <c r="AF23" s="20"/>
    </row>
    <row r="24" spans="1:32" s="5" customFormat="1" ht="18.75">
      <c r="A24" s="30"/>
      <c r="B24" s="71"/>
      <c r="C24" s="76"/>
      <c r="D24" s="10"/>
      <c r="E24" s="30"/>
      <c r="F24" s="74"/>
      <c r="G24" s="68"/>
      <c r="H24" s="12"/>
      <c r="I24" s="30"/>
      <c r="J24" s="68"/>
      <c r="K24" s="12"/>
      <c r="L24" s="30"/>
      <c r="M24" s="68"/>
      <c r="N24" s="15"/>
      <c r="O24" s="30"/>
      <c r="P24" s="68"/>
      <c r="Q24" s="12"/>
      <c r="R24" s="30"/>
      <c r="S24" s="68"/>
      <c r="T24" s="12"/>
      <c r="U24" s="30"/>
      <c r="V24" s="68"/>
      <c r="W24" s="12"/>
      <c r="X24" s="30"/>
      <c r="Y24" s="68"/>
      <c r="Z24" s="20"/>
      <c r="AA24" s="30"/>
      <c r="AB24" s="68"/>
      <c r="AC24" s="20"/>
      <c r="AD24" s="30"/>
      <c r="AE24" s="68"/>
      <c r="AF24" s="20"/>
    </row>
    <row r="25" spans="1:32" s="5" customFormat="1" ht="18.75">
      <c r="A25" s="30"/>
      <c r="B25" s="71"/>
      <c r="C25" s="76"/>
      <c r="D25" s="10"/>
      <c r="E25" s="30"/>
      <c r="F25" s="74"/>
      <c r="G25" s="68"/>
      <c r="H25" s="12"/>
      <c r="I25" s="30"/>
      <c r="J25" s="68"/>
      <c r="K25" s="12"/>
      <c r="L25" s="30"/>
      <c r="M25" s="68"/>
      <c r="N25" s="12"/>
      <c r="O25" s="30"/>
      <c r="P25" s="68"/>
      <c r="Q25" s="12"/>
      <c r="R25" s="30"/>
      <c r="S25" s="68"/>
      <c r="T25" s="12"/>
      <c r="U25" s="30"/>
      <c r="V25" s="68"/>
      <c r="W25" s="12"/>
      <c r="X25" s="30"/>
      <c r="Y25" s="68"/>
      <c r="Z25" s="20"/>
      <c r="AA25" s="30"/>
      <c r="AB25" s="68"/>
      <c r="AC25" s="20"/>
      <c r="AD25" s="30"/>
      <c r="AE25" s="68"/>
      <c r="AF25" s="20"/>
    </row>
    <row r="26" spans="1:32" s="5" customFormat="1" ht="18.75">
      <c r="A26" s="30"/>
      <c r="B26" s="71"/>
      <c r="C26" s="76"/>
      <c r="D26" s="10"/>
      <c r="E26" s="30"/>
      <c r="F26" s="74"/>
      <c r="G26" s="68"/>
      <c r="H26" s="12"/>
      <c r="I26" s="30"/>
      <c r="J26" s="68"/>
      <c r="K26" s="12"/>
      <c r="L26" s="30"/>
      <c r="M26" s="68"/>
      <c r="N26" s="15"/>
      <c r="O26" s="30"/>
      <c r="P26" s="68"/>
      <c r="Q26" s="12"/>
      <c r="R26" s="30"/>
      <c r="S26" s="68"/>
      <c r="T26" s="12"/>
      <c r="U26" s="30"/>
      <c r="V26" s="68"/>
      <c r="W26" s="12"/>
      <c r="X26" s="30"/>
      <c r="Y26" s="68"/>
      <c r="Z26" s="20"/>
      <c r="AA26" s="30"/>
      <c r="AB26" s="68"/>
      <c r="AC26" s="20"/>
      <c r="AD26" s="30"/>
      <c r="AE26" s="68"/>
      <c r="AF26" s="20"/>
    </row>
    <row r="27" spans="1:32" s="5" customFormat="1" ht="18.75">
      <c r="A27" s="30"/>
      <c r="B27" s="71"/>
      <c r="C27" s="76"/>
      <c r="D27" s="10"/>
      <c r="E27" s="30"/>
      <c r="F27" s="74"/>
      <c r="G27" s="68"/>
      <c r="H27" s="12"/>
      <c r="I27" s="30"/>
      <c r="J27" s="68"/>
      <c r="K27" s="12"/>
      <c r="L27" s="30"/>
      <c r="M27" s="68"/>
      <c r="N27" s="12"/>
      <c r="O27" s="30"/>
      <c r="P27" s="68"/>
      <c r="Q27" s="12"/>
      <c r="R27" s="30"/>
      <c r="S27" s="68"/>
      <c r="T27" s="12"/>
      <c r="U27" s="30"/>
      <c r="V27" s="68"/>
      <c r="W27" s="12"/>
      <c r="X27" s="30"/>
      <c r="Y27" s="68"/>
      <c r="Z27" s="20"/>
      <c r="AA27" s="30"/>
      <c r="AB27" s="68"/>
      <c r="AC27" s="20"/>
      <c r="AD27" s="30"/>
      <c r="AE27" s="68"/>
      <c r="AF27" s="20"/>
    </row>
    <row r="28" spans="1:32" s="5" customFormat="1" ht="18.75">
      <c r="A28" s="30"/>
      <c r="B28" s="71"/>
      <c r="C28" s="76"/>
      <c r="D28" s="10"/>
      <c r="E28" s="30"/>
      <c r="F28" s="74"/>
      <c r="G28" s="68"/>
      <c r="H28" s="12"/>
      <c r="I28" s="30"/>
      <c r="J28" s="68"/>
      <c r="K28" s="12"/>
      <c r="L28" s="30"/>
      <c r="M28" s="68"/>
      <c r="N28" s="12"/>
      <c r="O28" s="30"/>
      <c r="P28" s="68"/>
      <c r="Q28" s="12"/>
      <c r="R28" s="30"/>
      <c r="S28" s="68"/>
      <c r="T28" s="12"/>
      <c r="U28" s="30"/>
      <c r="V28" s="68"/>
      <c r="W28" s="12"/>
      <c r="X28" s="30"/>
      <c r="Y28" s="68"/>
      <c r="Z28" s="20"/>
      <c r="AA28" s="30"/>
      <c r="AB28" s="68"/>
      <c r="AC28" s="20"/>
      <c r="AD28" s="30"/>
      <c r="AE28" s="68"/>
      <c r="AF28" s="20"/>
    </row>
    <row r="29" spans="1:32" s="5" customFormat="1" ht="18.75">
      <c r="A29" s="30"/>
      <c r="B29" s="71"/>
      <c r="C29" s="76"/>
      <c r="D29" s="12"/>
      <c r="E29" s="30"/>
      <c r="F29" s="74"/>
      <c r="G29" s="68"/>
      <c r="H29" s="20"/>
      <c r="I29" s="30"/>
      <c r="J29" s="68"/>
      <c r="K29" s="12"/>
      <c r="L29" s="30"/>
      <c r="M29" s="68"/>
      <c r="N29" s="12"/>
      <c r="O29" s="30"/>
      <c r="P29" s="68"/>
      <c r="Q29" s="20"/>
      <c r="R29" s="30"/>
      <c r="S29" s="68"/>
      <c r="T29" s="12"/>
      <c r="U29" s="30"/>
      <c r="V29" s="68"/>
      <c r="W29" s="12"/>
      <c r="X29" s="30"/>
      <c r="Y29" s="68"/>
      <c r="Z29" s="20"/>
      <c r="AA29" s="30"/>
      <c r="AB29" s="68"/>
      <c r="AC29" s="20"/>
      <c r="AD29" s="30"/>
      <c r="AE29" s="68"/>
      <c r="AF29" s="20"/>
    </row>
    <row r="30" spans="1:32" s="5" customFormat="1" ht="18.75">
      <c r="A30" s="30"/>
      <c r="B30" s="71"/>
      <c r="C30" s="76"/>
      <c r="D30" s="19"/>
      <c r="E30" s="30"/>
      <c r="F30" s="74"/>
      <c r="G30" s="68"/>
      <c r="H30" s="20"/>
      <c r="I30" s="30"/>
      <c r="J30" s="68"/>
      <c r="K30" s="12"/>
      <c r="L30" s="30"/>
      <c r="M30" s="68"/>
      <c r="N30" s="12"/>
      <c r="O30" s="30"/>
      <c r="P30" s="68"/>
      <c r="Q30" s="12"/>
      <c r="R30" s="30"/>
      <c r="S30" s="68"/>
      <c r="T30" s="12"/>
      <c r="U30" s="30"/>
      <c r="V30" s="68"/>
      <c r="W30" s="12"/>
      <c r="X30" s="30"/>
      <c r="Y30" s="68"/>
      <c r="Z30" s="20"/>
      <c r="AA30" s="30"/>
      <c r="AB30" s="68"/>
      <c r="AC30" s="20"/>
      <c r="AD30" s="30"/>
      <c r="AE30" s="68"/>
      <c r="AF30" s="20"/>
    </row>
    <row r="31" spans="1:32" s="5" customFormat="1" ht="18.75">
      <c r="A31" s="30"/>
      <c r="B31" s="71"/>
      <c r="C31" s="76"/>
      <c r="D31" s="10"/>
      <c r="E31" s="30"/>
      <c r="F31" s="74"/>
      <c r="G31" s="68"/>
      <c r="H31" s="12"/>
      <c r="I31" s="30"/>
      <c r="J31" s="68"/>
      <c r="K31" s="12"/>
      <c r="L31" s="30"/>
      <c r="M31" s="68"/>
      <c r="N31" s="12"/>
      <c r="O31" s="30"/>
      <c r="P31" s="68"/>
      <c r="Q31" s="12"/>
      <c r="R31" s="30"/>
      <c r="S31" s="68"/>
      <c r="T31" s="12"/>
      <c r="U31" s="30"/>
      <c r="V31" s="68"/>
      <c r="W31" s="12"/>
      <c r="X31" s="30"/>
      <c r="Y31" s="68"/>
      <c r="Z31" s="20"/>
      <c r="AA31" s="30"/>
      <c r="AB31" s="68"/>
      <c r="AC31" s="20"/>
      <c r="AD31" s="30"/>
      <c r="AE31" s="68"/>
      <c r="AF31" s="20"/>
    </row>
    <row r="32" spans="1:32" s="5" customFormat="1" ht="18.75">
      <c r="A32" s="30"/>
      <c r="B32" s="71"/>
      <c r="C32" s="76"/>
      <c r="D32" s="10"/>
      <c r="E32" s="30"/>
      <c r="F32" s="74"/>
      <c r="G32" s="68"/>
      <c r="H32" s="12"/>
      <c r="I32" s="30"/>
      <c r="J32" s="68"/>
      <c r="K32" s="12"/>
      <c r="L32" s="30"/>
      <c r="M32" s="68"/>
      <c r="N32" s="12"/>
      <c r="O32" s="30"/>
      <c r="P32" s="68"/>
      <c r="Q32" s="11"/>
      <c r="R32" s="30"/>
      <c r="S32" s="68"/>
      <c r="T32" s="12"/>
      <c r="U32" s="30"/>
      <c r="V32" s="68"/>
      <c r="W32" s="12"/>
      <c r="X32" s="30"/>
      <c r="Y32" s="68"/>
      <c r="Z32" s="20"/>
      <c r="AA32" s="30"/>
      <c r="AB32" s="68"/>
      <c r="AC32" s="20"/>
      <c r="AD32" s="30"/>
      <c r="AE32" s="68"/>
      <c r="AF32" s="20"/>
    </row>
    <row r="33" spans="1:34" s="5" customFormat="1" ht="18.75">
      <c r="A33" s="30"/>
      <c r="B33" s="71"/>
      <c r="C33" s="76"/>
      <c r="D33" s="12"/>
      <c r="E33" s="30"/>
      <c r="F33" s="74"/>
      <c r="G33" s="68"/>
      <c r="H33" s="12"/>
      <c r="I33" s="30"/>
      <c r="J33" s="68"/>
      <c r="K33" s="12"/>
      <c r="L33" s="30"/>
      <c r="M33" s="68"/>
      <c r="N33" s="12"/>
      <c r="O33" s="30"/>
      <c r="P33" s="68"/>
      <c r="Q33" s="12"/>
      <c r="R33" s="30"/>
      <c r="S33" s="68"/>
      <c r="T33" s="12"/>
      <c r="U33" s="30"/>
      <c r="V33" s="68"/>
      <c r="W33" s="12"/>
      <c r="X33" s="30"/>
      <c r="Y33" s="68"/>
      <c r="Z33" s="20"/>
      <c r="AA33" s="30"/>
      <c r="AB33" s="68"/>
      <c r="AC33" s="20"/>
      <c r="AD33" s="30"/>
      <c r="AE33" s="68"/>
      <c r="AF33" s="20"/>
    </row>
    <row r="34" spans="1:34" s="5" customFormat="1" ht="18.75">
      <c r="A34" s="30"/>
      <c r="B34" s="71"/>
      <c r="C34" s="76"/>
      <c r="E34" s="30"/>
      <c r="F34" s="74"/>
      <c r="G34" s="68"/>
      <c r="H34" s="12"/>
      <c r="I34" s="30"/>
      <c r="J34" s="68"/>
      <c r="K34" s="20"/>
      <c r="L34" s="30"/>
      <c r="M34" s="68"/>
      <c r="N34" s="12"/>
      <c r="O34" s="30"/>
      <c r="P34" s="68"/>
      <c r="Q34" s="12"/>
      <c r="R34" s="30"/>
      <c r="S34" s="68"/>
      <c r="T34" s="12"/>
      <c r="U34" s="30"/>
      <c r="V34" s="68"/>
      <c r="W34" s="12"/>
      <c r="X34" s="30"/>
      <c r="Y34" s="68"/>
      <c r="Z34" s="20"/>
      <c r="AA34" s="30"/>
      <c r="AB34" s="68"/>
      <c r="AC34" s="20"/>
      <c r="AD34" s="30"/>
      <c r="AE34" s="68"/>
      <c r="AF34" s="20"/>
    </row>
    <row r="35" spans="1:34" s="5" customFormat="1" ht="18.75">
      <c r="A35" s="30"/>
      <c r="B35" s="71"/>
      <c r="C35" s="76"/>
      <c r="D35" s="10"/>
      <c r="E35" s="30"/>
      <c r="F35" s="74"/>
      <c r="G35" s="68"/>
      <c r="H35" s="12"/>
      <c r="I35" s="30"/>
      <c r="J35" s="68"/>
      <c r="K35" s="12"/>
      <c r="L35" s="30"/>
      <c r="M35" s="68"/>
      <c r="N35" s="12"/>
      <c r="O35" s="30"/>
      <c r="P35" s="68"/>
      <c r="Q35" s="20"/>
      <c r="R35" s="30"/>
      <c r="S35" s="68"/>
      <c r="T35" s="12"/>
      <c r="U35" s="30"/>
      <c r="V35" s="68"/>
      <c r="W35" s="12"/>
      <c r="X35" s="30"/>
      <c r="Y35" s="68"/>
      <c r="Z35" s="20"/>
      <c r="AA35" s="30"/>
      <c r="AB35" s="68"/>
      <c r="AC35" s="20"/>
      <c r="AD35" s="30"/>
      <c r="AE35" s="68"/>
      <c r="AF35" s="20"/>
    </row>
    <row r="36" spans="1:34" s="5" customFormat="1" ht="18.75">
      <c r="A36" s="30"/>
      <c r="B36" s="71"/>
      <c r="C36" s="76"/>
      <c r="D36" s="10"/>
      <c r="E36" s="30"/>
      <c r="F36" s="74"/>
      <c r="G36" s="68"/>
      <c r="H36" s="12"/>
      <c r="I36" s="30"/>
      <c r="J36" s="68"/>
      <c r="K36" s="12"/>
      <c r="L36" s="30"/>
      <c r="M36" s="68"/>
      <c r="N36" s="12"/>
      <c r="O36" s="30"/>
      <c r="P36" s="68"/>
      <c r="Q36" s="12"/>
      <c r="R36" s="30"/>
      <c r="S36" s="68"/>
      <c r="T36" s="12"/>
      <c r="U36" s="30"/>
      <c r="V36" s="68"/>
      <c r="W36" s="12"/>
      <c r="X36" s="30"/>
      <c r="Y36" s="68"/>
      <c r="Z36" s="20"/>
      <c r="AA36" s="30"/>
      <c r="AB36" s="68"/>
      <c r="AC36" s="20"/>
      <c r="AD36" s="30"/>
      <c r="AE36" s="68"/>
      <c r="AF36" s="20"/>
    </row>
    <row r="37" spans="1:34" s="5" customFormat="1" ht="18.75">
      <c r="A37" s="30"/>
      <c r="B37" s="71"/>
      <c r="C37" s="76"/>
      <c r="D37" s="12"/>
      <c r="E37" s="30"/>
      <c r="F37" s="74"/>
      <c r="G37" s="68"/>
      <c r="H37" s="12"/>
      <c r="I37" s="30"/>
      <c r="J37" s="68"/>
      <c r="K37" s="12"/>
      <c r="L37" s="30"/>
      <c r="M37" s="68"/>
      <c r="N37" s="12"/>
      <c r="O37" s="30"/>
      <c r="P37" s="68"/>
      <c r="Q37" s="12"/>
      <c r="R37" s="30"/>
      <c r="S37" s="68"/>
      <c r="T37" s="12"/>
      <c r="U37" s="30"/>
      <c r="V37" s="68"/>
      <c r="W37" s="12"/>
      <c r="X37" s="30"/>
      <c r="Y37" s="68"/>
      <c r="Z37" s="20"/>
      <c r="AA37" s="30"/>
      <c r="AB37" s="68"/>
      <c r="AC37" s="20"/>
      <c r="AD37" s="30"/>
      <c r="AE37" s="68"/>
      <c r="AF37" s="20"/>
    </row>
    <row r="38" spans="1:34" s="5" customFormat="1" ht="18.75">
      <c r="A38" s="30"/>
      <c r="B38" s="71"/>
      <c r="C38" s="76"/>
      <c r="D38" s="29"/>
      <c r="E38" s="30"/>
      <c r="F38" s="74"/>
      <c r="G38" s="68"/>
      <c r="H38" s="12"/>
      <c r="I38" s="30"/>
      <c r="J38" s="68"/>
      <c r="K38" s="12"/>
      <c r="L38" s="30"/>
      <c r="M38" s="68"/>
      <c r="N38" s="12"/>
      <c r="O38" s="30"/>
      <c r="P38" s="68"/>
      <c r="Q38" s="12"/>
      <c r="R38" s="30"/>
      <c r="S38" s="68"/>
      <c r="T38" s="12"/>
      <c r="U38" s="30"/>
      <c r="V38" s="68"/>
      <c r="W38" s="12"/>
      <c r="X38" s="30"/>
      <c r="Y38" s="68"/>
      <c r="Z38" s="20"/>
      <c r="AA38" s="30"/>
      <c r="AB38" s="68"/>
      <c r="AC38" s="20"/>
      <c r="AD38" s="30"/>
      <c r="AE38" s="68"/>
      <c r="AF38" s="20"/>
    </row>
    <row r="39" spans="1:34" s="5" customFormat="1" ht="18.75">
      <c r="A39" s="33"/>
      <c r="B39" s="72"/>
      <c r="C39" s="77"/>
      <c r="D39" s="34"/>
      <c r="E39" s="33"/>
      <c r="F39" s="75"/>
      <c r="G39" s="69"/>
      <c r="H39" s="35"/>
      <c r="I39" s="33"/>
      <c r="J39" s="69"/>
      <c r="K39" s="35"/>
      <c r="L39" s="33"/>
      <c r="M39" s="69"/>
      <c r="N39" s="35"/>
      <c r="O39" s="33"/>
      <c r="P39" s="69"/>
      <c r="Q39" s="36"/>
      <c r="R39" s="33"/>
      <c r="S39" s="69"/>
      <c r="T39" s="35"/>
      <c r="U39" s="33"/>
      <c r="V39" s="69"/>
      <c r="W39" s="35"/>
      <c r="X39" s="33"/>
      <c r="Y39" s="69"/>
      <c r="Z39" s="37"/>
      <c r="AA39" s="33"/>
      <c r="AB39" s="69"/>
      <c r="AC39" s="37"/>
      <c r="AD39" s="33"/>
      <c r="AE39" s="69"/>
      <c r="AF39" s="37"/>
    </row>
    <row r="40" spans="1:34" s="5" customFormat="1" ht="18.75">
      <c r="A40" s="30"/>
      <c r="B40" s="71"/>
      <c r="C40" s="76"/>
      <c r="D40" s="16"/>
      <c r="E40" s="30"/>
      <c r="F40" s="74"/>
      <c r="G40" s="68"/>
      <c r="H40" s="12"/>
      <c r="I40" s="30"/>
      <c r="J40" s="68"/>
      <c r="K40" s="12"/>
      <c r="L40" s="30"/>
      <c r="M40" s="68"/>
      <c r="N40" s="12"/>
      <c r="O40" s="30"/>
      <c r="P40" s="68"/>
      <c r="Q40" s="11"/>
      <c r="R40" s="30"/>
      <c r="S40" s="68"/>
      <c r="T40" s="12"/>
      <c r="U40" s="30"/>
      <c r="V40" s="68"/>
      <c r="W40" s="12"/>
      <c r="X40" s="30"/>
      <c r="Y40" s="68"/>
      <c r="Z40" s="20"/>
      <c r="AA40" s="30"/>
      <c r="AB40" s="68"/>
      <c r="AC40" s="20"/>
      <c r="AD40" s="30"/>
      <c r="AE40" s="68"/>
      <c r="AF40" s="20"/>
    </row>
    <row r="41" spans="1:34" s="1" customFormat="1" ht="17.25">
      <c r="B41" s="47"/>
      <c r="C41" s="47"/>
      <c r="G41" s="47"/>
    </row>
    <row r="43" spans="1:34">
      <c r="A43" s="6"/>
      <c r="B43" s="48"/>
      <c r="C43" s="48"/>
      <c r="D43" s="8"/>
      <c r="E43" s="6"/>
      <c r="F43" s="7"/>
      <c r="G43" s="48"/>
      <c r="H43" s="8"/>
      <c r="I43" s="6"/>
      <c r="J43" s="7"/>
      <c r="K43" s="8"/>
      <c r="L43" s="6"/>
      <c r="M43" s="7"/>
      <c r="N43" s="8"/>
      <c r="O43" s="6"/>
      <c r="P43" s="7"/>
      <c r="Q43" s="8"/>
      <c r="R43" s="6"/>
      <c r="S43" s="7"/>
      <c r="T43" s="8"/>
      <c r="U43" s="6"/>
      <c r="V43" s="7"/>
      <c r="W43" s="8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1:34" ht="18.75">
      <c r="A44" s="21"/>
      <c r="B44" s="46"/>
      <c r="C44" s="46"/>
      <c r="D44" s="19"/>
      <c r="E44" s="6"/>
      <c r="F44" s="7"/>
      <c r="G44" s="46"/>
      <c r="H44" s="8"/>
      <c r="I44" s="21"/>
      <c r="J44" s="21"/>
      <c r="K44" s="19"/>
      <c r="L44" s="6"/>
      <c r="M44" s="7"/>
      <c r="N44" s="8"/>
      <c r="O44" s="6"/>
      <c r="P44" s="7"/>
      <c r="Q44" s="8"/>
      <c r="R44" s="6"/>
      <c r="S44" s="7"/>
      <c r="T44" s="8"/>
      <c r="U44" s="6"/>
      <c r="V44" s="7"/>
      <c r="W44" s="8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1:34" ht="18.75">
      <c r="A45" s="6"/>
      <c r="B45" s="48"/>
      <c r="C45" s="48"/>
      <c r="D45" s="8"/>
      <c r="E45" s="21"/>
      <c r="F45" s="21"/>
      <c r="G45" s="48"/>
      <c r="H45" s="19"/>
      <c r="I45" s="5"/>
      <c r="J45" s="5"/>
      <c r="K45" s="4"/>
      <c r="L45" s="6"/>
      <c r="M45" s="7"/>
      <c r="N45" s="8"/>
      <c r="O45" s="6"/>
      <c r="P45" s="7"/>
      <c r="Q45" s="8"/>
      <c r="R45" s="6"/>
      <c r="S45" s="7"/>
      <c r="T45" s="8"/>
      <c r="U45" s="6"/>
      <c r="V45" s="7"/>
      <c r="W45" s="8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1:34" ht="18.75">
      <c r="A46" s="6"/>
      <c r="B46" s="48"/>
      <c r="C46" s="48"/>
      <c r="D46" s="8"/>
      <c r="E46" s="21"/>
      <c r="F46" s="21"/>
      <c r="G46" s="48"/>
      <c r="H46" s="19"/>
      <c r="I46" s="5"/>
      <c r="J46" s="9"/>
      <c r="K46" s="4"/>
      <c r="L46" s="21"/>
      <c r="M46" s="22"/>
      <c r="N46" s="19"/>
      <c r="O46" s="6"/>
      <c r="P46" s="7"/>
      <c r="Q46" s="8"/>
      <c r="R46" s="6"/>
      <c r="S46" s="7"/>
      <c r="T46" s="8"/>
      <c r="U46" s="6"/>
      <c r="V46" s="7"/>
      <c r="W46" s="8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</row>
    <row r="47" spans="1:34" ht="18.75">
      <c r="A47" s="6"/>
      <c r="B47" s="48"/>
      <c r="C47" s="48"/>
      <c r="D47" s="8"/>
      <c r="E47" s="5"/>
      <c r="F47" s="5"/>
      <c r="G47" s="48"/>
      <c r="H47" s="4"/>
      <c r="I47" s="6"/>
      <c r="J47" s="7"/>
      <c r="K47" s="8"/>
      <c r="L47" s="6"/>
      <c r="M47" s="7"/>
      <c r="N47" s="8"/>
      <c r="O47" s="21"/>
      <c r="P47" s="21"/>
      <c r="Q47" s="21"/>
      <c r="R47" s="6"/>
      <c r="S47" s="7"/>
      <c r="T47" s="8"/>
      <c r="U47" s="6"/>
      <c r="V47" s="7"/>
      <c r="W47" s="8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1:34" ht="17.25">
      <c r="A48" s="6"/>
      <c r="B48" s="48"/>
      <c r="C48" s="48"/>
      <c r="D48" s="8"/>
      <c r="E48" s="6"/>
      <c r="F48" s="7"/>
      <c r="G48" s="48"/>
      <c r="H48" s="8"/>
      <c r="I48" s="6"/>
      <c r="J48" s="7"/>
      <c r="K48" s="8"/>
      <c r="L48" s="6"/>
      <c r="M48" s="7"/>
      <c r="N48" s="8"/>
      <c r="O48" s="5"/>
      <c r="P48" s="5"/>
      <c r="Q48" s="5"/>
      <c r="R48" s="6"/>
      <c r="S48" s="7"/>
      <c r="T48" s="8"/>
      <c r="U48" s="6"/>
      <c r="V48" s="7"/>
      <c r="W48" s="8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1:34" ht="18.75">
      <c r="A49" s="6"/>
      <c r="B49" s="48"/>
      <c r="C49" s="48"/>
      <c r="D49" s="8"/>
      <c r="E49" s="6"/>
      <c r="F49" s="7"/>
      <c r="G49" s="48"/>
      <c r="H49" s="8"/>
      <c r="I49" s="6"/>
      <c r="J49" s="7"/>
      <c r="K49" s="8"/>
      <c r="L49" s="6"/>
      <c r="M49" s="7"/>
      <c r="N49" s="8"/>
      <c r="O49" s="5"/>
      <c r="P49" s="9"/>
      <c r="Q49" s="4"/>
      <c r="R49" s="21"/>
      <c r="S49" s="21"/>
      <c r="T49" s="19"/>
      <c r="U49" s="6"/>
      <c r="V49" s="7"/>
      <c r="W49" s="8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</row>
    <row r="50" spans="1:34" ht="17.25">
      <c r="A50" s="6"/>
      <c r="B50" s="48"/>
      <c r="C50" s="48"/>
      <c r="D50" s="8"/>
      <c r="E50" s="5"/>
      <c r="F50" s="9"/>
      <c r="G50" s="48"/>
      <c r="H50" s="4"/>
      <c r="I50" s="6"/>
      <c r="J50" s="7"/>
      <c r="K50" s="8"/>
      <c r="L50" s="6"/>
      <c r="M50" s="7"/>
      <c r="N50" s="8"/>
      <c r="O50" s="6"/>
      <c r="P50" s="7"/>
      <c r="Q50" s="8"/>
      <c r="R50" s="5"/>
      <c r="S50" s="9"/>
      <c r="T50" s="4"/>
      <c r="U50" s="6"/>
      <c r="V50" s="7"/>
      <c r="W50" s="8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1:34">
      <c r="O51" s="6"/>
      <c r="P51" s="7"/>
      <c r="Q51" s="8"/>
      <c r="R51" s="6"/>
      <c r="S51" s="7"/>
      <c r="T51" s="8"/>
      <c r="U51" s="6"/>
      <c r="V51" s="7"/>
      <c r="W51" s="8"/>
    </row>
    <row r="52" spans="1:34">
      <c r="R52" s="6"/>
      <c r="S52" s="7"/>
      <c r="T52" s="8"/>
      <c r="U52" s="6"/>
      <c r="V52" s="7"/>
      <c r="W52" s="8"/>
    </row>
    <row r="53" spans="1:34">
      <c r="R53" s="6"/>
      <c r="S53" s="7"/>
      <c r="T53" s="8"/>
    </row>
  </sheetData>
  <pageMargins left="0.25" right="0.25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C33"/>
  <sheetViews>
    <sheetView workbookViewId="0">
      <selection activeCell="A33" sqref="A33"/>
    </sheetView>
  </sheetViews>
  <sheetFormatPr defaultRowHeight="15"/>
  <cols>
    <col min="1" max="1" width="146.5703125" customWidth="1"/>
  </cols>
  <sheetData>
    <row r="1" spans="1:1">
      <c r="A1" s="45" t="s">
        <v>486</v>
      </c>
    </row>
    <row r="2" spans="1:1">
      <c r="A2" t="s">
        <v>487</v>
      </c>
    </row>
    <row r="3" spans="1:1">
      <c r="A3" t="s">
        <v>488</v>
      </c>
    </row>
    <row r="5" spans="1:1">
      <c r="A5" s="45" t="s">
        <v>523</v>
      </c>
    </row>
    <row r="6" spans="1:1">
      <c r="A6" t="s">
        <v>485</v>
      </c>
    </row>
    <row r="8" spans="1:1">
      <c r="A8" s="45" t="s">
        <v>489</v>
      </c>
    </row>
    <row r="9" spans="1:1">
      <c r="A9" t="s">
        <v>490</v>
      </c>
    </row>
    <row r="10" spans="1:1">
      <c r="A10" t="str">
        <f>SUBSTITUTE(A9,"I7","M7")</f>
        <v>IF(MIN(VALUE(IF(ISBLANK(M7),H7,M7)),VALUE(IF(ISBLANK(H7),M7,H7)))=0,"",ROUND(MIN(VALUE(IF(ISBLANK(M7),H7,M7)),VALUE(IF(ISBLANK(H7),M7,H7))),2))</v>
      </c>
    </row>
    <row r="11" spans="1:1">
      <c r="A11" t="str">
        <f>SUBSTITUTE(A10,"H7","L7")</f>
        <v>IF(MIN(VALUE(IF(ISBLANK(M7),L7,M7)),VALUE(IF(ISBLANK(L7),M7,L7)))=0,"",ROUND(MIN(VALUE(IF(ISBLANK(M7),L7,M7)),VALUE(IF(ISBLANK(L7),M7,L7))),2))</v>
      </c>
    </row>
    <row r="13" spans="1:1">
      <c r="A13" t="s">
        <v>524</v>
      </c>
    </row>
    <row r="15" spans="1:1">
      <c r="A15" s="45" t="s">
        <v>558</v>
      </c>
    </row>
    <row r="16" spans="1:1">
      <c r="A16" t="s">
        <v>557</v>
      </c>
    </row>
    <row r="17" spans="1:3">
      <c r="A17" t="s">
        <v>559</v>
      </c>
    </row>
    <row r="21" spans="1:3">
      <c r="A21" t="str">
        <f>CONCATENATE("IF(MIN(IF(ISBLANK(",B21,"10),",C21,"10,",B21,"10),IF(ISBLANK(",C21,"10),",B21,"10,",C21,"10))=0,"""",MIN(IF(ISBLANK(",B21,"10),",C21,"10,",B21,"10),IF(ISBLANK(",C21,"10),",B21,"10,",C21,"10)))")</f>
        <v>IF(MIN(IF(ISBLANK(AQ10),AR10,AQ10),IF(ISBLANK(AR10),AQ10,AR10))=0,"",MIN(IF(ISBLANK(AQ10),AR10,AQ10),IF(ISBLANK(AR10),AQ10,AR10)))</v>
      </c>
      <c r="B21" t="s">
        <v>825</v>
      </c>
      <c r="C21" t="s">
        <v>894</v>
      </c>
    </row>
    <row r="22" spans="1:3">
      <c r="A22" t="s">
        <v>604</v>
      </c>
    </row>
    <row r="23" spans="1:3">
      <c r="A23" t="s">
        <v>616</v>
      </c>
    </row>
    <row r="24" spans="1:3">
      <c r="A24" t="s">
        <v>692</v>
      </c>
    </row>
    <row r="25" spans="1:3">
      <c r="A25" t="s">
        <v>712</v>
      </c>
    </row>
    <row r="26" spans="1:3">
      <c r="A26" t="s">
        <v>749</v>
      </c>
    </row>
    <row r="27" spans="1:3">
      <c r="A27" t="s">
        <v>750</v>
      </c>
    </row>
    <row r="28" spans="1:3">
      <c r="A28" t="s">
        <v>751</v>
      </c>
    </row>
    <row r="29" spans="1:3">
      <c r="A29" t="s">
        <v>800</v>
      </c>
    </row>
    <row r="30" spans="1:3">
      <c r="A30" t="s">
        <v>824</v>
      </c>
    </row>
    <row r="31" spans="1:3">
      <c r="A31" t="s">
        <v>885</v>
      </c>
    </row>
    <row r="32" spans="1:3">
      <c r="A32" t="s">
        <v>896</v>
      </c>
    </row>
    <row r="33" spans="1:1">
      <c r="A33" t="s">
        <v>899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W9" sqref="W9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H39"/>
  <sheetViews>
    <sheetView workbookViewId="0">
      <selection activeCell="H1" sqref="H1:H9"/>
    </sheetView>
  </sheetViews>
  <sheetFormatPr defaultRowHeight="15"/>
  <cols>
    <col min="1" max="1" width="22.140625" bestFit="1" customWidth="1"/>
    <col min="2" max="2" width="19.7109375" bestFit="1" customWidth="1"/>
    <col min="3" max="3" width="20.28515625" bestFit="1" customWidth="1"/>
    <col min="4" max="4" width="20.140625" bestFit="1" customWidth="1"/>
    <col min="5" max="5" width="19.7109375" bestFit="1" customWidth="1"/>
    <col min="6" max="6" width="25.5703125" customWidth="1"/>
    <col min="8" max="8" width="29.5703125" customWidth="1"/>
  </cols>
  <sheetData>
    <row r="1" spans="1:8" ht="18.75">
      <c r="A1" s="79" t="s">
        <v>460</v>
      </c>
      <c r="B1" s="79" t="s">
        <v>731</v>
      </c>
      <c r="C1" s="79" t="s">
        <v>828</v>
      </c>
      <c r="D1" s="79" t="s">
        <v>813</v>
      </c>
      <c r="E1" s="11" t="s">
        <v>883</v>
      </c>
      <c r="F1" s="79" t="s">
        <v>742</v>
      </c>
      <c r="H1" t="s">
        <v>890</v>
      </c>
    </row>
    <row r="2" spans="1:8" ht="18.75">
      <c r="A2" s="79" t="s">
        <v>714</v>
      </c>
      <c r="B2" s="79" t="s">
        <v>127</v>
      </c>
      <c r="C2" s="79" t="s">
        <v>49</v>
      </c>
      <c r="D2" s="79" t="s">
        <v>232</v>
      </c>
      <c r="E2" s="81" t="s">
        <v>827</v>
      </c>
      <c r="F2" s="79" t="s">
        <v>186</v>
      </c>
      <c r="H2" t="s">
        <v>879</v>
      </c>
    </row>
    <row r="3" spans="1:8" ht="18.75">
      <c r="A3" s="11" t="s">
        <v>890</v>
      </c>
      <c r="B3" s="79" t="s">
        <v>133</v>
      </c>
      <c r="C3" s="79" t="s">
        <v>831</v>
      </c>
      <c r="D3" s="79" t="s">
        <v>654</v>
      </c>
      <c r="E3" s="79" t="s">
        <v>112</v>
      </c>
      <c r="F3" s="79" t="s">
        <v>888</v>
      </c>
      <c r="H3" t="s">
        <v>891</v>
      </c>
    </row>
    <row r="4" spans="1:8" ht="18.75">
      <c r="A4" s="79" t="s">
        <v>832</v>
      </c>
      <c r="B4" s="79" t="s">
        <v>839</v>
      </c>
      <c r="C4" s="79" t="s">
        <v>64</v>
      </c>
      <c r="D4" s="79" t="s">
        <v>98</v>
      </c>
      <c r="E4" s="79" t="s">
        <v>119</v>
      </c>
      <c r="F4" s="79" t="s">
        <v>743</v>
      </c>
      <c r="H4" t="s">
        <v>893</v>
      </c>
    </row>
    <row r="5" spans="1:8" ht="18.75">
      <c r="A5" s="79" t="s">
        <v>619</v>
      </c>
      <c r="B5" s="79" t="s">
        <v>841</v>
      </c>
      <c r="C5" s="79" t="s">
        <v>820</v>
      </c>
      <c r="D5" s="79" t="s">
        <v>833</v>
      </c>
      <c r="E5" s="79" t="s">
        <v>834</v>
      </c>
      <c r="F5" s="79" t="s">
        <v>744</v>
      </c>
      <c r="H5" t="s">
        <v>884</v>
      </c>
    </row>
    <row r="6" spans="1:8" ht="18.75">
      <c r="A6" s="79" t="s">
        <v>836</v>
      </c>
      <c r="B6" s="79" t="s">
        <v>151</v>
      </c>
      <c r="C6" s="79" t="s">
        <v>835</v>
      </c>
      <c r="D6" s="79" t="s">
        <v>105</v>
      </c>
      <c r="E6" s="79" t="s">
        <v>766</v>
      </c>
      <c r="F6" s="79" t="s">
        <v>18</v>
      </c>
      <c r="H6" t="s">
        <v>880</v>
      </c>
    </row>
    <row r="7" spans="1:8" ht="18.75">
      <c r="A7" s="79" t="s">
        <v>838</v>
      </c>
      <c r="B7" s="79" t="s">
        <v>762</v>
      </c>
      <c r="C7" s="79" t="s">
        <v>76</v>
      </c>
      <c r="D7" s="79" t="s">
        <v>111</v>
      </c>
      <c r="E7" s="79" t="s">
        <v>160</v>
      </c>
      <c r="F7" s="79" t="s">
        <v>23</v>
      </c>
      <c r="H7" t="s">
        <v>883</v>
      </c>
    </row>
    <row r="8" spans="1:8" ht="18.75">
      <c r="A8" s="79" t="s">
        <v>761</v>
      </c>
      <c r="B8" s="79" t="s">
        <v>164</v>
      </c>
      <c r="C8" s="79" t="s">
        <v>842</v>
      </c>
      <c r="D8" s="79" t="s">
        <v>837</v>
      </c>
      <c r="E8" s="79" t="s">
        <v>663</v>
      </c>
      <c r="F8" s="79" t="s">
        <v>27</v>
      </c>
      <c r="H8" t="s">
        <v>892</v>
      </c>
    </row>
    <row r="9" spans="1:8" ht="18.75">
      <c r="A9" s="79" t="s">
        <v>96</v>
      </c>
      <c r="B9" s="79" t="s">
        <v>383</v>
      </c>
      <c r="C9" s="79" t="s">
        <v>843</v>
      </c>
      <c r="D9" s="79" t="s">
        <v>248</v>
      </c>
      <c r="E9" s="79" t="s">
        <v>243</v>
      </c>
      <c r="F9" s="79" t="s">
        <v>770</v>
      </c>
      <c r="H9" t="s">
        <v>881</v>
      </c>
    </row>
    <row r="10" spans="1:8" ht="18.75">
      <c r="A10" s="79" t="s">
        <v>102</v>
      </c>
      <c r="B10" s="79" t="s">
        <v>384</v>
      </c>
      <c r="C10" s="79" t="s">
        <v>147</v>
      </c>
      <c r="D10" s="79" t="s">
        <v>840</v>
      </c>
      <c r="E10" s="79" t="s">
        <v>844</v>
      </c>
      <c r="F10" s="79" t="s">
        <v>802</v>
      </c>
    </row>
    <row r="11" spans="1:8" ht="18.75">
      <c r="A11" s="79" t="s">
        <v>728</v>
      </c>
      <c r="B11" s="79" t="s">
        <v>732</v>
      </c>
      <c r="C11" s="79" t="s">
        <v>611</v>
      </c>
      <c r="D11" s="79" t="s">
        <v>771</v>
      </c>
      <c r="E11" s="79" t="s">
        <v>208</v>
      </c>
      <c r="F11" s="79" t="s">
        <v>745</v>
      </c>
    </row>
    <row r="12" spans="1:8" ht="18.75">
      <c r="A12" s="79" t="s">
        <v>847</v>
      </c>
      <c r="B12" s="79" t="s">
        <v>627</v>
      </c>
      <c r="C12" s="79" t="s">
        <v>850</v>
      </c>
      <c r="D12" s="79" t="s">
        <v>153</v>
      </c>
      <c r="E12" s="79" t="s">
        <v>664</v>
      </c>
      <c r="F12" s="79" t="s">
        <v>674</v>
      </c>
    </row>
    <row r="13" spans="1:8" ht="18.75">
      <c r="A13" s="79" t="s">
        <v>752</v>
      </c>
      <c r="B13" s="79" t="s">
        <v>628</v>
      </c>
      <c r="C13" s="79" t="s">
        <v>165</v>
      </c>
      <c r="D13" s="79" t="s">
        <v>817</v>
      </c>
      <c r="E13" s="79" t="s">
        <v>218</v>
      </c>
      <c r="F13" s="79" t="s">
        <v>848</v>
      </c>
    </row>
    <row r="14" spans="1:8" ht="18.75">
      <c r="A14" s="79" t="s">
        <v>767</v>
      </c>
      <c r="B14" s="79" t="s">
        <v>773</v>
      </c>
      <c r="C14" s="79" t="s">
        <v>886</v>
      </c>
      <c r="D14" s="79" t="s">
        <v>703</v>
      </c>
      <c r="E14" s="79" t="s">
        <v>668</v>
      </c>
      <c r="F14" s="79" t="s">
        <v>95</v>
      </c>
    </row>
    <row r="15" spans="1:8" ht="18.75">
      <c r="A15" s="79" t="s">
        <v>269</v>
      </c>
      <c r="B15" s="79" t="s">
        <v>855</v>
      </c>
      <c r="C15" s="79" t="s">
        <v>707</v>
      </c>
      <c r="D15" s="79" t="s">
        <v>777</v>
      </c>
      <c r="E15" s="79" t="s">
        <v>776</v>
      </c>
      <c r="F15" s="79" t="s">
        <v>806</v>
      </c>
    </row>
    <row r="16" spans="1:8" ht="18.75">
      <c r="A16" s="79" t="s">
        <v>723</v>
      </c>
      <c r="B16" s="79" t="s">
        <v>387</v>
      </c>
      <c r="C16" s="79" t="s">
        <v>854</v>
      </c>
      <c r="D16" s="79" t="s">
        <v>468</v>
      </c>
      <c r="E16" s="79" t="s">
        <v>436</v>
      </c>
      <c r="F16" s="79" t="s">
        <v>851</v>
      </c>
    </row>
    <row r="17" spans="1:6" ht="18.75">
      <c r="A17" s="79" t="s">
        <v>156</v>
      </c>
      <c r="B17" s="79" t="s">
        <v>431</v>
      </c>
      <c r="C17" s="79" t="s">
        <v>190</v>
      </c>
      <c r="D17" s="79" t="s">
        <v>853</v>
      </c>
      <c r="E17" s="79" t="s">
        <v>779</v>
      </c>
      <c r="F17" s="79" t="s">
        <v>675</v>
      </c>
    </row>
    <row r="18" spans="1:6" ht="18.75">
      <c r="A18" s="79" t="s">
        <v>818</v>
      </c>
      <c r="B18" s="79" t="s">
        <v>629</v>
      </c>
      <c r="C18" s="79" t="s">
        <v>396</v>
      </c>
      <c r="D18" s="79" t="s">
        <v>658</v>
      </c>
      <c r="E18" s="79" t="s">
        <v>669</v>
      </c>
      <c r="F18" s="79" t="s">
        <v>108</v>
      </c>
    </row>
    <row r="19" spans="1:6" ht="18.75">
      <c r="A19" s="79" t="s">
        <v>188</v>
      </c>
      <c r="B19" s="79" t="s">
        <v>715</v>
      </c>
      <c r="C19" s="79" t="s">
        <v>266</v>
      </c>
      <c r="D19" s="79" t="s">
        <v>740</v>
      </c>
      <c r="E19" s="79" t="s">
        <v>670</v>
      </c>
      <c r="F19" s="79" t="s">
        <v>856</v>
      </c>
    </row>
    <row r="20" spans="1:6" ht="18.75">
      <c r="A20" s="79" t="s">
        <v>195</v>
      </c>
      <c r="B20" s="79" t="s">
        <v>390</v>
      </c>
      <c r="C20" s="79" t="s">
        <v>4</v>
      </c>
      <c r="D20" s="79" t="s">
        <v>859</v>
      </c>
      <c r="E20" s="79" t="s">
        <v>418</v>
      </c>
      <c r="F20" s="79" t="s">
        <v>857</v>
      </c>
    </row>
    <row r="21" spans="1:6" ht="18.75">
      <c r="A21" s="79" t="s">
        <v>717</v>
      </c>
      <c r="B21" s="79" t="s">
        <v>632</v>
      </c>
      <c r="C21" s="79" t="s">
        <v>439</v>
      </c>
      <c r="D21" s="79" t="s">
        <v>51</v>
      </c>
      <c r="E21" s="79" t="s">
        <v>698</v>
      </c>
      <c r="F21" s="79" t="s">
        <v>798</v>
      </c>
    </row>
    <row r="22" spans="1:6" ht="18.75">
      <c r="A22" s="79" t="s">
        <v>822</v>
      </c>
      <c r="B22" s="79" t="s">
        <v>863</v>
      </c>
      <c r="C22" s="79" t="s">
        <v>737</v>
      </c>
      <c r="D22" s="79" t="s">
        <v>61</v>
      </c>
      <c r="E22" s="79" t="s">
        <v>125</v>
      </c>
      <c r="F22" s="79" t="s">
        <v>162</v>
      </c>
    </row>
    <row r="23" spans="1:6" ht="18.75">
      <c r="A23" s="79" t="s">
        <v>869</v>
      </c>
      <c r="B23" s="79" t="s">
        <v>866</v>
      </c>
      <c r="C23" s="79" t="s">
        <v>862</v>
      </c>
      <c r="D23" s="79" t="s">
        <v>860</v>
      </c>
      <c r="E23" s="79" t="s">
        <v>864</v>
      </c>
      <c r="F23" s="79" t="s">
        <v>783</v>
      </c>
    </row>
    <row r="24" spans="1:6" ht="18.75">
      <c r="A24" s="79" t="s">
        <v>48</v>
      </c>
      <c r="B24" s="1" t="s">
        <v>891</v>
      </c>
      <c r="C24" s="79" t="s">
        <v>646</v>
      </c>
      <c r="D24" s="79" t="s">
        <v>821</v>
      </c>
      <c r="E24" s="79" t="s">
        <v>130</v>
      </c>
      <c r="F24" s="79" t="s">
        <v>176</v>
      </c>
    </row>
    <row r="25" spans="1:6" ht="18.75">
      <c r="A25" s="79" t="s">
        <v>784</v>
      </c>
      <c r="B25" s="79" t="s">
        <v>782</v>
      </c>
      <c r="C25" s="79" t="s">
        <v>647</v>
      </c>
      <c r="D25" s="79" t="s">
        <v>756</v>
      </c>
      <c r="E25" s="79" t="s">
        <v>597</v>
      </c>
      <c r="F25" s="79" t="s">
        <v>540</v>
      </c>
    </row>
    <row r="26" spans="1:6" ht="18.75">
      <c r="A26" s="11" t="s">
        <v>879</v>
      </c>
      <c r="B26" s="79" t="s">
        <v>870</v>
      </c>
      <c r="C26" s="79" t="s">
        <v>738</v>
      </c>
      <c r="D26" s="79" t="s">
        <v>795</v>
      </c>
      <c r="E26" s="79" t="s">
        <v>143</v>
      </c>
      <c r="F26" s="11" t="s">
        <v>892</v>
      </c>
    </row>
    <row r="27" spans="1:6" ht="18.75">
      <c r="A27" s="79" t="s">
        <v>882</v>
      </c>
      <c r="B27" s="79" t="s">
        <v>531</v>
      </c>
      <c r="C27" s="79" t="s">
        <v>755</v>
      </c>
      <c r="D27" s="79" t="s">
        <v>889</v>
      </c>
      <c r="E27" s="79" t="s">
        <v>811</v>
      </c>
      <c r="F27" s="11" t="s">
        <v>881</v>
      </c>
    </row>
    <row r="28" spans="1:6" ht="18.75">
      <c r="A28" s="79" t="s">
        <v>382</v>
      </c>
      <c r="B28" s="79" t="s">
        <v>785</v>
      </c>
      <c r="C28" s="79" t="s">
        <v>875</v>
      </c>
      <c r="D28" s="79" t="s">
        <v>810</v>
      </c>
      <c r="E28" s="79" t="s">
        <v>877</v>
      </c>
      <c r="F28" s="79" t="s">
        <v>812</v>
      </c>
    </row>
    <row r="29" spans="1:6" ht="18.75">
      <c r="A29" s="79" t="s">
        <v>103</v>
      </c>
      <c r="B29" s="11" t="s">
        <v>893</v>
      </c>
      <c r="C29" s="79" t="s">
        <v>43</v>
      </c>
      <c r="D29" s="11" t="s">
        <v>880</v>
      </c>
      <c r="E29" s="79" t="s">
        <v>440</v>
      </c>
      <c r="F29" s="20"/>
    </row>
    <row r="30" spans="1:6" ht="18.75">
      <c r="A30" s="80"/>
      <c r="B30" s="79" t="s">
        <v>716</v>
      </c>
      <c r="C30" s="1"/>
      <c r="D30" s="20"/>
      <c r="E30" s="20"/>
      <c r="F30" s="20"/>
    </row>
    <row r="31" spans="1:6" ht="18.75">
      <c r="A31" s="20"/>
      <c r="B31" s="11" t="s">
        <v>884</v>
      </c>
      <c r="C31" s="20"/>
      <c r="D31" s="20"/>
      <c r="E31" s="20"/>
      <c r="F31" s="20"/>
    </row>
    <row r="32" spans="1:6" ht="18.75">
      <c r="A32" s="20"/>
      <c r="B32" s="79" t="s">
        <v>819</v>
      </c>
      <c r="C32" s="20"/>
      <c r="D32" s="20"/>
      <c r="E32" s="20"/>
      <c r="F32" s="20"/>
    </row>
    <row r="33" spans="1:6" ht="18.75">
      <c r="A33" s="79"/>
      <c r="B33" s="11"/>
      <c r="C33" s="79"/>
      <c r="D33" s="79"/>
      <c r="E33" s="79"/>
      <c r="F33" s="79"/>
    </row>
    <row r="34" spans="1:6" ht="18.75">
      <c r="A34" s="79"/>
      <c r="B34" s="79"/>
      <c r="C34" s="79"/>
      <c r="D34" s="11"/>
      <c r="E34" s="79"/>
      <c r="F34" s="79"/>
    </row>
    <row r="35" spans="1:6" ht="18.75">
      <c r="A35" s="11"/>
      <c r="B35" s="79"/>
      <c r="C35" s="11"/>
      <c r="D35" s="11"/>
      <c r="E35" s="11"/>
      <c r="F35" s="11"/>
    </row>
    <row r="36" spans="1:6" ht="18.75">
      <c r="A36" s="11"/>
      <c r="B36" s="11"/>
      <c r="C36" s="11"/>
      <c r="D36" s="11"/>
      <c r="E36" s="11"/>
      <c r="F36" s="11"/>
    </row>
    <row r="37" spans="1:6" ht="18.75">
      <c r="A37" s="11"/>
      <c r="B37" s="11"/>
      <c r="C37" s="11"/>
      <c r="D37" s="11"/>
      <c r="E37" s="11"/>
      <c r="F37" s="11"/>
    </row>
    <row r="38" spans="1:6" ht="18.75">
      <c r="A38" s="11"/>
      <c r="B38" s="11"/>
      <c r="C38" s="11"/>
      <c r="D38" s="11"/>
      <c r="E38" s="20"/>
      <c r="F38" s="11"/>
    </row>
    <row r="39" spans="1:6">
      <c r="F39">
        <f>SUM(A37:F37)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Names</vt:lpstr>
      <vt:lpstr>Template</vt:lpstr>
      <vt:lpstr>Template2</vt:lpstr>
      <vt:lpstr>formulas</vt:lpstr>
      <vt:lpstr>Chart</vt:lpstr>
      <vt:lpstr>Attendance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waghornr</cp:lastModifiedBy>
  <cp:lastPrinted>2018-02-20T06:23:53Z</cp:lastPrinted>
  <dcterms:created xsi:type="dcterms:W3CDTF">2015-08-24T06:31:50Z</dcterms:created>
  <dcterms:modified xsi:type="dcterms:W3CDTF">2018-06-20T05:50:02Z</dcterms:modified>
</cp:coreProperties>
</file>