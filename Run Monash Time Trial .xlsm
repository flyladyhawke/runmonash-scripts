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6D7BE3D0-9255-6837-6703-DDC3ED590948}"/>
  <workbookPr codeName="ThisWorkbook"/>
  <bookViews>
    <workbookView xWindow="0" yWindow="0" windowWidth="28800" windowHeight="12210"/>
  </bookViews>
  <sheets>
    <sheet name="Names" sheetId="2" r:id="rId1"/>
    <sheet name="Template" sheetId="1" r:id="rId2"/>
    <sheet name="Template2" sheetId="22" r:id="rId3"/>
    <sheet name="formulas" sheetId="21" r:id="rId4"/>
    <sheet name="Chart" sheetId="24" r:id="rId5"/>
  </sheets>
  <definedNames>
    <definedName name="_xlnm._FilterDatabase" localSheetId="0" hidden="1">Names!$A$9:$Z$630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634" i="2"/>
  <c r="AD633"/>
  <c r="AD632"/>
  <c r="AC113"/>
  <c r="AC132"/>
  <c r="AC191"/>
  <c r="AC229"/>
  <c r="AC234"/>
  <c r="AC239"/>
  <c r="AC283"/>
  <c r="AC305"/>
  <c r="AC320"/>
  <c r="AC330"/>
  <c r="AC354"/>
  <c r="AC357"/>
  <c r="AC365"/>
  <c r="AC398"/>
  <c r="AC404"/>
  <c r="AC453"/>
  <c r="AC470"/>
  <c r="AC499"/>
  <c r="AC607"/>
  <c r="AC615"/>
  <c r="AC617"/>
  <c r="AA634"/>
  <c r="AA633"/>
  <c r="AA632"/>
  <c r="Z20"/>
  <c r="AC20" s="1"/>
  <c r="Z29"/>
  <c r="AC29" s="1"/>
  <c r="Z36"/>
  <c r="AC36" s="1"/>
  <c r="Z53"/>
  <c r="AC53" s="1"/>
  <c r="Z66"/>
  <c r="AC66" s="1"/>
  <c r="Z73"/>
  <c r="AC73" s="1"/>
  <c r="Z82"/>
  <c r="AC82" s="1"/>
  <c r="Z94"/>
  <c r="AC94" s="1"/>
  <c r="Z105"/>
  <c r="AC105" s="1"/>
  <c r="Z115"/>
  <c r="AC115" s="1"/>
  <c r="Z143"/>
  <c r="AC143" s="1"/>
  <c r="Z159"/>
  <c r="AC159" s="1"/>
  <c r="Z168"/>
  <c r="AC168" s="1"/>
  <c r="Z170"/>
  <c r="AC170" s="1"/>
  <c r="Z178"/>
  <c r="AC178" s="1"/>
  <c r="Z180"/>
  <c r="AC180" s="1"/>
  <c r="Z184"/>
  <c r="AC184" s="1"/>
  <c r="Z187"/>
  <c r="AC187" s="1"/>
  <c r="Z199"/>
  <c r="AC199" s="1"/>
  <c r="Z200"/>
  <c r="AC200" s="1"/>
  <c r="Z205"/>
  <c r="AC205" s="1"/>
  <c r="Z207"/>
  <c r="AC207" s="1"/>
  <c r="Z223"/>
  <c r="AC223" s="1"/>
  <c r="Z225"/>
  <c r="AC225" s="1"/>
  <c r="Z226"/>
  <c r="AC226" s="1"/>
  <c r="Z228"/>
  <c r="AC228" s="1"/>
  <c r="Z231"/>
  <c r="AC231" s="1"/>
  <c r="Z248"/>
  <c r="AC248" s="1"/>
  <c r="Z263"/>
  <c r="AC263" s="1"/>
  <c r="Z265"/>
  <c r="AC265" s="1"/>
  <c r="Z284"/>
  <c r="AC284" s="1"/>
  <c r="Z285"/>
  <c r="AC285" s="1"/>
  <c r="Z288"/>
  <c r="AC288" s="1"/>
  <c r="Z291"/>
  <c r="AC291" s="1"/>
  <c r="Z293"/>
  <c r="AC293" s="1"/>
  <c r="Z295"/>
  <c r="AC295" s="1"/>
  <c r="Z300"/>
  <c r="AC300" s="1"/>
  <c r="Z302"/>
  <c r="AC302" s="1"/>
  <c r="Z303"/>
  <c r="AC303" s="1"/>
  <c r="Z308"/>
  <c r="AC308" s="1"/>
  <c r="Z312"/>
  <c r="AC312" s="1"/>
  <c r="Z315"/>
  <c r="AC315" s="1"/>
  <c r="Z325"/>
  <c r="AC325" s="1"/>
  <c r="Z326"/>
  <c r="AC326" s="1"/>
  <c r="Z346"/>
  <c r="AC346" s="1"/>
  <c r="Z349"/>
  <c r="AC349" s="1"/>
  <c r="Z358"/>
  <c r="AC358" s="1"/>
  <c r="Z368"/>
  <c r="AC368" s="1"/>
  <c r="Z373"/>
  <c r="AC373" s="1"/>
  <c r="Z395"/>
  <c r="AC395" s="1"/>
  <c r="Z435"/>
  <c r="AC435" s="1"/>
  <c r="Z440"/>
  <c r="AC440" s="1"/>
  <c r="Z445"/>
  <c r="AC445" s="1"/>
  <c r="Z447"/>
  <c r="AC447" s="1"/>
  <c r="Z457"/>
  <c r="AC457" s="1"/>
  <c r="Z458"/>
  <c r="AC458" s="1"/>
  <c r="Z459"/>
  <c r="AC459" s="1"/>
  <c r="Z466"/>
  <c r="AC466" s="1"/>
  <c r="Z467"/>
  <c r="AC467" s="1"/>
  <c r="Z471"/>
  <c r="AC471" s="1"/>
  <c r="Z488"/>
  <c r="AC488" s="1"/>
  <c r="Z492"/>
  <c r="AC492" s="1"/>
  <c r="Z535"/>
  <c r="AC535" s="1"/>
  <c r="Z546"/>
  <c r="AC546" s="1"/>
  <c r="Z557"/>
  <c r="AC557" s="1"/>
  <c r="Z558"/>
  <c r="AC558" s="1"/>
  <c r="Z565"/>
  <c r="AC565" s="1"/>
  <c r="Z579"/>
  <c r="AC579" s="1"/>
  <c r="Z580"/>
  <c r="AC580" s="1"/>
  <c r="Z595"/>
  <c r="AC595" s="1"/>
  <c r="Z597"/>
  <c r="AC597" s="1"/>
  <c r="Z601"/>
  <c r="AC601" s="1"/>
  <c r="Z603"/>
  <c r="AC603" s="1"/>
  <c r="Z604"/>
  <c r="AC604" s="1"/>
  <c r="Z618"/>
  <c r="AC618" s="1"/>
  <c r="Z624"/>
  <c r="AC624" s="1"/>
  <c r="Z629"/>
  <c r="AC629" s="1"/>
  <c r="X634"/>
  <c r="X633"/>
  <c r="X632"/>
  <c r="U634"/>
  <c r="U633"/>
  <c r="W97"/>
  <c r="Z97" s="1"/>
  <c r="AC97" s="1"/>
  <c r="T446"/>
  <c r="W446" s="1"/>
  <c r="Z446" s="1"/>
  <c r="AC446" s="1"/>
  <c r="T18"/>
  <c r="W18" s="1"/>
  <c r="Z18" s="1"/>
  <c r="AC18" s="1"/>
  <c r="T112"/>
  <c r="W112" s="1"/>
  <c r="Z112" s="1"/>
  <c r="AC112" s="1"/>
  <c r="U632"/>
  <c r="T59"/>
  <c r="W59" s="1"/>
  <c r="Z59" s="1"/>
  <c r="AC59" s="1"/>
  <c r="T261"/>
  <c r="W261" s="1"/>
  <c r="Z261" s="1"/>
  <c r="AC261" s="1"/>
  <c r="T250"/>
  <c r="W250" s="1"/>
  <c r="Z250" s="1"/>
  <c r="AC250" s="1"/>
  <c r="T127"/>
  <c r="W127" s="1"/>
  <c r="Z127" s="1"/>
  <c r="AC127" s="1"/>
  <c r="T393"/>
  <c r="W393" s="1"/>
  <c r="Z393" s="1"/>
  <c r="AC393" s="1"/>
  <c r="T418"/>
  <c r="W418" s="1"/>
  <c r="Z418" s="1"/>
  <c r="AC418" s="1"/>
  <c r="T216"/>
  <c r="W216" s="1"/>
  <c r="Z216" s="1"/>
  <c r="AC216" s="1"/>
  <c r="T16"/>
  <c r="W16" s="1"/>
  <c r="Z16" s="1"/>
  <c r="AC16" s="1"/>
  <c r="T83"/>
  <c r="W83" s="1"/>
  <c r="Z83" s="1"/>
  <c r="AC83" s="1"/>
  <c r="T99"/>
  <c r="W99" s="1"/>
  <c r="Z99" s="1"/>
  <c r="AC99" s="1"/>
  <c r="T139"/>
  <c r="W139" s="1"/>
  <c r="Z139" s="1"/>
  <c r="AC139" s="1"/>
  <c r="T255"/>
  <c r="W255" s="1"/>
  <c r="Z255" s="1"/>
  <c r="AC255" s="1"/>
  <c r="T314"/>
  <c r="W314" s="1"/>
  <c r="Z314" s="1"/>
  <c r="AC314" s="1"/>
  <c r="T318"/>
  <c r="W318" s="1"/>
  <c r="Z318" s="1"/>
  <c r="AC318" s="1"/>
  <c r="T319"/>
  <c r="W319" s="1"/>
  <c r="Z319" s="1"/>
  <c r="AC319" s="1"/>
  <c r="T361"/>
  <c r="W361" s="1"/>
  <c r="Z361" s="1"/>
  <c r="AC361" s="1"/>
  <c r="T376"/>
  <c r="W376" s="1"/>
  <c r="Z376" s="1"/>
  <c r="AC376" s="1"/>
  <c r="T394"/>
  <c r="W394" s="1"/>
  <c r="Z394" s="1"/>
  <c r="AC394" s="1"/>
  <c r="T407"/>
  <c r="W407" s="1"/>
  <c r="Z407" s="1"/>
  <c r="AC407" s="1"/>
  <c r="T511"/>
  <c r="W511" s="1"/>
  <c r="Z511" s="1"/>
  <c r="AC511" s="1"/>
  <c r="T514"/>
  <c r="W514" s="1"/>
  <c r="Z514" s="1"/>
  <c r="AC514" s="1"/>
  <c r="T540"/>
  <c r="W540" s="1"/>
  <c r="Z540" s="1"/>
  <c r="AC540" s="1"/>
  <c r="T548"/>
  <c r="W548" s="1"/>
  <c r="Z548" s="1"/>
  <c r="AC548" s="1"/>
  <c r="T574"/>
  <c r="W574" s="1"/>
  <c r="Z574" s="1"/>
  <c r="AC574" s="1"/>
  <c r="T596"/>
  <c r="W596" s="1"/>
  <c r="Z596" s="1"/>
  <c r="AC596" s="1"/>
  <c r="T606"/>
  <c r="W606" s="1"/>
  <c r="Z606" s="1"/>
  <c r="AC606" s="1"/>
  <c r="T620"/>
  <c r="W620" s="1"/>
  <c r="Z620" s="1"/>
  <c r="AC620" s="1"/>
  <c r="T621"/>
  <c r="W621" s="1"/>
  <c r="Z621" s="1"/>
  <c r="AC621" s="1"/>
  <c r="T103"/>
  <c r="W103" s="1"/>
  <c r="Z103" s="1"/>
  <c r="AC103" s="1"/>
  <c r="T321"/>
  <c r="W321" s="1"/>
  <c r="Z321" s="1"/>
  <c r="AC321" s="1"/>
  <c r="T22"/>
  <c r="W22" s="1"/>
  <c r="Z22" s="1"/>
  <c r="AC22" s="1"/>
  <c r="T28"/>
  <c r="W28" s="1"/>
  <c r="Z28" s="1"/>
  <c r="AC28" s="1"/>
  <c r="A21" i="21"/>
  <c r="R634" i="2"/>
  <c r="R633"/>
  <c r="R632"/>
  <c r="Q11"/>
  <c r="T11" s="1"/>
  <c r="W11" s="1"/>
  <c r="Z11" s="1"/>
  <c r="AC11" s="1"/>
  <c r="Q12"/>
  <c r="T12" s="1"/>
  <c r="W12" s="1"/>
  <c r="Z12" s="1"/>
  <c r="AC12" s="1"/>
  <c r="Q13"/>
  <c r="T13" s="1"/>
  <c r="W13" s="1"/>
  <c r="Z13" s="1"/>
  <c r="AC13" s="1"/>
  <c r="Q14"/>
  <c r="T14" s="1"/>
  <c r="W14" s="1"/>
  <c r="Z14" s="1"/>
  <c r="AC14" s="1"/>
  <c r="Q15"/>
  <c r="T15" s="1"/>
  <c r="W15" s="1"/>
  <c r="Z15" s="1"/>
  <c r="AC15" s="1"/>
  <c r="Q17"/>
  <c r="T17" s="1"/>
  <c r="W17" s="1"/>
  <c r="Z17" s="1"/>
  <c r="AC17" s="1"/>
  <c r="Q19"/>
  <c r="T19" s="1"/>
  <c r="W19" s="1"/>
  <c r="Z19" s="1"/>
  <c r="AC19" s="1"/>
  <c r="Q21"/>
  <c r="T21" s="1"/>
  <c r="W21" s="1"/>
  <c r="Z21" s="1"/>
  <c r="AC21" s="1"/>
  <c r="Q23"/>
  <c r="T23" s="1"/>
  <c r="W23" s="1"/>
  <c r="Z23" s="1"/>
  <c r="AC23" s="1"/>
  <c r="Q25"/>
  <c r="T25" s="1"/>
  <c r="W25" s="1"/>
  <c r="Z25" s="1"/>
  <c r="AC25" s="1"/>
  <c r="Q26"/>
  <c r="T26" s="1"/>
  <c r="W26" s="1"/>
  <c r="Z26" s="1"/>
  <c r="AC26" s="1"/>
  <c r="Q27"/>
  <c r="T27" s="1"/>
  <c r="W27" s="1"/>
  <c r="Z27" s="1"/>
  <c r="AC27" s="1"/>
  <c r="Q30"/>
  <c r="T30" s="1"/>
  <c r="W30" s="1"/>
  <c r="Z30" s="1"/>
  <c r="AC30" s="1"/>
  <c r="Q31"/>
  <c r="T31" s="1"/>
  <c r="W31" s="1"/>
  <c r="Z31" s="1"/>
  <c r="AC31" s="1"/>
  <c r="Q32"/>
  <c r="T32" s="1"/>
  <c r="W32" s="1"/>
  <c r="Z32" s="1"/>
  <c r="AC32" s="1"/>
  <c r="Q34"/>
  <c r="T34" s="1"/>
  <c r="W34" s="1"/>
  <c r="Z34" s="1"/>
  <c r="AC34" s="1"/>
  <c r="Q33"/>
  <c r="T33" s="1"/>
  <c r="W33" s="1"/>
  <c r="Z33" s="1"/>
  <c r="AC33" s="1"/>
  <c r="Q35"/>
  <c r="T35" s="1"/>
  <c r="W35" s="1"/>
  <c r="Z35" s="1"/>
  <c r="AC35" s="1"/>
  <c r="Q37"/>
  <c r="T37" s="1"/>
  <c r="W37" s="1"/>
  <c r="Z37" s="1"/>
  <c r="AC37" s="1"/>
  <c r="Q38"/>
  <c r="T38" s="1"/>
  <c r="W38" s="1"/>
  <c r="Z38" s="1"/>
  <c r="AC38" s="1"/>
  <c r="Q39"/>
  <c r="T39" s="1"/>
  <c r="W39" s="1"/>
  <c r="Z39" s="1"/>
  <c r="AC39" s="1"/>
  <c r="Q40"/>
  <c r="T40" s="1"/>
  <c r="W40" s="1"/>
  <c r="Z40" s="1"/>
  <c r="AC40" s="1"/>
  <c r="Q41"/>
  <c r="T41" s="1"/>
  <c r="W41" s="1"/>
  <c r="Z41" s="1"/>
  <c r="AC41" s="1"/>
  <c r="Q42"/>
  <c r="T42" s="1"/>
  <c r="W42" s="1"/>
  <c r="Z42" s="1"/>
  <c r="AC42" s="1"/>
  <c r="Q43"/>
  <c r="T43" s="1"/>
  <c r="W43" s="1"/>
  <c r="Z43" s="1"/>
  <c r="AC43" s="1"/>
  <c r="Q44"/>
  <c r="T44" s="1"/>
  <c r="W44" s="1"/>
  <c r="Z44" s="1"/>
  <c r="AC44" s="1"/>
  <c r="Q45"/>
  <c r="T45" s="1"/>
  <c r="W45" s="1"/>
  <c r="Z45" s="1"/>
  <c r="AC45" s="1"/>
  <c r="Q46"/>
  <c r="T46" s="1"/>
  <c r="W46" s="1"/>
  <c r="Z46" s="1"/>
  <c r="AC46" s="1"/>
  <c r="Q47"/>
  <c r="T47" s="1"/>
  <c r="W47" s="1"/>
  <c r="Z47" s="1"/>
  <c r="AC47" s="1"/>
  <c r="Q48"/>
  <c r="T48" s="1"/>
  <c r="W48" s="1"/>
  <c r="Z48" s="1"/>
  <c r="AC48" s="1"/>
  <c r="Q49"/>
  <c r="T49" s="1"/>
  <c r="W49" s="1"/>
  <c r="Z49" s="1"/>
  <c r="AC49" s="1"/>
  <c r="Q50"/>
  <c r="T50" s="1"/>
  <c r="W50" s="1"/>
  <c r="Z50" s="1"/>
  <c r="AC50" s="1"/>
  <c r="Q51"/>
  <c r="T51" s="1"/>
  <c r="W51" s="1"/>
  <c r="Z51" s="1"/>
  <c r="AC51" s="1"/>
  <c r="Q52"/>
  <c r="T52" s="1"/>
  <c r="W52" s="1"/>
  <c r="Z52" s="1"/>
  <c r="AC52" s="1"/>
  <c r="Q54"/>
  <c r="T54" s="1"/>
  <c r="W54" s="1"/>
  <c r="Z54" s="1"/>
  <c r="AC54" s="1"/>
  <c r="Q55"/>
  <c r="T55" s="1"/>
  <c r="W55" s="1"/>
  <c r="Z55" s="1"/>
  <c r="AC55" s="1"/>
  <c r="Q56"/>
  <c r="T56" s="1"/>
  <c r="W56" s="1"/>
  <c r="Z56" s="1"/>
  <c r="AC56" s="1"/>
  <c r="Q58"/>
  <c r="T58" s="1"/>
  <c r="W58" s="1"/>
  <c r="Z58" s="1"/>
  <c r="AC58" s="1"/>
  <c r="Q60"/>
  <c r="T60" s="1"/>
  <c r="W60" s="1"/>
  <c r="Z60" s="1"/>
  <c r="AC60" s="1"/>
  <c r="Q61"/>
  <c r="T61" s="1"/>
  <c r="W61" s="1"/>
  <c r="Z61" s="1"/>
  <c r="AC61" s="1"/>
  <c r="Q62"/>
  <c r="T62" s="1"/>
  <c r="W62" s="1"/>
  <c r="Z62" s="1"/>
  <c r="AC62" s="1"/>
  <c r="Q63"/>
  <c r="T63" s="1"/>
  <c r="W63" s="1"/>
  <c r="Z63" s="1"/>
  <c r="AC63" s="1"/>
  <c r="Q64"/>
  <c r="T64" s="1"/>
  <c r="W64" s="1"/>
  <c r="Z64" s="1"/>
  <c r="AC64" s="1"/>
  <c r="Q65"/>
  <c r="T65" s="1"/>
  <c r="W65" s="1"/>
  <c r="Z65" s="1"/>
  <c r="AC65" s="1"/>
  <c r="Q67"/>
  <c r="T67" s="1"/>
  <c r="W67" s="1"/>
  <c r="Z67" s="1"/>
  <c r="AC67" s="1"/>
  <c r="Q68"/>
  <c r="T68" s="1"/>
  <c r="W68" s="1"/>
  <c r="Z68" s="1"/>
  <c r="AC68" s="1"/>
  <c r="Q69"/>
  <c r="T69" s="1"/>
  <c r="W69" s="1"/>
  <c r="Z69" s="1"/>
  <c r="AC69" s="1"/>
  <c r="Q70"/>
  <c r="T70" s="1"/>
  <c r="W70" s="1"/>
  <c r="Z70" s="1"/>
  <c r="AC70" s="1"/>
  <c r="Q71"/>
  <c r="T71" s="1"/>
  <c r="W71" s="1"/>
  <c r="Z71" s="1"/>
  <c r="AC71" s="1"/>
  <c r="Q72"/>
  <c r="T72" s="1"/>
  <c r="W72" s="1"/>
  <c r="Z72" s="1"/>
  <c r="AC72" s="1"/>
  <c r="Q74"/>
  <c r="T74" s="1"/>
  <c r="W74" s="1"/>
  <c r="Z74" s="1"/>
  <c r="AC74" s="1"/>
  <c r="Q75"/>
  <c r="T75" s="1"/>
  <c r="W75" s="1"/>
  <c r="Z75" s="1"/>
  <c r="AC75" s="1"/>
  <c r="Q76"/>
  <c r="T76" s="1"/>
  <c r="W76" s="1"/>
  <c r="Z76" s="1"/>
  <c r="AC76" s="1"/>
  <c r="Q77"/>
  <c r="T77" s="1"/>
  <c r="W77" s="1"/>
  <c r="Z77" s="1"/>
  <c r="AC77" s="1"/>
  <c r="Q78"/>
  <c r="T78" s="1"/>
  <c r="W78" s="1"/>
  <c r="Z78" s="1"/>
  <c r="AC78" s="1"/>
  <c r="Q80"/>
  <c r="T80" s="1"/>
  <c r="W80" s="1"/>
  <c r="Z80" s="1"/>
  <c r="AC80" s="1"/>
  <c r="Q81"/>
  <c r="T81" s="1"/>
  <c r="W81" s="1"/>
  <c r="Z81" s="1"/>
  <c r="AC81" s="1"/>
  <c r="Q84"/>
  <c r="T84" s="1"/>
  <c r="W84" s="1"/>
  <c r="Z84" s="1"/>
  <c r="AC84" s="1"/>
  <c r="Q85"/>
  <c r="T85" s="1"/>
  <c r="W85" s="1"/>
  <c r="Z85" s="1"/>
  <c r="AC85" s="1"/>
  <c r="Q86"/>
  <c r="T86" s="1"/>
  <c r="W86" s="1"/>
  <c r="Z86" s="1"/>
  <c r="AC86" s="1"/>
  <c r="Q87"/>
  <c r="T87" s="1"/>
  <c r="W87" s="1"/>
  <c r="Z87" s="1"/>
  <c r="AC87" s="1"/>
  <c r="Q88"/>
  <c r="T88" s="1"/>
  <c r="W88" s="1"/>
  <c r="Z88" s="1"/>
  <c r="AC88" s="1"/>
  <c r="Q89"/>
  <c r="T89" s="1"/>
  <c r="W89" s="1"/>
  <c r="Z89" s="1"/>
  <c r="AC89" s="1"/>
  <c r="Q90"/>
  <c r="T90" s="1"/>
  <c r="W90" s="1"/>
  <c r="Z90" s="1"/>
  <c r="AC90" s="1"/>
  <c r="Q91"/>
  <c r="T91" s="1"/>
  <c r="W91" s="1"/>
  <c r="Z91" s="1"/>
  <c r="AC91" s="1"/>
  <c r="Q92"/>
  <c r="T92" s="1"/>
  <c r="W92" s="1"/>
  <c r="Z92" s="1"/>
  <c r="AC92" s="1"/>
  <c r="Q93"/>
  <c r="T93" s="1"/>
  <c r="W93" s="1"/>
  <c r="Z93" s="1"/>
  <c r="AC93" s="1"/>
  <c r="Q95"/>
  <c r="T95" s="1"/>
  <c r="W95" s="1"/>
  <c r="Z95" s="1"/>
  <c r="AC95" s="1"/>
  <c r="Q96"/>
  <c r="T96" s="1"/>
  <c r="W96" s="1"/>
  <c r="Z96" s="1"/>
  <c r="AC96" s="1"/>
  <c r="Q98"/>
  <c r="T98" s="1"/>
  <c r="W98" s="1"/>
  <c r="Z98" s="1"/>
  <c r="AC98" s="1"/>
  <c r="Q100"/>
  <c r="T100" s="1"/>
  <c r="W100" s="1"/>
  <c r="Z100" s="1"/>
  <c r="AC100" s="1"/>
  <c r="Q101"/>
  <c r="T101" s="1"/>
  <c r="W101" s="1"/>
  <c r="Z101" s="1"/>
  <c r="AC101" s="1"/>
  <c r="Q102"/>
  <c r="T102" s="1"/>
  <c r="W102" s="1"/>
  <c r="Z102" s="1"/>
  <c r="AC102" s="1"/>
  <c r="Q104"/>
  <c r="T104" s="1"/>
  <c r="W104" s="1"/>
  <c r="Z104" s="1"/>
  <c r="AC104" s="1"/>
  <c r="Q107"/>
  <c r="T107" s="1"/>
  <c r="W107" s="1"/>
  <c r="Z107" s="1"/>
  <c r="AC107" s="1"/>
  <c r="Q108"/>
  <c r="T108" s="1"/>
  <c r="W108" s="1"/>
  <c r="Z108" s="1"/>
  <c r="AC108" s="1"/>
  <c r="Q109"/>
  <c r="T109" s="1"/>
  <c r="W109" s="1"/>
  <c r="Z109" s="1"/>
  <c r="AC109" s="1"/>
  <c r="Q110"/>
  <c r="T110" s="1"/>
  <c r="W110" s="1"/>
  <c r="Z110" s="1"/>
  <c r="AC110" s="1"/>
  <c r="Q111"/>
  <c r="T111" s="1"/>
  <c r="W111" s="1"/>
  <c r="Z111" s="1"/>
  <c r="AC111" s="1"/>
  <c r="Q114"/>
  <c r="T114" s="1"/>
  <c r="W114" s="1"/>
  <c r="Z114" s="1"/>
  <c r="AC114" s="1"/>
  <c r="Q116"/>
  <c r="T116" s="1"/>
  <c r="W116" s="1"/>
  <c r="Z116" s="1"/>
  <c r="AC116" s="1"/>
  <c r="Q117"/>
  <c r="T117" s="1"/>
  <c r="W117" s="1"/>
  <c r="Z117" s="1"/>
  <c r="AC117" s="1"/>
  <c r="Q118"/>
  <c r="T118" s="1"/>
  <c r="W118" s="1"/>
  <c r="Z118" s="1"/>
  <c r="AC118" s="1"/>
  <c r="Q119"/>
  <c r="T119" s="1"/>
  <c r="W119" s="1"/>
  <c r="Z119" s="1"/>
  <c r="AC119" s="1"/>
  <c r="Q120"/>
  <c r="T120" s="1"/>
  <c r="W120" s="1"/>
  <c r="Z120" s="1"/>
  <c r="AC120" s="1"/>
  <c r="Q121"/>
  <c r="T121" s="1"/>
  <c r="W121" s="1"/>
  <c r="Z121" s="1"/>
  <c r="AC121" s="1"/>
  <c r="Q122"/>
  <c r="T122" s="1"/>
  <c r="W122" s="1"/>
  <c r="Z122" s="1"/>
  <c r="AC122" s="1"/>
  <c r="Q123"/>
  <c r="T123" s="1"/>
  <c r="W123" s="1"/>
  <c r="Z123" s="1"/>
  <c r="AC123" s="1"/>
  <c r="Q124"/>
  <c r="T124" s="1"/>
  <c r="W124" s="1"/>
  <c r="Z124" s="1"/>
  <c r="AC124" s="1"/>
  <c r="Q125"/>
  <c r="T125" s="1"/>
  <c r="W125" s="1"/>
  <c r="Z125" s="1"/>
  <c r="AC125" s="1"/>
  <c r="Q126"/>
  <c r="T126" s="1"/>
  <c r="W126" s="1"/>
  <c r="Z126" s="1"/>
  <c r="AC126" s="1"/>
  <c r="Q128"/>
  <c r="T128" s="1"/>
  <c r="W128" s="1"/>
  <c r="Z128" s="1"/>
  <c r="AC128" s="1"/>
  <c r="Q129"/>
  <c r="T129" s="1"/>
  <c r="W129" s="1"/>
  <c r="Z129" s="1"/>
  <c r="AC129" s="1"/>
  <c r="Q130"/>
  <c r="T130" s="1"/>
  <c r="W130" s="1"/>
  <c r="Z130" s="1"/>
  <c r="AC130" s="1"/>
  <c r="Q131"/>
  <c r="T131" s="1"/>
  <c r="W131" s="1"/>
  <c r="Z131" s="1"/>
  <c r="AC131" s="1"/>
  <c r="Q133"/>
  <c r="T133" s="1"/>
  <c r="W133" s="1"/>
  <c r="Z133" s="1"/>
  <c r="AC133" s="1"/>
  <c r="Q134"/>
  <c r="T134" s="1"/>
  <c r="W134" s="1"/>
  <c r="Z134" s="1"/>
  <c r="AC134" s="1"/>
  <c r="Q135"/>
  <c r="T135" s="1"/>
  <c r="W135" s="1"/>
  <c r="Z135" s="1"/>
  <c r="AC135" s="1"/>
  <c r="Q136"/>
  <c r="T136" s="1"/>
  <c r="W136" s="1"/>
  <c r="Z136" s="1"/>
  <c r="AC136" s="1"/>
  <c r="Q137"/>
  <c r="T137" s="1"/>
  <c r="W137" s="1"/>
  <c r="Z137" s="1"/>
  <c r="AC137" s="1"/>
  <c r="Q138"/>
  <c r="T138" s="1"/>
  <c r="W138" s="1"/>
  <c r="Z138" s="1"/>
  <c r="AC138" s="1"/>
  <c r="Q140"/>
  <c r="T140" s="1"/>
  <c r="W140" s="1"/>
  <c r="Z140" s="1"/>
  <c r="AC140" s="1"/>
  <c r="Q141"/>
  <c r="T141" s="1"/>
  <c r="W141" s="1"/>
  <c r="Z141" s="1"/>
  <c r="AC141" s="1"/>
  <c r="Q142"/>
  <c r="T142" s="1"/>
  <c r="W142" s="1"/>
  <c r="Z142" s="1"/>
  <c r="AC142" s="1"/>
  <c r="Q144"/>
  <c r="T144" s="1"/>
  <c r="W144" s="1"/>
  <c r="Z144" s="1"/>
  <c r="AC144" s="1"/>
  <c r="Q145"/>
  <c r="T145" s="1"/>
  <c r="W145" s="1"/>
  <c r="Z145" s="1"/>
  <c r="AC145" s="1"/>
  <c r="Q146"/>
  <c r="T146" s="1"/>
  <c r="W146" s="1"/>
  <c r="Z146" s="1"/>
  <c r="AC146" s="1"/>
  <c r="Q147"/>
  <c r="T147" s="1"/>
  <c r="W147" s="1"/>
  <c r="Z147" s="1"/>
  <c r="AC147" s="1"/>
  <c r="Q148"/>
  <c r="T148" s="1"/>
  <c r="W148" s="1"/>
  <c r="Z148" s="1"/>
  <c r="AC148" s="1"/>
  <c r="Q149"/>
  <c r="T149" s="1"/>
  <c r="W149" s="1"/>
  <c r="Z149" s="1"/>
  <c r="AC149" s="1"/>
  <c r="Q150"/>
  <c r="T150" s="1"/>
  <c r="W150" s="1"/>
  <c r="Z150" s="1"/>
  <c r="AC150" s="1"/>
  <c r="Q151"/>
  <c r="T151" s="1"/>
  <c r="W151" s="1"/>
  <c r="Z151" s="1"/>
  <c r="AC151" s="1"/>
  <c r="Q152"/>
  <c r="T152" s="1"/>
  <c r="W152" s="1"/>
  <c r="Z152" s="1"/>
  <c r="AC152" s="1"/>
  <c r="Q153"/>
  <c r="T153" s="1"/>
  <c r="W153" s="1"/>
  <c r="Z153" s="1"/>
  <c r="AC153" s="1"/>
  <c r="Q154"/>
  <c r="T154" s="1"/>
  <c r="W154" s="1"/>
  <c r="Z154" s="1"/>
  <c r="AC154" s="1"/>
  <c r="Q155"/>
  <c r="T155" s="1"/>
  <c r="W155" s="1"/>
  <c r="Z155" s="1"/>
  <c r="AC155" s="1"/>
  <c r="Q156"/>
  <c r="T156" s="1"/>
  <c r="W156" s="1"/>
  <c r="Z156" s="1"/>
  <c r="AC156" s="1"/>
  <c r="Q157"/>
  <c r="T157" s="1"/>
  <c r="W157" s="1"/>
  <c r="Z157" s="1"/>
  <c r="AC157" s="1"/>
  <c r="Q158"/>
  <c r="T158" s="1"/>
  <c r="W158" s="1"/>
  <c r="Z158" s="1"/>
  <c r="AC158" s="1"/>
  <c r="Q160"/>
  <c r="T160" s="1"/>
  <c r="W160" s="1"/>
  <c r="Z160" s="1"/>
  <c r="AC160" s="1"/>
  <c r="Q161"/>
  <c r="T161" s="1"/>
  <c r="W161" s="1"/>
  <c r="Z161" s="1"/>
  <c r="AC161" s="1"/>
  <c r="Q162"/>
  <c r="T162" s="1"/>
  <c r="W162" s="1"/>
  <c r="Z162" s="1"/>
  <c r="AC162" s="1"/>
  <c r="Q163"/>
  <c r="T163" s="1"/>
  <c r="W163" s="1"/>
  <c r="Z163" s="1"/>
  <c r="AC163" s="1"/>
  <c r="Q164"/>
  <c r="T164" s="1"/>
  <c r="W164" s="1"/>
  <c r="Z164" s="1"/>
  <c r="AC164" s="1"/>
  <c r="Q165"/>
  <c r="T165" s="1"/>
  <c r="W165" s="1"/>
  <c r="Z165" s="1"/>
  <c r="AC165" s="1"/>
  <c r="Q166"/>
  <c r="T166" s="1"/>
  <c r="W166" s="1"/>
  <c r="Z166" s="1"/>
  <c r="AC166" s="1"/>
  <c r="Q167"/>
  <c r="T167" s="1"/>
  <c r="W167" s="1"/>
  <c r="Z167" s="1"/>
  <c r="AC167" s="1"/>
  <c r="Q169"/>
  <c r="T169" s="1"/>
  <c r="W169" s="1"/>
  <c r="Z169" s="1"/>
  <c r="AC169" s="1"/>
  <c r="Q171"/>
  <c r="T171" s="1"/>
  <c r="W171" s="1"/>
  <c r="Z171" s="1"/>
  <c r="AC171" s="1"/>
  <c r="Q172"/>
  <c r="T172" s="1"/>
  <c r="W172" s="1"/>
  <c r="Z172" s="1"/>
  <c r="AC172" s="1"/>
  <c r="Q173"/>
  <c r="T173" s="1"/>
  <c r="W173" s="1"/>
  <c r="Z173" s="1"/>
  <c r="AC173" s="1"/>
  <c r="Q174"/>
  <c r="T174" s="1"/>
  <c r="W174" s="1"/>
  <c r="Z174" s="1"/>
  <c r="AC174" s="1"/>
  <c r="Q175"/>
  <c r="T175" s="1"/>
  <c r="W175" s="1"/>
  <c r="Z175" s="1"/>
  <c r="AC175" s="1"/>
  <c r="Q176"/>
  <c r="T176" s="1"/>
  <c r="W176" s="1"/>
  <c r="Z176" s="1"/>
  <c r="AC176" s="1"/>
  <c r="Q177"/>
  <c r="T177" s="1"/>
  <c r="W177" s="1"/>
  <c r="Z177" s="1"/>
  <c r="AC177" s="1"/>
  <c r="Q179"/>
  <c r="T179" s="1"/>
  <c r="W179" s="1"/>
  <c r="Z179" s="1"/>
  <c r="AC179" s="1"/>
  <c r="Q181"/>
  <c r="T181" s="1"/>
  <c r="W181" s="1"/>
  <c r="Z181" s="1"/>
  <c r="AC181" s="1"/>
  <c r="Q182"/>
  <c r="T182" s="1"/>
  <c r="W182" s="1"/>
  <c r="Z182" s="1"/>
  <c r="AC182" s="1"/>
  <c r="Q183"/>
  <c r="T183" s="1"/>
  <c r="W183" s="1"/>
  <c r="Z183" s="1"/>
  <c r="AC183" s="1"/>
  <c r="Q186"/>
  <c r="T186" s="1"/>
  <c r="W186" s="1"/>
  <c r="Z186" s="1"/>
  <c r="AC186" s="1"/>
  <c r="Q188"/>
  <c r="T188" s="1"/>
  <c r="W188" s="1"/>
  <c r="Z188" s="1"/>
  <c r="AC188" s="1"/>
  <c r="Q189"/>
  <c r="T189" s="1"/>
  <c r="W189" s="1"/>
  <c r="Z189" s="1"/>
  <c r="AC189" s="1"/>
  <c r="Q190"/>
  <c r="T190" s="1"/>
  <c r="W190" s="1"/>
  <c r="Z190" s="1"/>
  <c r="AC190" s="1"/>
  <c r="Q192"/>
  <c r="T192" s="1"/>
  <c r="W192" s="1"/>
  <c r="Z192" s="1"/>
  <c r="AC192" s="1"/>
  <c r="Q193"/>
  <c r="T193" s="1"/>
  <c r="W193" s="1"/>
  <c r="Z193" s="1"/>
  <c r="AC193" s="1"/>
  <c r="Q194"/>
  <c r="T194" s="1"/>
  <c r="W194" s="1"/>
  <c r="Z194" s="1"/>
  <c r="AC194" s="1"/>
  <c r="Q195"/>
  <c r="T195" s="1"/>
  <c r="W195" s="1"/>
  <c r="Z195" s="1"/>
  <c r="AC195" s="1"/>
  <c r="Q196"/>
  <c r="T196" s="1"/>
  <c r="W196" s="1"/>
  <c r="Z196" s="1"/>
  <c r="AC196" s="1"/>
  <c r="Q197"/>
  <c r="T197" s="1"/>
  <c r="W197" s="1"/>
  <c r="Z197" s="1"/>
  <c r="AC197" s="1"/>
  <c r="Q198"/>
  <c r="T198" s="1"/>
  <c r="W198" s="1"/>
  <c r="Z198" s="1"/>
  <c r="AC198" s="1"/>
  <c r="Q201"/>
  <c r="T201" s="1"/>
  <c r="W201" s="1"/>
  <c r="Z201" s="1"/>
  <c r="AC201" s="1"/>
  <c r="Q202"/>
  <c r="T202" s="1"/>
  <c r="W202" s="1"/>
  <c r="Z202" s="1"/>
  <c r="AC202" s="1"/>
  <c r="Q203"/>
  <c r="T203" s="1"/>
  <c r="W203" s="1"/>
  <c r="Z203" s="1"/>
  <c r="AC203" s="1"/>
  <c r="Q204"/>
  <c r="T204" s="1"/>
  <c r="W204" s="1"/>
  <c r="Z204" s="1"/>
  <c r="AC204" s="1"/>
  <c r="Q206"/>
  <c r="T206" s="1"/>
  <c r="W206" s="1"/>
  <c r="Z206" s="1"/>
  <c r="AC206" s="1"/>
  <c r="Q209"/>
  <c r="T209" s="1"/>
  <c r="W209" s="1"/>
  <c r="Z209" s="1"/>
  <c r="AC209" s="1"/>
  <c r="Q210"/>
  <c r="T210" s="1"/>
  <c r="W210" s="1"/>
  <c r="Z210" s="1"/>
  <c r="AC210" s="1"/>
  <c r="Q211"/>
  <c r="T211" s="1"/>
  <c r="W211" s="1"/>
  <c r="Z211" s="1"/>
  <c r="AC211" s="1"/>
  <c r="Q212"/>
  <c r="T212" s="1"/>
  <c r="W212" s="1"/>
  <c r="Z212" s="1"/>
  <c r="AC212" s="1"/>
  <c r="Q213"/>
  <c r="T213" s="1"/>
  <c r="W213" s="1"/>
  <c r="Z213" s="1"/>
  <c r="AC213" s="1"/>
  <c r="Q214"/>
  <c r="T214" s="1"/>
  <c r="W214" s="1"/>
  <c r="Z214" s="1"/>
  <c r="AC214" s="1"/>
  <c r="Q215"/>
  <c r="T215" s="1"/>
  <c r="W215" s="1"/>
  <c r="Z215" s="1"/>
  <c r="AC215" s="1"/>
  <c r="Q217"/>
  <c r="T217" s="1"/>
  <c r="W217" s="1"/>
  <c r="Z217" s="1"/>
  <c r="AC217" s="1"/>
  <c r="Q218"/>
  <c r="T218" s="1"/>
  <c r="W218" s="1"/>
  <c r="Z218" s="1"/>
  <c r="AC218" s="1"/>
  <c r="Q221"/>
  <c r="T221" s="1"/>
  <c r="W221" s="1"/>
  <c r="Z221" s="1"/>
  <c r="AC221" s="1"/>
  <c r="Q219"/>
  <c r="T219" s="1"/>
  <c r="W219" s="1"/>
  <c r="Z219" s="1"/>
  <c r="AC219" s="1"/>
  <c r="Q220"/>
  <c r="T220" s="1"/>
  <c r="W220" s="1"/>
  <c r="Z220" s="1"/>
  <c r="AC220" s="1"/>
  <c r="Q222"/>
  <c r="T222" s="1"/>
  <c r="W222" s="1"/>
  <c r="Z222" s="1"/>
  <c r="AC222" s="1"/>
  <c r="Q224"/>
  <c r="T224" s="1"/>
  <c r="W224" s="1"/>
  <c r="Z224" s="1"/>
  <c r="AC224" s="1"/>
  <c r="Q227"/>
  <c r="T227" s="1"/>
  <c r="W227" s="1"/>
  <c r="Z227" s="1"/>
  <c r="AC227" s="1"/>
  <c r="Q230"/>
  <c r="T230" s="1"/>
  <c r="W230" s="1"/>
  <c r="Z230" s="1"/>
  <c r="AC230" s="1"/>
  <c r="Q232"/>
  <c r="T232" s="1"/>
  <c r="W232" s="1"/>
  <c r="Z232" s="1"/>
  <c r="AC232" s="1"/>
  <c r="Q233"/>
  <c r="T233" s="1"/>
  <c r="W233" s="1"/>
  <c r="Z233" s="1"/>
  <c r="AC233" s="1"/>
  <c r="Q235"/>
  <c r="T235" s="1"/>
  <c r="W235" s="1"/>
  <c r="Z235" s="1"/>
  <c r="AC235" s="1"/>
  <c r="Q236"/>
  <c r="T236" s="1"/>
  <c r="W236" s="1"/>
  <c r="Z236" s="1"/>
  <c r="AC236" s="1"/>
  <c r="Q237"/>
  <c r="T237" s="1"/>
  <c r="W237" s="1"/>
  <c r="Z237" s="1"/>
  <c r="AC237" s="1"/>
  <c r="Q238"/>
  <c r="T238" s="1"/>
  <c r="W238" s="1"/>
  <c r="Z238" s="1"/>
  <c r="AC238" s="1"/>
  <c r="Q240"/>
  <c r="T240" s="1"/>
  <c r="W240" s="1"/>
  <c r="Z240" s="1"/>
  <c r="AC240" s="1"/>
  <c r="Q241"/>
  <c r="T241" s="1"/>
  <c r="W241" s="1"/>
  <c r="Z241" s="1"/>
  <c r="AC241" s="1"/>
  <c r="Q242"/>
  <c r="T242" s="1"/>
  <c r="W242" s="1"/>
  <c r="Z242" s="1"/>
  <c r="AC242" s="1"/>
  <c r="Q243"/>
  <c r="T243" s="1"/>
  <c r="W243" s="1"/>
  <c r="Z243" s="1"/>
  <c r="AC243" s="1"/>
  <c r="Q244"/>
  <c r="T244" s="1"/>
  <c r="W244" s="1"/>
  <c r="Z244" s="1"/>
  <c r="AC244" s="1"/>
  <c r="Q245"/>
  <c r="T245" s="1"/>
  <c r="W245" s="1"/>
  <c r="Z245" s="1"/>
  <c r="AC245" s="1"/>
  <c r="Q246"/>
  <c r="T246" s="1"/>
  <c r="W246" s="1"/>
  <c r="Z246" s="1"/>
  <c r="AC246" s="1"/>
  <c r="Q247"/>
  <c r="T247" s="1"/>
  <c r="W247" s="1"/>
  <c r="Z247" s="1"/>
  <c r="AC247" s="1"/>
  <c r="Q249"/>
  <c r="T249" s="1"/>
  <c r="W249" s="1"/>
  <c r="Z249" s="1"/>
  <c r="AC249" s="1"/>
  <c r="Q251"/>
  <c r="T251" s="1"/>
  <c r="W251" s="1"/>
  <c r="Z251" s="1"/>
  <c r="AC251" s="1"/>
  <c r="Q252"/>
  <c r="T252" s="1"/>
  <c r="W252" s="1"/>
  <c r="Z252" s="1"/>
  <c r="AC252" s="1"/>
  <c r="Q253"/>
  <c r="T253" s="1"/>
  <c r="W253" s="1"/>
  <c r="Z253" s="1"/>
  <c r="AC253" s="1"/>
  <c r="Q254"/>
  <c r="T254" s="1"/>
  <c r="W254" s="1"/>
  <c r="Z254" s="1"/>
  <c r="AC254" s="1"/>
  <c r="Q256"/>
  <c r="T256" s="1"/>
  <c r="W256" s="1"/>
  <c r="Z256" s="1"/>
  <c r="AC256" s="1"/>
  <c r="Q258"/>
  <c r="T258" s="1"/>
  <c r="W258" s="1"/>
  <c r="Z258" s="1"/>
  <c r="AC258" s="1"/>
  <c r="Q259"/>
  <c r="T259" s="1"/>
  <c r="W259" s="1"/>
  <c r="Z259" s="1"/>
  <c r="AC259" s="1"/>
  <c r="Q260"/>
  <c r="T260" s="1"/>
  <c r="W260" s="1"/>
  <c r="Z260" s="1"/>
  <c r="AC260" s="1"/>
  <c r="Q262"/>
  <c r="T262" s="1"/>
  <c r="W262" s="1"/>
  <c r="Z262" s="1"/>
  <c r="AC262" s="1"/>
  <c r="Q264"/>
  <c r="T264" s="1"/>
  <c r="W264" s="1"/>
  <c r="Z264" s="1"/>
  <c r="AC264" s="1"/>
  <c r="Q266"/>
  <c r="T266" s="1"/>
  <c r="W266" s="1"/>
  <c r="Z266" s="1"/>
  <c r="AC266" s="1"/>
  <c r="Q267"/>
  <c r="T267" s="1"/>
  <c r="W267" s="1"/>
  <c r="Z267" s="1"/>
  <c r="AC267" s="1"/>
  <c r="Q268"/>
  <c r="T268" s="1"/>
  <c r="W268" s="1"/>
  <c r="Z268" s="1"/>
  <c r="AC268" s="1"/>
  <c r="Q269"/>
  <c r="T269" s="1"/>
  <c r="W269" s="1"/>
  <c r="Z269" s="1"/>
  <c r="AC269" s="1"/>
  <c r="Q270"/>
  <c r="T270" s="1"/>
  <c r="W270" s="1"/>
  <c r="Z270" s="1"/>
  <c r="AC270" s="1"/>
  <c r="Q271"/>
  <c r="T271" s="1"/>
  <c r="W271" s="1"/>
  <c r="Z271" s="1"/>
  <c r="AC271" s="1"/>
  <c r="Q272"/>
  <c r="T272" s="1"/>
  <c r="W272" s="1"/>
  <c r="Z272" s="1"/>
  <c r="AC272" s="1"/>
  <c r="Q273"/>
  <c r="T273" s="1"/>
  <c r="W273" s="1"/>
  <c r="Z273" s="1"/>
  <c r="AC273" s="1"/>
  <c r="Q274"/>
  <c r="T274" s="1"/>
  <c r="W274" s="1"/>
  <c r="Z274" s="1"/>
  <c r="AC274" s="1"/>
  <c r="Q275"/>
  <c r="T275" s="1"/>
  <c r="W275" s="1"/>
  <c r="Z275" s="1"/>
  <c r="AC275" s="1"/>
  <c r="Q276"/>
  <c r="T276" s="1"/>
  <c r="W276" s="1"/>
  <c r="Z276" s="1"/>
  <c r="AC276" s="1"/>
  <c r="Q277"/>
  <c r="T277" s="1"/>
  <c r="W277" s="1"/>
  <c r="Z277" s="1"/>
  <c r="AC277" s="1"/>
  <c r="Q278"/>
  <c r="T278" s="1"/>
  <c r="W278" s="1"/>
  <c r="Z278" s="1"/>
  <c r="AC278" s="1"/>
  <c r="Q279"/>
  <c r="T279" s="1"/>
  <c r="W279" s="1"/>
  <c r="Z279" s="1"/>
  <c r="AC279" s="1"/>
  <c r="Q280"/>
  <c r="T280" s="1"/>
  <c r="W280" s="1"/>
  <c r="Z280" s="1"/>
  <c r="AC280" s="1"/>
  <c r="Q281"/>
  <c r="T281" s="1"/>
  <c r="W281" s="1"/>
  <c r="Z281" s="1"/>
  <c r="AC281" s="1"/>
  <c r="Q282"/>
  <c r="T282" s="1"/>
  <c r="W282" s="1"/>
  <c r="Z282" s="1"/>
  <c r="AC282" s="1"/>
  <c r="Q286"/>
  <c r="T286" s="1"/>
  <c r="W286" s="1"/>
  <c r="Z286" s="1"/>
  <c r="AC286" s="1"/>
  <c r="Q287"/>
  <c r="T287" s="1"/>
  <c r="W287" s="1"/>
  <c r="Z287" s="1"/>
  <c r="AC287" s="1"/>
  <c r="Q289"/>
  <c r="T289" s="1"/>
  <c r="W289" s="1"/>
  <c r="Z289" s="1"/>
  <c r="AC289" s="1"/>
  <c r="Q290"/>
  <c r="T290" s="1"/>
  <c r="W290" s="1"/>
  <c r="Z290" s="1"/>
  <c r="AC290" s="1"/>
  <c r="Q292"/>
  <c r="T292" s="1"/>
  <c r="W292" s="1"/>
  <c r="Z292" s="1"/>
  <c r="AC292" s="1"/>
  <c r="Q294"/>
  <c r="T294" s="1"/>
  <c r="W294" s="1"/>
  <c r="Z294" s="1"/>
  <c r="AC294" s="1"/>
  <c r="Q296"/>
  <c r="T296" s="1"/>
  <c r="W296" s="1"/>
  <c r="Z296" s="1"/>
  <c r="AC296" s="1"/>
  <c r="Q297"/>
  <c r="T297" s="1"/>
  <c r="W297" s="1"/>
  <c r="Z297" s="1"/>
  <c r="AC297" s="1"/>
  <c r="Q298"/>
  <c r="T298" s="1"/>
  <c r="W298" s="1"/>
  <c r="Z298" s="1"/>
  <c r="AC298" s="1"/>
  <c r="Q299"/>
  <c r="T299" s="1"/>
  <c r="W299" s="1"/>
  <c r="Z299" s="1"/>
  <c r="AC299" s="1"/>
  <c r="Q301"/>
  <c r="T301" s="1"/>
  <c r="W301" s="1"/>
  <c r="Z301" s="1"/>
  <c r="AC301" s="1"/>
  <c r="Q304"/>
  <c r="T304" s="1"/>
  <c r="W304" s="1"/>
  <c r="Z304" s="1"/>
  <c r="AC304" s="1"/>
  <c r="Q306"/>
  <c r="T306" s="1"/>
  <c r="W306" s="1"/>
  <c r="Z306" s="1"/>
  <c r="AC306" s="1"/>
  <c r="Q307"/>
  <c r="T307" s="1"/>
  <c r="W307" s="1"/>
  <c r="Z307" s="1"/>
  <c r="AC307" s="1"/>
  <c r="Q309"/>
  <c r="T309" s="1"/>
  <c r="W309" s="1"/>
  <c r="Z309" s="1"/>
  <c r="AC309" s="1"/>
  <c r="Q310"/>
  <c r="T310" s="1"/>
  <c r="W310" s="1"/>
  <c r="Z310" s="1"/>
  <c r="AC310" s="1"/>
  <c r="Q311"/>
  <c r="T311" s="1"/>
  <c r="W311" s="1"/>
  <c r="Z311" s="1"/>
  <c r="AC311" s="1"/>
  <c r="Q313"/>
  <c r="T313" s="1"/>
  <c r="W313" s="1"/>
  <c r="Z313" s="1"/>
  <c r="AC313" s="1"/>
  <c r="Q316"/>
  <c r="T316" s="1"/>
  <c r="W316" s="1"/>
  <c r="Z316" s="1"/>
  <c r="AC316" s="1"/>
  <c r="Q317"/>
  <c r="T317" s="1"/>
  <c r="W317" s="1"/>
  <c r="Z317" s="1"/>
  <c r="AC317" s="1"/>
  <c r="Q322"/>
  <c r="T322" s="1"/>
  <c r="W322" s="1"/>
  <c r="Z322" s="1"/>
  <c r="AC322" s="1"/>
  <c r="Q323"/>
  <c r="T323" s="1"/>
  <c r="W323" s="1"/>
  <c r="Z323" s="1"/>
  <c r="AC323" s="1"/>
  <c r="Q324"/>
  <c r="T324" s="1"/>
  <c r="W324" s="1"/>
  <c r="Z324" s="1"/>
  <c r="AC324" s="1"/>
  <c r="Q327"/>
  <c r="T327" s="1"/>
  <c r="W327" s="1"/>
  <c r="Z327" s="1"/>
  <c r="AC327" s="1"/>
  <c r="Q328"/>
  <c r="T328" s="1"/>
  <c r="W328" s="1"/>
  <c r="Z328" s="1"/>
  <c r="AC328" s="1"/>
  <c r="Q329"/>
  <c r="T329" s="1"/>
  <c r="W329" s="1"/>
  <c r="Z329" s="1"/>
  <c r="AC329" s="1"/>
  <c r="Q331"/>
  <c r="T331" s="1"/>
  <c r="W331" s="1"/>
  <c r="Z331" s="1"/>
  <c r="AC331" s="1"/>
  <c r="Q332"/>
  <c r="T332" s="1"/>
  <c r="W332" s="1"/>
  <c r="Z332" s="1"/>
  <c r="AC332" s="1"/>
  <c r="Q333"/>
  <c r="T333" s="1"/>
  <c r="W333" s="1"/>
  <c r="Z333" s="1"/>
  <c r="AC333" s="1"/>
  <c r="Q334"/>
  <c r="T334" s="1"/>
  <c r="W334" s="1"/>
  <c r="Z334" s="1"/>
  <c r="AC334" s="1"/>
  <c r="Q335"/>
  <c r="T335" s="1"/>
  <c r="W335" s="1"/>
  <c r="Z335" s="1"/>
  <c r="AC335" s="1"/>
  <c r="Q336"/>
  <c r="T336" s="1"/>
  <c r="W336" s="1"/>
  <c r="Z336" s="1"/>
  <c r="AC336" s="1"/>
  <c r="Q337"/>
  <c r="T337" s="1"/>
  <c r="W337" s="1"/>
  <c r="Z337" s="1"/>
  <c r="AC337" s="1"/>
  <c r="Q338"/>
  <c r="T338" s="1"/>
  <c r="W338" s="1"/>
  <c r="Z338" s="1"/>
  <c r="AC338" s="1"/>
  <c r="Q339"/>
  <c r="T339" s="1"/>
  <c r="W339" s="1"/>
  <c r="Z339" s="1"/>
  <c r="AC339" s="1"/>
  <c r="Q340"/>
  <c r="T340" s="1"/>
  <c r="W340" s="1"/>
  <c r="Z340" s="1"/>
  <c r="AC340" s="1"/>
  <c r="Q341"/>
  <c r="T341" s="1"/>
  <c r="W341" s="1"/>
  <c r="Z341" s="1"/>
  <c r="AC341" s="1"/>
  <c r="Q342"/>
  <c r="T342" s="1"/>
  <c r="W342" s="1"/>
  <c r="Z342" s="1"/>
  <c r="AC342" s="1"/>
  <c r="Q343"/>
  <c r="T343" s="1"/>
  <c r="W343" s="1"/>
  <c r="Z343" s="1"/>
  <c r="AC343" s="1"/>
  <c r="Q344"/>
  <c r="T344" s="1"/>
  <c r="W344" s="1"/>
  <c r="Z344" s="1"/>
  <c r="AC344" s="1"/>
  <c r="Q345"/>
  <c r="T345" s="1"/>
  <c r="W345" s="1"/>
  <c r="Z345" s="1"/>
  <c r="AC345" s="1"/>
  <c r="Q347"/>
  <c r="T347" s="1"/>
  <c r="W347" s="1"/>
  <c r="Z347" s="1"/>
  <c r="AC347" s="1"/>
  <c r="Q348"/>
  <c r="T348" s="1"/>
  <c r="W348" s="1"/>
  <c r="Z348" s="1"/>
  <c r="AC348" s="1"/>
  <c r="Q350"/>
  <c r="T350" s="1"/>
  <c r="W350" s="1"/>
  <c r="Z350" s="1"/>
  <c r="AC350" s="1"/>
  <c r="Q351"/>
  <c r="T351" s="1"/>
  <c r="W351" s="1"/>
  <c r="Z351" s="1"/>
  <c r="AC351" s="1"/>
  <c r="Q352"/>
  <c r="T352" s="1"/>
  <c r="W352" s="1"/>
  <c r="Z352" s="1"/>
  <c r="AC352" s="1"/>
  <c r="Q353"/>
  <c r="T353" s="1"/>
  <c r="W353" s="1"/>
  <c r="Z353" s="1"/>
  <c r="AC353" s="1"/>
  <c r="Q355"/>
  <c r="T355" s="1"/>
  <c r="W355" s="1"/>
  <c r="Z355" s="1"/>
  <c r="AC355" s="1"/>
  <c r="Q356"/>
  <c r="T356" s="1"/>
  <c r="W356" s="1"/>
  <c r="Z356" s="1"/>
  <c r="AC356" s="1"/>
  <c r="Q359"/>
  <c r="T359" s="1"/>
  <c r="W359" s="1"/>
  <c r="Z359" s="1"/>
  <c r="AC359" s="1"/>
  <c r="Q360"/>
  <c r="T360" s="1"/>
  <c r="W360" s="1"/>
  <c r="Z360" s="1"/>
  <c r="AC360" s="1"/>
  <c r="Q362"/>
  <c r="T362" s="1"/>
  <c r="W362" s="1"/>
  <c r="Z362" s="1"/>
  <c r="AC362" s="1"/>
  <c r="Q363"/>
  <c r="T363" s="1"/>
  <c r="W363" s="1"/>
  <c r="Z363" s="1"/>
  <c r="AC363" s="1"/>
  <c r="Q364"/>
  <c r="T364" s="1"/>
  <c r="W364" s="1"/>
  <c r="Z364" s="1"/>
  <c r="AC364" s="1"/>
  <c r="Q366"/>
  <c r="T366" s="1"/>
  <c r="W366" s="1"/>
  <c r="Z366" s="1"/>
  <c r="AC366" s="1"/>
  <c r="Q367"/>
  <c r="T367" s="1"/>
  <c r="W367" s="1"/>
  <c r="Z367" s="1"/>
  <c r="AC367" s="1"/>
  <c r="Q369"/>
  <c r="T369" s="1"/>
  <c r="W369" s="1"/>
  <c r="Z369" s="1"/>
  <c r="AC369" s="1"/>
  <c r="Q370"/>
  <c r="T370" s="1"/>
  <c r="W370" s="1"/>
  <c r="Z370" s="1"/>
  <c r="AC370" s="1"/>
  <c r="Q371"/>
  <c r="T371" s="1"/>
  <c r="W371" s="1"/>
  <c r="Z371" s="1"/>
  <c r="AC371" s="1"/>
  <c r="Q372"/>
  <c r="T372" s="1"/>
  <c r="W372" s="1"/>
  <c r="Z372" s="1"/>
  <c r="AC372" s="1"/>
  <c r="Q375"/>
  <c r="T375" s="1"/>
  <c r="W375" s="1"/>
  <c r="Z375" s="1"/>
  <c r="AC375" s="1"/>
  <c r="Q378"/>
  <c r="T378" s="1"/>
  <c r="W378" s="1"/>
  <c r="Z378" s="1"/>
  <c r="AC378" s="1"/>
  <c r="Q377"/>
  <c r="T377" s="1"/>
  <c r="W377" s="1"/>
  <c r="Z377" s="1"/>
  <c r="AC377" s="1"/>
  <c r="Q379"/>
  <c r="T379" s="1"/>
  <c r="W379" s="1"/>
  <c r="Z379" s="1"/>
  <c r="AC379" s="1"/>
  <c r="Q380"/>
  <c r="T380" s="1"/>
  <c r="W380" s="1"/>
  <c r="Z380" s="1"/>
  <c r="AC380" s="1"/>
  <c r="Q381"/>
  <c r="T381" s="1"/>
  <c r="W381" s="1"/>
  <c r="Z381" s="1"/>
  <c r="AC381" s="1"/>
  <c r="Q382"/>
  <c r="T382" s="1"/>
  <c r="W382" s="1"/>
  <c r="Z382" s="1"/>
  <c r="AC382" s="1"/>
  <c r="Q383"/>
  <c r="T383" s="1"/>
  <c r="W383" s="1"/>
  <c r="Z383" s="1"/>
  <c r="AC383" s="1"/>
  <c r="Q384"/>
  <c r="T384" s="1"/>
  <c r="W384" s="1"/>
  <c r="Z384" s="1"/>
  <c r="AC384" s="1"/>
  <c r="Q385"/>
  <c r="T385" s="1"/>
  <c r="W385" s="1"/>
  <c r="Z385" s="1"/>
  <c r="AC385" s="1"/>
  <c r="Q386"/>
  <c r="T386" s="1"/>
  <c r="W386" s="1"/>
  <c r="Z386" s="1"/>
  <c r="AC386" s="1"/>
  <c r="Q387"/>
  <c r="T387" s="1"/>
  <c r="W387" s="1"/>
  <c r="Z387" s="1"/>
  <c r="AC387" s="1"/>
  <c r="Q388"/>
  <c r="T388" s="1"/>
  <c r="W388" s="1"/>
  <c r="Z388" s="1"/>
  <c r="AC388" s="1"/>
  <c r="Q389"/>
  <c r="T389" s="1"/>
  <c r="W389" s="1"/>
  <c r="Z389" s="1"/>
  <c r="AC389" s="1"/>
  <c r="Q390"/>
  <c r="T390" s="1"/>
  <c r="W390" s="1"/>
  <c r="Z390" s="1"/>
  <c r="AC390" s="1"/>
  <c r="Q391"/>
  <c r="T391" s="1"/>
  <c r="W391" s="1"/>
  <c r="Z391" s="1"/>
  <c r="AC391" s="1"/>
  <c r="Q392"/>
  <c r="T392" s="1"/>
  <c r="W392" s="1"/>
  <c r="Z392" s="1"/>
  <c r="AC392" s="1"/>
  <c r="Q396"/>
  <c r="T396" s="1"/>
  <c r="W396" s="1"/>
  <c r="Z396" s="1"/>
  <c r="AC396" s="1"/>
  <c r="Q397"/>
  <c r="T397" s="1"/>
  <c r="W397" s="1"/>
  <c r="Z397" s="1"/>
  <c r="AC397" s="1"/>
  <c r="Q399"/>
  <c r="T399" s="1"/>
  <c r="W399" s="1"/>
  <c r="Z399" s="1"/>
  <c r="AC399" s="1"/>
  <c r="Q400"/>
  <c r="T400" s="1"/>
  <c r="W400" s="1"/>
  <c r="Z400" s="1"/>
  <c r="AC400" s="1"/>
  <c r="Q401"/>
  <c r="T401" s="1"/>
  <c r="W401" s="1"/>
  <c r="Z401" s="1"/>
  <c r="AC401" s="1"/>
  <c r="Q402"/>
  <c r="T402" s="1"/>
  <c r="W402" s="1"/>
  <c r="Z402" s="1"/>
  <c r="AC402" s="1"/>
  <c r="Q403"/>
  <c r="T403" s="1"/>
  <c r="W403" s="1"/>
  <c r="Z403" s="1"/>
  <c r="AC403" s="1"/>
  <c r="Q405"/>
  <c r="T405" s="1"/>
  <c r="W405" s="1"/>
  <c r="Z405" s="1"/>
  <c r="AC405" s="1"/>
  <c r="Q406"/>
  <c r="T406" s="1"/>
  <c r="W406" s="1"/>
  <c r="Z406" s="1"/>
  <c r="AC406" s="1"/>
  <c r="Q408"/>
  <c r="T408" s="1"/>
  <c r="W408" s="1"/>
  <c r="Z408" s="1"/>
  <c r="AC408" s="1"/>
  <c r="Q409"/>
  <c r="T409" s="1"/>
  <c r="W409" s="1"/>
  <c r="Z409" s="1"/>
  <c r="AC409" s="1"/>
  <c r="Q410"/>
  <c r="T410" s="1"/>
  <c r="W410" s="1"/>
  <c r="Z410" s="1"/>
  <c r="AC410" s="1"/>
  <c r="Q411"/>
  <c r="T411" s="1"/>
  <c r="W411" s="1"/>
  <c r="Z411" s="1"/>
  <c r="AC411" s="1"/>
  <c r="Q412"/>
  <c r="T412" s="1"/>
  <c r="W412" s="1"/>
  <c r="Z412" s="1"/>
  <c r="AC412" s="1"/>
  <c r="Q413"/>
  <c r="T413" s="1"/>
  <c r="W413" s="1"/>
  <c r="Z413" s="1"/>
  <c r="AC413" s="1"/>
  <c r="Q414"/>
  <c r="T414" s="1"/>
  <c r="W414" s="1"/>
  <c r="Z414" s="1"/>
  <c r="AC414" s="1"/>
  <c r="Q415"/>
  <c r="T415" s="1"/>
  <c r="W415" s="1"/>
  <c r="Z415" s="1"/>
  <c r="AC415" s="1"/>
  <c r="Q416"/>
  <c r="T416" s="1"/>
  <c r="W416" s="1"/>
  <c r="Z416" s="1"/>
  <c r="AC416" s="1"/>
  <c r="Q417"/>
  <c r="T417" s="1"/>
  <c r="W417" s="1"/>
  <c r="Z417" s="1"/>
  <c r="AC417" s="1"/>
  <c r="Q419"/>
  <c r="T419" s="1"/>
  <c r="W419" s="1"/>
  <c r="Z419" s="1"/>
  <c r="AC419" s="1"/>
  <c r="Q420"/>
  <c r="T420" s="1"/>
  <c r="W420" s="1"/>
  <c r="Z420" s="1"/>
  <c r="AC420" s="1"/>
  <c r="Q421"/>
  <c r="T421" s="1"/>
  <c r="W421" s="1"/>
  <c r="Z421" s="1"/>
  <c r="AC421" s="1"/>
  <c r="Q422"/>
  <c r="T422" s="1"/>
  <c r="W422" s="1"/>
  <c r="Z422" s="1"/>
  <c r="AC422" s="1"/>
  <c r="Q424"/>
  <c r="T424" s="1"/>
  <c r="W424" s="1"/>
  <c r="Z424" s="1"/>
  <c r="AC424" s="1"/>
  <c r="Q425"/>
  <c r="T425" s="1"/>
  <c r="W425" s="1"/>
  <c r="Z425" s="1"/>
  <c r="AC425" s="1"/>
  <c r="Q423"/>
  <c r="T423" s="1"/>
  <c r="W423" s="1"/>
  <c r="Z423" s="1"/>
  <c r="AC423" s="1"/>
  <c r="Q426"/>
  <c r="T426" s="1"/>
  <c r="W426" s="1"/>
  <c r="Z426" s="1"/>
  <c r="AC426" s="1"/>
  <c r="Q427"/>
  <c r="T427" s="1"/>
  <c r="W427" s="1"/>
  <c r="Z427" s="1"/>
  <c r="AC427" s="1"/>
  <c r="Q428"/>
  <c r="T428" s="1"/>
  <c r="W428" s="1"/>
  <c r="Z428" s="1"/>
  <c r="AC428" s="1"/>
  <c r="Q429"/>
  <c r="T429" s="1"/>
  <c r="W429" s="1"/>
  <c r="Z429" s="1"/>
  <c r="AC429" s="1"/>
  <c r="Q430"/>
  <c r="T430" s="1"/>
  <c r="W430" s="1"/>
  <c r="Z430" s="1"/>
  <c r="AC430" s="1"/>
  <c r="Q431"/>
  <c r="T431" s="1"/>
  <c r="W431" s="1"/>
  <c r="Z431" s="1"/>
  <c r="AC431" s="1"/>
  <c r="Q432"/>
  <c r="T432" s="1"/>
  <c r="W432" s="1"/>
  <c r="Z432" s="1"/>
  <c r="AC432" s="1"/>
  <c r="Q433"/>
  <c r="T433" s="1"/>
  <c r="W433" s="1"/>
  <c r="Z433" s="1"/>
  <c r="AC433" s="1"/>
  <c r="Q434"/>
  <c r="T434" s="1"/>
  <c r="W434" s="1"/>
  <c r="Z434" s="1"/>
  <c r="AC434" s="1"/>
  <c r="Q436"/>
  <c r="T436" s="1"/>
  <c r="W436" s="1"/>
  <c r="Z436" s="1"/>
  <c r="AC436" s="1"/>
  <c r="Q437"/>
  <c r="T437" s="1"/>
  <c r="W437" s="1"/>
  <c r="Z437" s="1"/>
  <c r="AC437" s="1"/>
  <c r="Q438"/>
  <c r="T438" s="1"/>
  <c r="W438" s="1"/>
  <c r="Z438" s="1"/>
  <c r="AC438" s="1"/>
  <c r="Q439"/>
  <c r="T439" s="1"/>
  <c r="W439" s="1"/>
  <c r="Z439" s="1"/>
  <c r="AC439" s="1"/>
  <c r="Q441"/>
  <c r="T441" s="1"/>
  <c r="W441" s="1"/>
  <c r="Z441" s="1"/>
  <c r="AC441" s="1"/>
  <c r="Q442"/>
  <c r="T442" s="1"/>
  <c r="W442" s="1"/>
  <c r="Z442" s="1"/>
  <c r="AC442" s="1"/>
  <c r="Q443"/>
  <c r="T443" s="1"/>
  <c r="W443" s="1"/>
  <c r="Z443" s="1"/>
  <c r="AC443" s="1"/>
  <c r="Q444"/>
  <c r="T444" s="1"/>
  <c r="W444" s="1"/>
  <c r="Z444" s="1"/>
  <c r="AC444" s="1"/>
  <c r="Q448"/>
  <c r="T448" s="1"/>
  <c r="W448" s="1"/>
  <c r="Z448" s="1"/>
  <c r="AC448" s="1"/>
  <c r="Q449"/>
  <c r="T449" s="1"/>
  <c r="W449" s="1"/>
  <c r="Z449" s="1"/>
  <c r="AC449" s="1"/>
  <c r="Q450"/>
  <c r="T450" s="1"/>
  <c r="W450" s="1"/>
  <c r="Z450" s="1"/>
  <c r="AC450" s="1"/>
  <c r="Q451"/>
  <c r="T451" s="1"/>
  <c r="W451" s="1"/>
  <c r="Z451" s="1"/>
  <c r="AC451" s="1"/>
  <c r="Q452"/>
  <c r="T452" s="1"/>
  <c r="W452" s="1"/>
  <c r="Z452" s="1"/>
  <c r="AC452" s="1"/>
  <c r="Q454"/>
  <c r="T454" s="1"/>
  <c r="W454" s="1"/>
  <c r="Z454" s="1"/>
  <c r="AC454" s="1"/>
  <c r="Q455"/>
  <c r="T455" s="1"/>
  <c r="W455" s="1"/>
  <c r="Z455" s="1"/>
  <c r="AC455" s="1"/>
  <c r="Q456"/>
  <c r="T456" s="1"/>
  <c r="W456" s="1"/>
  <c r="Z456" s="1"/>
  <c r="AC456" s="1"/>
  <c r="Q460"/>
  <c r="T460" s="1"/>
  <c r="W460" s="1"/>
  <c r="Z460" s="1"/>
  <c r="AC460" s="1"/>
  <c r="Q461"/>
  <c r="T461" s="1"/>
  <c r="W461" s="1"/>
  <c r="Z461" s="1"/>
  <c r="AC461" s="1"/>
  <c r="Q462"/>
  <c r="T462" s="1"/>
  <c r="W462" s="1"/>
  <c r="Z462" s="1"/>
  <c r="AC462" s="1"/>
  <c r="Q463"/>
  <c r="T463" s="1"/>
  <c r="W463" s="1"/>
  <c r="Z463" s="1"/>
  <c r="AC463" s="1"/>
  <c r="Q464"/>
  <c r="T464" s="1"/>
  <c r="W464" s="1"/>
  <c r="Z464" s="1"/>
  <c r="AC464" s="1"/>
  <c r="Q465"/>
  <c r="T465" s="1"/>
  <c r="W465" s="1"/>
  <c r="Z465" s="1"/>
  <c r="AC465" s="1"/>
  <c r="Q468"/>
  <c r="T468" s="1"/>
  <c r="W468" s="1"/>
  <c r="Z468" s="1"/>
  <c r="AC468" s="1"/>
  <c r="Q469"/>
  <c r="T469" s="1"/>
  <c r="W469" s="1"/>
  <c r="Z469" s="1"/>
  <c r="AC469" s="1"/>
  <c r="Q472"/>
  <c r="T472" s="1"/>
  <c r="W472" s="1"/>
  <c r="Z472" s="1"/>
  <c r="AC472" s="1"/>
  <c r="Q473"/>
  <c r="T473" s="1"/>
  <c r="W473" s="1"/>
  <c r="Z473" s="1"/>
  <c r="AC473" s="1"/>
  <c r="Q474"/>
  <c r="T474" s="1"/>
  <c r="W474" s="1"/>
  <c r="Z474" s="1"/>
  <c r="AC474" s="1"/>
  <c r="Q475"/>
  <c r="T475" s="1"/>
  <c r="W475" s="1"/>
  <c r="Z475" s="1"/>
  <c r="AC475" s="1"/>
  <c r="Q476"/>
  <c r="T476" s="1"/>
  <c r="W476" s="1"/>
  <c r="Z476" s="1"/>
  <c r="AC476" s="1"/>
  <c r="Q477"/>
  <c r="T477" s="1"/>
  <c r="W477" s="1"/>
  <c r="Z477" s="1"/>
  <c r="AC477" s="1"/>
  <c r="Q478"/>
  <c r="T478" s="1"/>
  <c r="W478" s="1"/>
  <c r="Z478" s="1"/>
  <c r="AC478" s="1"/>
  <c r="Q479"/>
  <c r="T479" s="1"/>
  <c r="W479" s="1"/>
  <c r="Z479" s="1"/>
  <c r="AC479" s="1"/>
  <c r="Q480"/>
  <c r="T480" s="1"/>
  <c r="W480" s="1"/>
  <c r="Z480" s="1"/>
  <c r="AC480" s="1"/>
  <c r="Q481"/>
  <c r="T481" s="1"/>
  <c r="W481" s="1"/>
  <c r="Z481" s="1"/>
  <c r="AC481" s="1"/>
  <c r="Q482"/>
  <c r="T482" s="1"/>
  <c r="W482" s="1"/>
  <c r="Z482" s="1"/>
  <c r="AC482" s="1"/>
  <c r="Q483"/>
  <c r="T483" s="1"/>
  <c r="W483" s="1"/>
  <c r="Z483" s="1"/>
  <c r="AC483" s="1"/>
  <c r="Q484"/>
  <c r="T484" s="1"/>
  <c r="W484" s="1"/>
  <c r="Z484" s="1"/>
  <c r="AC484" s="1"/>
  <c r="Q485"/>
  <c r="T485" s="1"/>
  <c r="W485" s="1"/>
  <c r="Z485" s="1"/>
  <c r="AC485" s="1"/>
  <c r="Q486"/>
  <c r="T486" s="1"/>
  <c r="W486" s="1"/>
  <c r="Z486" s="1"/>
  <c r="AC486" s="1"/>
  <c r="Q487"/>
  <c r="T487" s="1"/>
  <c r="W487" s="1"/>
  <c r="Z487" s="1"/>
  <c r="AC487" s="1"/>
  <c r="Q489"/>
  <c r="T489" s="1"/>
  <c r="W489" s="1"/>
  <c r="Z489" s="1"/>
  <c r="AC489" s="1"/>
  <c r="Q490"/>
  <c r="T490" s="1"/>
  <c r="W490" s="1"/>
  <c r="Z490" s="1"/>
  <c r="AC490" s="1"/>
  <c r="Q491"/>
  <c r="T491" s="1"/>
  <c r="W491" s="1"/>
  <c r="Z491" s="1"/>
  <c r="AC491" s="1"/>
  <c r="Q493"/>
  <c r="T493" s="1"/>
  <c r="W493" s="1"/>
  <c r="Z493" s="1"/>
  <c r="AC493" s="1"/>
  <c r="Q494"/>
  <c r="T494" s="1"/>
  <c r="W494" s="1"/>
  <c r="Z494" s="1"/>
  <c r="AC494" s="1"/>
  <c r="Q495"/>
  <c r="T495" s="1"/>
  <c r="W495" s="1"/>
  <c r="Z495" s="1"/>
  <c r="AC495" s="1"/>
  <c r="Q496"/>
  <c r="T496" s="1"/>
  <c r="W496" s="1"/>
  <c r="Z496" s="1"/>
  <c r="AC496" s="1"/>
  <c r="Q497"/>
  <c r="T497" s="1"/>
  <c r="W497" s="1"/>
  <c r="Z497" s="1"/>
  <c r="AC497" s="1"/>
  <c r="Q498"/>
  <c r="T498" s="1"/>
  <c r="W498" s="1"/>
  <c r="Z498" s="1"/>
  <c r="AC498" s="1"/>
  <c r="Q500"/>
  <c r="T500" s="1"/>
  <c r="W500" s="1"/>
  <c r="Z500" s="1"/>
  <c r="AC500" s="1"/>
  <c r="Q501"/>
  <c r="T501" s="1"/>
  <c r="W501" s="1"/>
  <c r="Z501" s="1"/>
  <c r="AC501" s="1"/>
  <c r="Q502"/>
  <c r="T502" s="1"/>
  <c r="W502" s="1"/>
  <c r="Z502" s="1"/>
  <c r="AC502" s="1"/>
  <c r="Q504"/>
  <c r="T504" s="1"/>
  <c r="W504" s="1"/>
  <c r="Z504" s="1"/>
  <c r="AC504" s="1"/>
  <c r="Q505"/>
  <c r="T505" s="1"/>
  <c r="W505" s="1"/>
  <c r="Z505" s="1"/>
  <c r="AC505" s="1"/>
  <c r="Q506"/>
  <c r="T506" s="1"/>
  <c r="W506" s="1"/>
  <c r="Z506" s="1"/>
  <c r="AC506" s="1"/>
  <c r="Q507"/>
  <c r="T507" s="1"/>
  <c r="W507" s="1"/>
  <c r="Z507" s="1"/>
  <c r="AC507" s="1"/>
  <c r="Q508"/>
  <c r="T508" s="1"/>
  <c r="W508" s="1"/>
  <c r="Z508" s="1"/>
  <c r="AC508" s="1"/>
  <c r="Q509"/>
  <c r="T509" s="1"/>
  <c r="W509" s="1"/>
  <c r="Z509" s="1"/>
  <c r="AC509" s="1"/>
  <c r="Q510"/>
  <c r="T510" s="1"/>
  <c r="W510" s="1"/>
  <c r="Z510" s="1"/>
  <c r="AC510" s="1"/>
  <c r="Q512"/>
  <c r="T512" s="1"/>
  <c r="W512" s="1"/>
  <c r="Z512" s="1"/>
  <c r="AC512" s="1"/>
  <c r="Q513"/>
  <c r="T513" s="1"/>
  <c r="W513" s="1"/>
  <c r="Z513" s="1"/>
  <c r="AC513" s="1"/>
  <c r="Q515"/>
  <c r="T515" s="1"/>
  <c r="W515" s="1"/>
  <c r="Z515" s="1"/>
  <c r="AC515" s="1"/>
  <c r="Q516"/>
  <c r="T516" s="1"/>
  <c r="W516" s="1"/>
  <c r="Z516" s="1"/>
  <c r="AC516" s="1"/>
  <c r="Q517"/>
  <c r="T517" s="1"/>
  <c r="W517" s="1"/>
  <c r="Z517" s="1"/>
  <c r="AC517" s="1"/>
  <c r="Q518"/>
  <c r="T518" s="1"/>
  <c r="W518" s="1"/>
  <c r="Z518" s="1"/>
  <c r="AC518" s="1"/>
  <c r="Q519"/>
  <c r="T519" s="1"/>
  <c r="W519" s="1"/>
  <c r="Z519" s="1"/>
  <c r="AC519" s="1"/>
  <c r="Q520"/>
  <c r="T520" s="1"/>
  <c r="W520" s="1"/>
  <c r="Z520" s="1"/>
  <c r="AC520" s="1"/>
  <c r="Q521"/>
  <c r="T521" s="1"/>
  <c r="W521" s="1"/>
  <c r="Z521" s="1"/>
  <c r="AC521" s="1"/>
  <c r="Q522"/>
  <c r="T522" s="1"/>
  <c r="W522" s="1"/>
  <c r="Z522" s="1"/>
  <c r="AC522" s="1"/>
  <c r="Q523"/>
  <c r="T523" s="1"/>
  <c r="W523" s="1"/>
  <c r="Z523" s="1"/>
  <c r="AC523" s="1"/>
  <c r="Q524"/>
  <c r="T524" s="1"/>
  <c r="W524" s="1"/>
  <c r="Z524" s="1"/>
  <c r="AC524" s="1"/>
  <c r="Q525"/>
  <c r="T525" s="1"/>
  <c r="W525" s="1"/>
  <c r="Z525" s="1"/>
  <c r="AC525" s="1"/>
  <c r="Q526"/>
  <c r="T526" s="1"/>
  <c r="W526" s="1"/>
  <c r="Z526" s="1"/>
  <c r="AC526" s="1"/>
  <c r="Q527"/>
  <c r="T527" s="1"/>
  <c r="W527" s="1"/>
  <c r="Z527" s="1"/>
  <c r="AC527" s="1"/>
  <c r="Q528"/>
  <c r="T528" s="1"/>
  <c r="W528" s="1"/>
  <c r="Z528" s="1"/>
  <c r="AC528" s="1"/>
  <c r="Q529"/>
  <c r="T529" s="1"/>
  <c r="W529" s="1"/>
  <c r="Z529" s="1"/>
  <c r="AC529" s="1"/>
  <c r="Q530"/>
  <c r="T530" s="1"/>
  <c r="W530" s="1"/>
  <c r="Z530" s="1"/>
  <c r="AC530" s="1"/>
  <c r="Q531"/>
  <c r="T531" s="1"/>
  <c r="W531" s="1"/>
  <c r="Z531" s="1"/>
  <c r="AC531" s="1"/>
  <c r="Q532"/>
  <c r="T532" s="1"/>
  <c r="W532" s="1"/>
  <c r="Z532" s="1"/>
  <c r="AC532" s="1"/>
  <c r="Q533"/>
  <c r="T533" s="1"/>
  <c r="W533" s="1"/>
  <c r="Z533" s="1"/>
  <c r="AC533" s="1"/>
  <c r="Q534"/>
  <c r="T534" s="1"/>
  <c r="W534" s="1"/>
  <c r="Z534" s="1"/>
  <c r="AC534" s="1"/>
  <c r="Q536"/>
  <c r="T536" s="1"/>
  <c r="W536" s="1"/>
  <c r="Z536" s="1"/>
  <c r="AC536" s="1"/>
  <c r="Q537"/>
  <c r="T537" s="1"/>
  <c r="W537" s="1"/>
  <c r="Z537" s="1"/>
  <c r="AC537" s="1"/>
  <c r="Q538"/>
  <c r="T538" s="1"/>
  <c r="W538" s="1"/>
  <c r="Z538" s="1"/>
  <c r="AC538" s="1"/>
  <c r="Q539"/>
  <c r="T539" s="1"/>
  <c r="W539" s="1"/>
  <c r="Z539" s="1"/>
  <c r="AC539" s="1"/>
  <c r="Q541"/>
  <c r="T541" s="1"/>
  <c r="W541" s="1"/>
  <c r="Z541" s="1"/>
  <c r="AC541" s="1"/>
  <c r="Q542"/>
  <c r="T542" s="1"/>
  <c r="W542" s="1"/>
  <c r="Z542" s="1"/>
  <c r="AC542" s="1"/>
  <c r="Q543"/>
  <c r="T543" s="1"/>
  <c r="W543" s="1"/>
  <c r="Z543" s="1"/>
  <c r="AC543" s="1"/>
  <c r="Q544"/>
  <c r="T544" s="1"/>
  <c r="W544" s="1"/>
  <c r="Z544" s="1"/>
  <c r="AC544" s="1"/>
  <c r="Q545"/>
  <c r="T545" s="1"/>
  <c r="W545" s="1"/>
  <c r="Z545" s="1"/>
  <c r="AC545" s="1"/>
  <c r="Q547"/>
  <c r="T547" s="1"/>
  <c r="W547" s="1"/>
  <c r="Z547" s="1"/>
  <c r="AC547" s="1"/>
  <c r="Q549"/>
  <c r="T549" s="1"/>
  <c r="W549" s="1"/>
  <c r="Z549" s="1"/>
  <c r="AC549" s="1"/>
  <c r="Q550"/>
  <c r="T550" s="1"/>
  <c r="W550" s="1"/>
  <c r="Z550" s="1"/>
  <c r="AC550" s="1"/>
  <c r="Q551"/>
  <c r="T551" s="1"/>
  <c r="W551" s="1"/>
  <c r="Z551" s="1"/>
  <c r="AC551" s="1"/>
  <c r="Q552"/>
  <c r="T552" s="1"/>
  <c r="W552" s="1"/>
  <c r="Z552" s="1"/>
  <c r="AC552" s="1"/>
  <c r="Q553"/>
  <c r="T553" s="1"/>
  <c r="W553" s="1"/>
  <c r="Z553" s="1"/>
  <c r="AC553" s="1"/>
  <c r="Q554"/>
  <c r="T554" s="1"/>
  <c r="W554" s="1"/>
  <c r="Z554" s="1"/>
  <c r="AC554" s="1"/>
  <c r="Q555"/>
  <c r="T555" s="1"/>
  <c r="W555" s="1"/>
  <c r="Z555" s="1"/>
  <c r="AC555" s="1"/>
  <c r="Q556"/>
  <c r="T556" s="1"/>
  <c r="W556" s="1"/>
  <c r="Z556" s="1"/>
  <c r="AC556" s="1"/>
  <c r="Q559"/>
  <c r="T559" s="1"/>
  <c r="W559" s="1"/>
  <c r="Z559" s="1"/>
  <c r="AC559" s="1"/>
  <c r="Q560"/>
  <c r="T560" s="1"/>
  <c r="W560" s="1"/>
  <c r="Z560" s="1"/>
  <c r="AC560" s="1"/>
  <c r="Q561"/>
  <c r="T561" s="1"/>
  <c r="W561" s="1"/>
  <c r="Z561" s="1"/>
  <c r="AC561" s="1"/>
  <c r="Q562"/>
  <c r="T562" s="1"/>
  <c r="W562" s="1"/>
  <c r="Z562" s="1"/>
  <c r="AC562" s="1"/>
  <c r="Q563"/>
  <c r="T563" s="1"/>
  <c r="W563" s="1"/>
  <c r="Z563" s="1"/>
  <c r="AC563" s="1"/>
  <c r="Q564"/>
  <c r="T564" s="1"/>
  <c r="W564" s="1"/>
  <c r="Z564" s="1"/>
  <c r="AC564" s="1"/>
  <c r="Q566"/>
  <c r="T566" s="1"/>
  <c r="W566" s="1"/>
  <c r="Z566" s="1"/>
  <c r="AC566" s="1"/>
  <c r="Q567"/>
  <c r="T567" s="1"/>
  <c r="W567" s="1"/>
  <c r="Z567" s="1"/>
  <c r="AC567" s="1"/>
  <c r="Q568"/>
  <c r="T568" s="1"/>
  <c r="W568" s="1"/>
  <c r="Z568" s="1"/>
  <c r="AC568" s="1"/>
  <c r="Q569"/>
  <c r="T569" s="1"/>
  <c r="W569" s="1"/>
  <c r="Z569" s="1"/>
  <c r="AC569" s="1"/>
  <c r="Q570"/>
  <c r="T570" s="1"/>
  <c r="W570" s="1"/>
  <c r="Z570" s="1"/>
  <c r="AC570" s="1"/>
  <c r="Q571"/>
  <c r="T571" s="1"/>
  <c r="W571" s="1"/>
  <c r="Z571" s="1"/>
  <c r="AC571" s="1"/>
  <c r="Q572"/>
  <c r="T572" s="1"/>
  <c r="W572" s="1"/>
  <c r="Z572" s="1"/>
  <c r="AC572" s="1"/>
  <c r="Q573"/>
  <c r="T573" s="1"/>
  <c r="W573" s="1"/>
  <c r="Z573" s="1"/>
  <c r="AC573" s="1"/>
  <c r="Q575"/>
  <c r="T575" s="1"/>
  <c r="W575" s="1"/>
  <c r="Z575" s="1"/>
  <c r="AC575" s="1"/>
  <c r="Q576"/>
  <c r="T576" s="1"/>
  <c r="W576" s="1"/>
  <c r="Z576" s="1"/>
  <c r="AC576" s="1"/>
  <c r="Q577"/>
  <c r="T577" s="1"/>
  <c r="W577" s="1"/>
  <c r="Z577" s="1"/>
  <c r="AC577" s="1"/>
  <c r="Q578"/>
  <c r="T578" s="1"/>
  <c r="W578" s="1"/>
  <c r="Z578" s="1"/>
  <c r="AC578" s="1"/>
  <c r="Q581"/>
  <c r="T581" s="1"/>
  <c r="W581" s="1"/>
  <c r="Z581" s="1"/>
  <c r="AC581" s="1"/>
  <c r="Q582"/>
  <c r="T582" s="1"/>
  <c r="W582" s="1"/>
  <c r="Z582" s="1"/>
  <c r="AC582" s="1"/>
  <c r="Q583"/>
  <c r="T583" s="1"/>
  <c r="W583" s="1"/>
  <c r="Z583" s="1"/>
  <c r="AC583" s="1"/>
  <c r="Q584"/>
  <c r="T584" s="1"/>
  <c r="W584" s="1"/>
  <c r="Z584" s="1"/>
  <c r="AC584" s="1"/>
  <c r="Q585"/>
  <c r="T585" s="1"/>
  <c r="W585" s="1"/>
  <c r="Z585" s="1"/>
  <c r="AC585" s="1"/>
  <c r="Q586"/>
  <c r="T586" s="1"/>
  <c r="W586" s="1"/>
  <c r="Z586" s="1"/>
  <c r="AC586" s="1"/>
  <c r="Q587"/>
  <c r="T587" s="1"/>
  <c r="W587" s="1"/>
  <c r="Z587" s="1"/>
  <c r="AC587" s="1"/>
  <c r="Q588"/>
  <c r="T588" s="1"/>
  <c r="W588" s="1"/>
  <c r="Z588" s="1"/>
  <c r="AC588" s="1"/>
  <c r="Q589"/>
  <c r="T589" s="1"/>
  <c r="W589" s="1"/>
  <c r="Z589" s="1"/>
  <c r="AC589" s="1"/>
  <c r="Q590"/>
  <c r="T590" s="1"/>
  <c r="W590" s="1"/>
  <c r="Z590" s="1"/>
  <c r="AC590" s="1"/>
  <c r="Q591"/>
  <c r="T591" s="1"/>
  <c r="W591" s="1"/>
  <c r="Z591" s="1"/>
  <c r="AC591" s="1"/>
  <c r="Q592"/>
  <c r="T592" s="1"/>
  <c r="W592" s="1"/>
  <c r="Z592" s="1"/>
  <c r="AC592" s="1"/>
  <c r="Q594"/>
  <c r="T594" s="1"/>
  <c r="W594" s="1"/>
  <c r="Z594" s="1"/>
  <c r="AC594" s="1"/>
  <c r="Q598"/>
  <c r="T598" s="1"/>
  <c r="W598" s="1"/>
  <c r="Z598" s="1"/>
  <c r="AC598" s="1"/>
  <c r="Q599"/>
  <c r="T599" s="1"/>
  <c r="W599" s="1"/>
  <c r="Z599" s="1"/>
  <c r="AC599" s="1"/>
  <c r="Q600"/>
  <c r="T600" s="1"/>
  <c r="W600" s="1"/>
  <c r="Z600" s="1"/>
  <c r="AC600" s="1"/>
  <c r="Q602"/>
  <c r="T602" s="1"/>
  <c r="W602" s="1"/>
  <c r="Z602" s="1"/>
  <c r="AC602" s="1"/>
  <c r="Q605"/>
  <c r="T605" s="1"/>
  <c r="W605" s="1"/>
  <c r="Z605" s="1"/>
  <c r="AC605" s="1"/>
  <c r="Q608"/>
  <c r="T608" s="1"/>
  <c r="W608" s="1"/>
  <c r="Z608" s="1"/>
  <c r="AC608" s="1"/>
  <c r="Q609"/>
  <c r="T609" s="1"/>
  <c r="W609" s="1"/>
  <c r="Z609" s="1"/>
  <c r="AC609" s="1"/>
  <c r="Q610"/>
  <c r="T610" s="1"/>
  <c r="W610" s="1"/>
  <c r="Z610" s="1"/>
  <c r="AC610" s="1"/>
  <c r="Q611"/>
  <c r="T611" s="1"/>
  <c r="W611" s="1"/>
  <c r="Z611" s="1"/>
  <c r="AC611" s="1"/>
  <c r="Q612"/>
  <c r="T612" s="1"/>
  <c r="W612" s="1"/>
  <c r="Z612" s="1"/>
  <c r="AC612" s="1"/>
  <c r="Q613"/>
  <c r="T613" s="1"/>
  <c r="W613" s="1"/>
  <c r="Z613" s="1"/>
  <c r="AC613" s="1"/>
  <c r="Q614"/>
  <c r="T614" s="1"/>
  <c r="W614" s="1"/>
  <c r="Z614" s="1"/>
  <c r="AC614" s="1"/>
  <c r="Q616"/>
  <c r="T616" s="1"/>
  <c r="W616" s="1"/>
  <c r="Z616" s="1"/>
  <c r="AC616" s="1"/>
  <c r="Q619"/>
  <c r="T619" s="1"/>
  <c r="W619" s="1"/>
  <c r="Z619" s="1"/>
  <c r="AC619" s="1"/>
  <c r="Q622"/>
  <c r="T622" s="1"/>
  <c r="W622" s="1"/>
  <c r="Z622" s="1"/>
  <c r="AC622" s="1"/>
  <c r="Q623"/>
  <c r="T623" s="1"/>
  <c r="W623" s="1"/>
  <c r="Z623" s="1"/>
  <c r="AC623" s="1"/>
  <c r="Q625"/>
  <c r="T625" s="1"/>
  <c r="W625" s="1"/>
  <c r="Z625" s="1"/>
  <c r="AC625" s="1"/>
  <c r="Q626"/>
  <c r="T626" s="1"/>
  <c r="W626" s="1"/>
  <c r="Z626" s="1"/>
  <c r="AC626" s="1"/>
  <c r="Q627"/>
  <c r="T627" s="1"/>
  <c r="W627" s="1"/>
  <c r="Z627" s="1"/>
  <c r="AC627" s="1"/>
  <c r="Q630"/>
  <c r="T630" s="1"/>
  <c r="W630" s="1"/>
  <c r="Z630" s="1"/>
  <c r="AC630" s="1"/>
  <c r="O634"/>
  <c r="O633"/>
  <c r="M634"/>
  <c r="M633"/>
  <c r="O632"/>
  <c r="Q10"/>
  <c r="T10" s="1"/>
  <c r="W10" s="1"/>
  <c r="Z10" s="1"/>
  <c r="AC10" s="1"/>
  <c r="A10" i="21"/>
  <c r="A11" s="1"/>
  <c r="M632" i="2"/>
  <c r="K634"/>
  <c r="K633"/>
  <c r="K632"/>
  <c r="E634"/>
  <c r="E633"/>
  <c r="G634"/>
  <c r="G633"/>
  <c r="G632"/>
  <c r="E632"/>
  <c r="I634"/>
  <c r="I633"/>
  <c r="I632"/>
</calcChain>
</file>

<file path=xl/sharedStrings.xml><?xml version="1.0" encoding="utf-8"?>
<sst xmlns="http://schemas.openxmlformats.org/spreadsheetml/2006/main" count="1785" uniqueCount="743">
  <si>
    <t>PB</t>
  </si>
  <si>
    <t>Time</t>
  </si>
  <si>
    <t>Aaron Moldrich</t>
  </si>
  <si>
    <t>Emily Cavanagh</t>
  </si>
  <si>
    <t>John Evans</t>
  </si>
  <si>
    <t>Peter Whalan</t>
  </si>
  <si>
    <t>Shruti Iyer</t>
  </si>
  <si>
    <t>Brodie Nankervis</t>
  </si>
  <si>
    <t>Emily Hinton</t>
  </si>
  <si>
    <t>Josephine Sliferski</t>
  </si>
  <si>
    <t>Phillipa Mitchell</t>
  </si>
  <si>
    <t>Simon Bowly</t>
  </si>
  <si>
    <t>Aidan Powers</t>
  </si>
  <si>
    <t>Caleb Smibert</t>
  </si>
  <si>
    <t>Esther Tseng</t>
  </si>
  <si>
    <t>Joshua Nelson-Smith</t>
  </si>
  <si>
    <t>Megan Spencer-Smith</t>
  </si>
  <si>
    <t>Prasad Palanisany</t>
  </si>
  <si>
    <t>Simon Eades</t>
  </si>
  <si>
    <t>Alasdair Wood</t>
  </si>
  <si>
    <t>Carolin Heller</t>
  </si>
  <si>
    <t>Meghan Griffin</t>
  </si>
  <si>
    <t>Priscilla Baroni</t>
  </si>
  <si>
    <t>Simon Lindsay</t>
  </si>
  <si>
    <t>Aleisha Boak</t>
  </si>
  <si>
    <t>Caroline Lam</t>
  </si>
  <si>
    <t>Melissa Curtis</t>
  </si>
  <si>
    <t>Priscilla Chow</t>
  </si>
  <si>
    <t>Simon Rouse</t>
  </si>
  <si>
    <t>Alex Jakimow</t>
  </si>
  <si>
    <t>Cass Higham</t>
  </si>
  <si>
    <t>Julian Ratcliffe</t>
  </si>
  <si>
    <t>Melissa Perez</t>
  </si>
  <si>
    <t>Prue Ashton</t>
  </si>
  <si>
    <t>Stefanie Dudczig</t>
  </si>
  <si>
    <t>Catherine Wheeler</t>
  </si>
  <si>
    <t>Gowda Lingappa</t>
  </si>
  <si>
    <t>Julia Knoumes</t>
  </si>
  <si>
    <t>Melissa Wartman</t>
  </si>
  <si>
    <t>Rachael Low</t>
  </si>
  <si>
    <t>Stefani Janson</t>
  </si>
  <si>
    <t>Alexa Sakkal</t>
  </si>
  <si>
    <t>Chaminee Ilangakoon</t>
  </si>
  <si>
    <t>Graeme Pickering</t>
  </si>
  <si>
    <t>Justin Stepnell</t>
  </si>
  <si>
    <t>Meng Lor</t>
  </si>
  <si>
    <t>Rachel Paule</t>
  </si>
  <si>
    <t>Stephen Enciso</t>
  </si>
  <si>
    <t>Alexandra Mitchell</t>
  </si>
  <si>
    <t>Chris Allan</t>
  </si>
  <si>
    <t>Graham Black</t>
  </si>
  <si>
    <t>Kai Wang</t>
  </si>
  <si>
    <t>Mervyn Dauer</t>
  </si>
  <si>
    <t>Steven Bonfadini</t>
  </si>
  <si>
    <t>Chris Culhane</t>
  </si>
  <si>
    <t>Graham Coutts</t>
  </si>
  <si>
    <t>Kara Gilbert</t>
  </si>
  <si>
    <t>Michael Asquith</t>
  </si>
  <si>
    <t>Steven Toppi</t>
  </si>
  <si>
    <t>Amanda Taylor</t>
  </si>
  <si>
    <t>Claire O'Reilly</t>
  </si>
  <si>
    <t>Hana Shiraj</t>
  </si>
  <si>
    <t>Michael Comport</t>
  </si>
  <si>
    <t>Stuart Walpole</t>
  </si>
  <si>
    <t>Claire Walpole</t>
  </si>
  <si>
    <t>Harrison Capper</t>
  </si>
  <si>
    <t>Kate Wambeek</t>
  </si>
  <si>
    <t>Molly Woolford</t>
  </si>
  <si>
    <t>Raluca Comanici</t>
  </si>
  <si>
    <t>Sukhdeep Batra</t>
  </si>
  <si>
    <t>Amir Hossien</t>
  </si>
  <si>
    <t>Heleen vande Coevering</t>
  </si>
  <si>
    <t>Monica Gonzalez</t>
  </si>
  <si>
    <t>Raquel Vaz</t>
  </si>
  <si>
    <t>Surabhi Kumble</t>
  </si>
  <si>
    <t>Amy Pollock-Hall</t>
  </si>
  <si>
    <t>Claudia Brick</t>
  </si>
  <si>
    <t>Ian Henderson</t>
  </si>
  <si>
    <t>Kevin Yap</t>
  </si>
  <si>
    <t>Moritz Niederfeld</t>
  </si>
  <si>
    <t>Rasoul Husaini</t>
  </si>
  <si>
    <t>Tahalia Lahiff</t>
  </si>
  <si>
    <t>Clement Wong</t>
  </si>
  <si>
    <t>Mutsumi Karasaki</t>
  </si>
  <si>
    <t>Rebecca Beagley</t>
  </si>
  <si>
    <t>Tanmeet Kaur</t>
  </si>
  <si>
    <t>Andrea Fullagar</t>
  </si>
  <si>
    <t>Conor Dunleavy</t>
  </si>
  <si>
    <t>Isaac Fong</t>
  </si>
  <si>
    <t xml:space="preserve">Natacha Chenevoy </t>
  </si>
  <si>
    <t>Rebecca Jaffe</t>
  </si>
  <si>
    <t>Tara Wilson</t>
  </si>
  <si>
    <t>Andrew Fitzgerald</t>
  </si>
  <si>
    <t>Larkin Duelge</t>
  </si>
  <si>
    <t>Nathan Osborne</t>
  </si>
  <si>
    <t>Rebecca Lim</t>
  </si>
  <si>
    <t>Ted Elkington</t>
  </si>
  <si>
    <t>Andrew Rodda</t>
  </si>
  <si>
    <t>Isobella Gilbert</t>
  </si>
  <si>
    <t>Laura Eades</t>
  </si>
  <si>
    <t>Nau Tsuchiya</t>
  </si>
  <si>
    <t>Rebecca Streit</t>
  </si>
  <si>
    <t>Thomas Morrison</t>
  </si>
  <si>
    <t>Andrew Swan</t>
  </si>
  <si>
    <t>Daniel Jitnah</t>
  </si>
  <si>
    <t>Isabelle Claxton</t>
  </si>
  <si>
    <t>Laura Morley</t>
  </si>
  <si>
    <t>Nhat Nguyen</t>
  </si>
  <si>
    <t>Rhiannon Mirrie</t>
  </si>
  <si>
    <t>Thomas Robertson</t>
  </si>
  <si>
    <t>Andrew Van Agtmaal</t>
  </si>
  <si>
    <t>Daniel Newman</t>
  </si>
  <si>
    <t>Len Johnson</t>
  </si>
  <si>
    <t>Nick Burke</t>
  </si>
  <si>
    <t>Riccardo Wong</t>
  </si>
  <si>
    <t>Tigabwe Yosef</t>
  </si>
  <si>
    <t>Andrew Westaway</t>
  </si>
  <si>
    <t>Daniel Reardon</t>
  </si>
  <si>
    <t>Jack Powell</t>
  </si>
  <si>
    <t>Lesley Gray</t>
  </si>
  <si>
    <t>Nicky Eastaugh</t>
  </si>
  <si>
    <t>Richard Lawrence</t>
  </si>
  <si>
    <t>Tim Buckenham</t>
  </si>
  <si>
    <t>Andrew Putnam</t>
  </si>
  <si>
    <t>Jack Thompson</t>
  </si>
  <si>
    <t>Nicole McNally</t>
  </si>
  <si>
    <t>Rick Watkins</t>
  </si>
  <si>
    <t>Tim Fairley</t>
  </si>
  <si>
    <t>Darren Landsberg</t>
  </si>
  <si>
    <t>Lieven Huang</t>
  </si>
  <si>
    <t xml:space="preserve">Nicole Scully </t>
  </si>
  <si>
    <t>Robert Raines</t>
  </si>
  <si>
    <t>Tim Oxley</t>
  </si>
  <si>
    <t>Anna Southwell</t>
  </si>
  <si>
    <t>David Dowe</t>
  </si>
  <si>
    <t>Jacquelyn Jingyi</t>
  </si>
  <si>
    <t>Niki Tao</t>
  </si>
  <si>
    <t>Robin Brown</t>
  </si>
  <si>
    <t>Timothy Ritchie</t>
  </si>
  <si>
    <t>Annette Wittmann</t>
  </si>
  <si>
    <t>David Mayevsky</t>
  </si>
  <si>
    <t>James Asquith</t>
  </si>
  <si>
    <t>Lincoln Mah</t>
  </si>
  <si>
    <t>Nine Mok</t>
  </si>
  <si>
    <t>Rosemary Waghorn</t>
  </si>
  <si>
    <t>Tom Castle</t>
  </si>
  <si>
    <t>Anthony Park</t>
  </si>
  <si>
    <t>David Kenyon</t>
  </si>
  <si>
    <t>James Gooden</t>
  </si>
  <si>
    <t>Lisa Zilberpriver</t>
  </si>
  <si>
    <t>Ruby Lee</t>
  </si>
  <si>
    <t>Tom Lines</t>
  </si>
  <si>
    <t>Davor Coter</t>
  </si>
  <si>
    <t>Jamie Rankin</t>
  </si>
  <si>
    <t>Lowell Wan</t>
  </si>
  <si>
    <t>Omar Ameen</t>
  </si>
  <si>
    <t>Russell King</t>
  </si>
  <si>
    <t>Arunika Weeratunga</t>
  </si>
  <si>
    <t>Dilan Perera</t>
  </si>
  <si>
    <t xml:space="preserve">Jasmine Zhu  </t>
  </si>
  <si>
    <t>Lucy O'Shannessy</t>
  </si>
  <si>
    <t>Palwinder Rai</t>
  </si>
  <si>
    <t>Sabrina Yeh</t>
  </si>
  <si>
    <t>Tracy Lam</t>
  </si>
  <si>
    <t>Ashley Paxton</t>
  </si>
  <si>
    <t>Dennis Gellert</t>
  </si>
  <si>
    <t>Jeanette Baker</t>
  </si>
  <si>
    <t>Lyn May Lee</t>
  </si>
  <si>
    <t>Parthan Kasarapu</t>
  </si>
  <si>
    <t>Sam Gibb</t>
  </si>
  <si>
    <t>Trent Ramsay</t>
  </si>
  <si>
    <t>Ashley Siegel</t>
  </si>
  <si>
    <t>Dinesh Perera</t>
  </si>
  <si>
    <t>Jeremy Kie</t>
  </si>
  <si>
    <t>Mana Fujiwara</t>
  </si>
  <si>
    <t>Pascal Molenberghs</t>
  </si>
  <si>
    <t>Samara Cua</t>
  </si>
  <si>
    <t xml:space="preserve">TV  </t>
  </si>
  <si>
    <t>Attila Tokai</t>
  </si>
  <si>
    <t>Dominic Jones</t>
  </si>
  <si>
    <t>Jeroen Van Boxtel</t>
  </si>
  <si>
    <t>Manoj Kamalanathan</t>
  </si>
  <si>
    <t>Patrick Thien</t>
  </si>
  <si>
    <t>Avestina Zhong</t>
  </si>
  <si>
    <t>Dominique Munten</t>
  </si>
  <si>
    <t>Jessie Hamilton</t>
  </si>
  <si>
    <t>Marijose Regules</t>
  </si>
  <si>
    <t>Sandra Krofic</t>
  </si>
  <si>
    <t>Vivian Yi</t>
  </si>
  <si>
    <t>Bashir Husaini</t>
  </si>
  <si>
    <t>Dror Cohen</t>
  </si>
  <si>
    <t>Jiahan Chew</t>
  </si>
  <si>
    <t>Martin Foerster</t>
  </si>
  <si>
    <t>Paurnami Chandran</t>
  </si>
  <si>
    <t>Sarah Cheong</t>
  </si>
  <si>
    <t>Winnie Chen</t>
  </si>
  <si>
    <t>Ben Asquith</t>
  </si>
  <si>
    <t>Eduardo Flores</t>
  </si>
  <si>
    <t>Jian Yen</t>
  </si>
  <si>
    <t>Matt Blackwell</t>
  </si>
  <si>
    <t>Sarah Munday</t>
  </si>
  <si>
    <t>Ben Frost</t>
  </si>
  <si>
    <t>Eleanora Gilbert</t>
  </si>
  <si>
    <t>Jiaqi Li</t>
  </si>
  <si>
    <t>Matt Shearer</t>
  </si>
  <si>
    <t>Peta Faragher</t>
  </si>
  <si>
    <t>Shamal Boteju</t>
  </si>
  <si>
    <t>Yindi Sutton</t>
  </si>
  <si>
    <t>Jillian Healy</t>
  </si>
  <si>
    <t>Peter Bence</t>
  </si>
  <si>
    <t>Shane Pritchard</t>
  </si>
  <si>
    <t>Yuki Horne-Okano</t>
  </si>
  <si>
    <t>Bernadine Dao</t>
  </si>
  <si>
    <t>Ella Cehun</t>
  </si>
  <si>
    <t>Joan Connor</t>
  </si>
  <si>
    <t>Peter Markworth</t>
  </si>
  <si>
    <t>Emilie Ng Foong Po</t>
  </si>
  <si>
    <t>John Baker</t>
  </si>
  <si>
    <t>Matthew Drummond</t>
  </si>
  <si>
    <t>Peter Rushen</t>
  </si>
  <si>
    <t>Shnwei Lee</t>
  </si>
  <si>
    <t>8.50</t>
  </si>
  <si>
    <t>8.20</t>
  </si>
  <si>
    <t>7.20</t>
  </si>
  <si>
    <t>7.30</t>
  </si>
  <si>
    <t>11.20</t>
  </si>
  <si>
    <t>6.50</t>
  </si>
  <si>
    <t>9.30</t>
  </si>
  <si>
    <t>Colin Lichtwark</t>
  </si>
  <si>
    <t>Chris Billington</t>
  </si>
  <si>
    <t>Joel Kennedy</t>
  </si>
  <si>
    <t>Luke McLay</t>
  </si>
  <si>
    <t>Rachel Manderson</t>
  </si>
  <si>
    <t>Melanie Bok</t>
  </si>
  <si>
    <t>Kimberley Mitchell</t>
  </si>
  <si>
    <t>Jerome Rowcroft</t>
  </si>
  <si>
    <t>Carolina Caraza</t>
  </si>
  <si>
    <t>Ginnie Richichi</t>
  </si>
  <si>
    <t>Diana Contreras</t>
  </si>
  <si>
    <t>Kelly Williams</t>
  </si>
  <si>
    <t>Stephanie McDonald</t>
  </si>
  <si>
    <t>Charmaine Manuel</t>
  </si>
  <si>
    <t>Chris Cameron</t>
  </si>
  <si>
    <t>Evert Rol</t>
  </si>
  <si>
    <t>Sarah Klink</t>
  </si>
  <si>
    <t>Paul Marr</t>
  </si>
  <si>
    <t>Rita Lin</t>
  </si>
  <si>
    <t>Seika Chen</t>
  </si>
  <si>
    <t>Edward Nguyen</t>
  </si>
  <si>
    <t>Jiajia Wang</t>
  </si>
  <si>
    <t>Linda Croton</t>
  </si>
  <si>
    <t>Ruchira Welmillage</t>
  </si>
  <si>
    <t>Cynthia Van</t>
  </si>
  <si>
    <t>Douglas Carver</t>
  </si>
  <si>
    <t>Guy Prochilo</t>
  </si>
  <si>
    <t>Glen Salter</t>
  </si>
  <si>
    <t>Joshua Coulson</t>
  </si>
  <si>
    <t>Bethan Coulson</t>
  </si>
  <si>
    <t>Naomi Richardson</t>
  </si>
  <si>
    <t>Nick Allingham</t>
  </si>
  <si>
    <t>Maria Grant</t>
  </si>
  <si>
    <t>8.40</t>
  </si>
  <si>
    <t>7.10</t>
  </si>
  <si>
    <t>8.15</t>
  </si>
  <si>
    <t>Fiona Chen</t>
  </si>
  <si>
    <t>Pat O'Reilly</t>
  </si>
  <si>
    <t>Zoe Tripovich</t>
  </si>
  <si>
    <t>Clement Kunz</t>
  </si>
  <si>
    <t>Joel Samsu</t>
  </si>
  <si>
    <t>Kate Montgomery</t>
  </si>
  <si>
    <t xml:space="preserve">Nithurshan </t>
  </si>
  <si>
    <t>Debbie Prout</t>
  </si>
  <si>
    <t>Anindita Samsu</t>
  </si>
  <si>
    <t>Paulina Mikulic</t>
  </si>
  <si>
    <t>Rebekah Crawley</t>
  </si>
  <si>
    <t>Ashley Herrod</t>
  </si>
  <si>
    <t>Edie Kaehne</t>
  </si>
  <si>
    <t>Satish Sekar</t>
  </si>
  <si>
    <t>Phil Tai</t>
  </si>
  <si>
    <t>Lucy Duffus</t>
  </si>
  <si>
    <t>Nathan Crawley</t>
  </si>
  <si>
    <t>Jon Elliott</t>
  </si>
  <si>
    <t>10.50</t>
  </si>
  <si>
    <t>11.50</t>
  </si>
  <si>
    <t>10.30</t>
  </si>
  <si>
    <t>9.00</t>
  </si>
  <si>
    <t>10.20</t>
  </si>
  <si>
    <t>8.00</t>
  </si>
  <si>
    <t>8.10</t>
  </si>
  <si>
    <t>6.55</t>
  </si>
  <si>
    <t>7.50</t>
  </si>
  <si>
    <t>10.16</t>
  </si>
  <si>
    <t>8.38</t>
  </si>
  <si>
    <t>10.04</t>
  </si>
  <si>
    <t>April Kartikasari</t>
  </si>
  <si>
    <t>8.32</t>
  </si>
  <si>
    <t>9.01</t>
  </si>
  <si>
    <t>8.31</t>
  </si>
  <si>
    <t>6.17</t>
  </si>
  <si>
    <t>10.27</t>
  </si>
  <si>
    <t>7.04</t>
  </si>
  <si>
    <t>7.12</t>
  </si>
  <si>
    <t>9.16</t>
  </si>
  <si>
    <t>7.49</t>
  </si>
  <si>
    <t>9.23</t>
  </si>
  <si>
    <t>11.14</t>
  </si>
  <si>
    <t>9.25</t>
  </si>
  <si>
    <t>12.18</t>
  </si>
  <si>
    <t>6.53</t>
  </si>
  <si>
    <t>8.43</t>
  </si>
  <si>
    <t>7.44</t>
  </si>
  <si>
    <t>9.07</t>
  </si>
  <si>
    <t>8.35</t>
  </si>
  <si>
    <t>8.27</t>
  </si>
  <si>
    <t>9.33</t>
  </si>
  <si>
    <t>8.16</t>
  </si>
  <si>
    <t>8.14</t>
  </si>
  <si>
    <t>9.12</t>
  </si>
  <si>
    <t>9.37</t>
  </si>
  <si>
    <t>6.47</t>
  </si>
  <si>
    <t>9.48</t>
  </si>
  <si>
    <t>9.41</t>
  </si>
  <si>
    <t>11.12</t>
  </si>
  <si>
    <t>9.28</t>
  </si>
  <si>
    <t>7.15</t>
  </si>
  <si>
    <t>6.18</t>
  </si>
  <si>
    <t>Y</t>
  </si>
  <si>
    <t>TIME TRIAL TEMPLATE</t>
  </si>
  <si>
    <t>Andrew Crawley</t>
  </si>
  <si>
    <t>Adrian Carter</t>
  </si>
  <si>
    <t>Adam Jenkins</t>
  </si>
  <si>
    <t>Andy Tetke</t>
  </si>
  <si>
    <t>Anne-Marie Ternes</t>
  </si>
  <si>
    <t>Betsy Sojan</t>
  </si>
  <si>
    <t>Helene Bourquin</t>
  </si>
  <si>
    <t>Madeline Richards</t>
  </si>
  <si>
    <t>Oliver Grundy</t>
  </si>
  <si>
    <t>Laurence Brassart</t>
  </si>
  <si>
    <t>Nilousar</t>
  </si>
  <si>
    <t>Rosefolo Siosi</t>
  </si>
  <si>
    <t>Sharon Firisua</t>
  </si>
  <si>
    <t>Sebastian Pivet</t>
  </si>
  <si>
    <t>Vignesh Arunachalam</t>
  </si>
  <si>
    <t>Zebah Mathew</t>
  </si>
  <si>
    <t>Zerah Mathew</t>
  </si>
  <si>
    <t>Claire Pollock-Hall</t>
  </si>
  <si>
    <t>Richard Davies</t>
  </si>
  <si>
    <t>Victoria Moore</t>
  </si>
  <si>
    <t>Jesslyn Sutanti</t>
  </si>
  <si>
    <t>Simon Weir</t>
  </si>
  <si>
    <t>6.58</t>
  </si>
  <si>
    <t>6.52</t>
  </si>
  <si>
    <t>9.06</t>
  </si>
  <si>
    <t>7.45</t>
  </si>
  <si>
    <t>10.10</t>
  </si>
  <si>
    <t>7.40</t>
  </si>
  <si>
    <t>11.05</t>
  </si>
  <si>
    <t>7.09</t>
  </si>
  <si>
    <t>7.06</t>
  </si>
  <si>
    <t>8.05</t>
  </si>
  <si>
    <t>7.57</t>
  </si>
  <si>
    <t>9.02</t>
  </si>
  <si>
    <t>7.46</t>
  </si>
  <si>
    <t>8.18</t>
  </si>
  <si>
    <t>8.34</t>
  </si>
  <si>
    <t>9.17</t>
  </si>
  <si>
    <t>8.37</t>
  </si>
  <si>
    <t>Scot Sharman</t>
  </si>
  <si>
    <t>13.43</t>
  </si>
  <si>
    <t>12.50</t>
  </si>
  <si>
    <t>Matt Larkin</t>
  </si>
  <si>
    <t>Renee Pathya</t>
  </si>
  <si>
    <t>Gai</t>
  </si>
  <si>
    <t>Julian Lloyd</t>
  </si>
  <si>
    <t>Jamin Wu</t>
  </si>
  <si>
    <t>Jamie Tan</t>
  </si>
  <si>
    <t>Ana Fabela</t>
  </si>
  <si>
    <t>11.08</t>
  </si>
  <si>
    <t>9.57</t>
  </si>
  <si>
    <t>Aaron Ruznak</t>
  </si>
  <si>
    <t>Abraham Karyadi</t>
  </si>
  <si>
    <t>Alan Irwin</t>
  </si>
  <si>
    <t>Anthony Chau</t>
  </si>
  <si>
    <t>Astrid Ichsan</t>
  </si>
  <si>
    <t>Bozhi Jiang</t>
  </si>
  <si>
    <t>Bradley Serry</t>
  </si>
  <si>
    <t>Caleb Liik</t>
  </si>
  <si>
    <t>Carlos Gamble</t>
  </si>
  <si>
    <t>Conor Yung</t>
  </si>
  <si>
    <t>Dana Dekkers</t>
  </si>
  <si>
    <t>Denyan Claxton</t>
  </si>
  <si>
    <t>Dilpreet Buxi</t>
  </si>
  <si>
    <t>Elena Vitale</t>
  </si>
  <si>
    <t>Elliot Fabris</t>
  </si>
  <si>
    <t>Emilie Guy</t>
  </si>
  <si>
    <t>Emma Hayton</t>
  </si>
  <si>
    <t>Emily Jiang</t>
  </si>
  <si>
    <t>Erica Patterson</t>
  </si>
  <si>
    <t>Fergie Givency</t>
  </si>
  <si>
    <t>Gai Chuatwea</t>
  </si>
  <si>
    <t>Georgia Parsons</t>
  </si>
  <si>
    <t>Jaime Tan</t>
  </si>
  <si>
    <t>James Cavallo</t>
  </si>
  <si>
    <t>Joanna Lewandowska</t>
  </si>
  <si>
    <t>Joanna Shaddai</t>
  </si>
  <si>
    <t>John Sullivan</t>
  </si>
  <si>
    <t>Katharine Wood</t>
  </si>
  <si>
    <t>Kee Jefferys</t>
  </si>
  <si>
    <t>Laura Whitney</t>
  </si>
  <si>
    <t>Laura Nield</t>
  </si>
  <si>
    <t>Lynne Oliynyk</t>
  </si>
  <si>
    <t>Madeleine Harper</t>
  </si>
  <si>
    <t>Michael O'Connor</t>
  </si>
  <si>
    <t>Misaki Ujihara</t>
  </si>
  <si>
    <t>Mitch Parker</t>
  </si>
  <si>
    <t>Natasha Ockenden</t>
  </si>
  <si>
    <t>Natalie Saunders</t>
  </si>
  <si>
    <t>Nathan Ahmed</t>
  </si>
  <si>
    <t>Nisharnthi Duggan</t>
  </si>
  <si>
    <t>Nithursan</t>
  </si>
  <si>
    <t>Noah Bourke</t>
  </si>
  <si>
    <t>Paris Panozzo</t>
  </si>
  <si>
    <t>Patrick So</t>
  </si>
  <si>
    <t>Peter Wood</t>
  </si>
  <si>
    <t>Ravee Pathya</t>
  </si>
  <si>
    <t>Rebecca Kirkham</t>
  </si>
  <si>
    <t>Rebecca Segrave</t>
  </si>
  <si>
    <t>Ruben Barylak</t>
  </si>
  <si>
    <t>Ruoni Chen</t>
  </si>
  <si>
    <t>Sebastian Weber</t>
  </si>
  <si>
    <t>Stacey Bulger</t>
  </si>
  <si>
    <t>Thomas Judd</t>
  </si>
  <si>
    <t>Vince Parhizkar</t>
  </si>
  <si>
    <t>Shawn Seow</t>
  </si>
  <si>
    <t>Sophia Azemia</t>
  </si>
  <si>
    <t>Simon Corrie</t>
  </si>
  <si>
    <t>Sannua Yin</t>
  </si>
  <si>
    <t>Chit Kah Lim</t>
  </si>
  <si>
    <t>Emily Eastman</t>
  </si>
  <si>
    <t>James Bott</t>
  </si>
  <si>
    <t>Elizabeth Chen</t>
  </si>
  <si>
    <t>Liam Sharp</t>
  </si>
  <si>
    <t>Lisa Grant</t>
  </si>
  <si>
    <t>Ranya White</t>
  </si>
  <si>
    <t>Diana Azemia</t>
  </si>
  <si>
    <t>Hilary Ng</t>
  </si>
  <si>
    <t>John O'Leary</t>
  </si>
  <si>
    <t>Sam Lindsay</t>
  </si>
  <si>
    <t>Nick Wilson</t>
  </si>
  <si>
    <t>Lang Nguyen</t>
  </si>
  <si>
    <t>M</t>
  </si>
  <si>
    <t>F</t>
  </si>
  <si>
    <t>Total</t>
  </si>
  <si>
    <t>Max</t>
  </si>
  <si>
    <t>Min</t>
  </si>
  <si>
    <t/>
  </si>
  <si>
    <t>12.30</t>
  </si>
  <si>
    <t>9.40</t>
  </si>
  <si>
    <t>9.50</t>
  </si>
  <si>
    <t>7.00</t>
  </si>
  <si>
    <t>10.00</t>
  </si>
  <si>
    <t>Alison Cullen</t>
  </si>
  <si>
    <t>Gabrielle Grant</t>
  </si>
  <si>
    <t>Caitlin Hicks</t>
  </si>
  <si>
    <t>Sarah Guy</t>
  </si>
  <si>
    <t>Todd Oliynyk</t>
  </si>
  <si>
    <t>Naz Hani</t>
  </si>
  <si>
    <t>Agathe Bey</t>
  </si>
  <si>
    <t>Erin Verberne</t>
  </si>
  <si>
    <t>John Mehes</t>
  </si>
  <si>
    <t>Kelly Atkins</t>
  </si>
  <si>
    <t>Joyce Li</t>
  </si>
  <si>
    <t>Steve Mati</t>
  </si>
  <si>
    <t>Lauren Den Ouden</t>
  </si>
  <si>
    <t>Anna Ross</t>
  </si>
  <si>
    <t>Martin Schwindinger</t>
  </si>
  <si>
    <t>Declan Murphy</t>
  </si>
  <si>
    <t>Samantha Miller</t>
  </si>
  <si>
    <t>Emily McLelland</t>
  </si>
  <si>
    <t>Hongyi Ouyang</t>
  </si>
  <si>
    <t>Chang Liu</t>
  </si>
  <si>
    <t>12.40</t>
  </si>
  <si>
    <t>Nicholas Watson</t>
  </si>
  <si>
    <t>Vidit Gupta</t>
  </si>
  <si>
    <t>Andrew Cullen</t>
  </si>
  <si>
    <t>Dean Salamouras</t>
  </si>
  <si>
    <t>Richie Burrows</t>
  </si>
  <si>
    <t>11.21</t>
  </si>
  <si>
    <t>8.13</t>
  </si>
  <si>
    <t>Sam Toll</t>
  </si>
  <si>
    <t>Jack Highnam</t>
  </si>
  <si>
    <t>Rachel Yeo</t>
  </si>
  <si>
    <t>IF(AND(ISBLANK(J7),NOT(ISBLANK(K7))),"**",IF(AND(NOT(ISBLANK(K7)),K7&lt;J7),"*",""))</t>
  </si>
  <si>
    <t>Name Split</t>
  </si>
  <si>
    <t>LEFT(A1,FIND(" ",A1,1)-1)</t>
  </si>
  <si>
    <t>RIGHT(A1,LEN(A1)-FIND(" ",A1,1))</t>
  </si>
  <si>
    <t>Get PB</t>
  </si>
  <si>
    <t>IF(MIN(VALUE(IF(ISBLANK(I7),H7,I7)),VALUE(IF(ISBLANK(H7),I7,H7)))=0,"",ROUND(MIN(VALUE(IF(ISBLANK(I7),H7,I7)),VALUE(IF(ISBLANK(H7),I7,H7))),2))</t>
  </si>
  <si>
    <t>9.20</t>
  </si>
  <si>
    <t>Rossi Siosi</t>
  </si>
  <si>
    <t>6.05</t>
  </si>
  <si>
    <t>Adolphus Lye</t>
  </si>
  <si>
    <t>Ruby Sung</t>
  </si>
  <si>
    <t>Sukant Singh</t>
  </si>
  <si>
    <t>Mervvi Kaukko</t>
  </si>
  <si>
    <t>Vamshi Kammadanam</t>
  </si>
  <si>
    <t>Chris Hew</t>
  </si>
  <si>
    <t>Chris Zota</t>
  </si>
  <si>
    <t>David Wilksch</t>
  </si>
  <si>
    <t>Ebony Knox</t>
  </si>
  <si>
    <t>Kimberly Allen</t>
  </si>
  <si>
    <t>Laura Brassart</t>
  </si>
  <si>
    <t>Lilly Dipnall</t>
  </si>
  <si>
    <t>Maureen Miller</t>
  </si>
  <si>
    <t>Michael Zeng</t>
  </si>
  <si>
    <t>Molly Smith</t>
  </si>
  <si>
    <t>Nick Van Agtmaal</t>
  </si>
  <si>
    <t>Nina Pretty</t>
  </si>
  <si>
    <t>Sophia Lee</t>
  </si>
  <si>
    <t>Aaron Langenberg</t>
  </si>
  <si>
    <t>Kristen Pennicuik</t>
  </si>
  <si>
    <t>Zak Pennicuik</t>
  </si>
  <si>
    <t>Diane Pennicuik</t>
  </si>
  <si>
    <t>Tianyao Shen</t>
  </si>
  <si>
    <t>Jess Taylor</t>
  </si>
  <si>
    <t>Elmi van der Heuvel</t>
  </si>
  <si>
    <t>Thomas Tiergrove</t>
  </si>
  <si>
    <t>Peter Lusis</t>
  </si>
  <si>
    <t>Cory Hand</t>
  </si>
  <si>
    <t>Michael Leng</t>
  </si>
  <si>
    <t>Check if First time or PB</t>
  </si>
  <si>
    <t>IF(MIN(VALUE(IF(ISBLANK(M7),L7,M7)),VALUE(IF(ISBLANK(L7),M7,L7)))=0,"",ROUND(MIN(VALUE(IF(ISBLANK(M7),L7,M7)),VALUE(IF(ISBLANK(L7),M7,L7))),2))</t>
  </si>
  <si>
    <t>Josh Hendrikse</t>
  </si>
  <si>
    <t>Javier Hong</t>
  </si>
  <si>
    <t>Dane Kleiner</t>
  </si>
  <si>
    <t>Rachel Waugh</t>
  </si>
  <si>
    <t>Ben Bolshinsky</t>
  </si>
  <si>
    <t>Dawood Nazeri</t>
  </si>
  <si>
    <t>Gary Cassidy</t>
  </si>
  <si>
    <t>Andrea Rodriguez</t>
  </si>
  <si>
    <t>Angus Stott</t>
  </si>
  <si>
    <t>James Morrow</t>
  </si>
  <si>
    <t>Suwa Tomoya</t>
  </si>
  <si>
    <t>Georgia Lee</t>
  </si>
  <si>
    <t>Aaron Leng</t>
  </si>
  <si>
    <t>Dion Hemelov</t>
  </si>
  <si>
    <t>Krittaya Sawatsuk</t>
  </si>
  <si>
    <t>Kuya Gombosuren</t>
  </si>
  <si>
    <t>Victoria Haritos</t>
  </si>
  <si>
    <t>Stefan Zens</t>
  </si>
  <si>
    <t>Erin Price</t>
  </si>
  <si>
    <t>Evan Farsell</t>
  </si>
  <si>
    <t>Rachel De Jong</t>
  </si>
  <si>
    <t>Rebecca Chinn</t>
  </si>
  <si>
    <t>Alex Liacos</t>
  </si>
  <si>
    <t>Jack Bullock</t>
  </si>
  <si>
    <t>Rikke Truelsen</t>
  </si>
  <si>
    <t>Jakob Spiegelhauer</t>
  </si>
  <si>
    <t>Wee Tjun Lee</t>
  </si>
  <si>
    <t>Yun Wu</t>
  </si>
  <si>
    <t>Mario De Simone</t>
  </si>
  <si>
    <t>Daniel Christiansl</t>
  </si>
  <si>
    <t>Florence Ying Wang</t>
  </si>
  <si>
    <t>Bryan Diehl</t>
  </si>
  <si>
    <t>Rachel Collins</t>
  </si>
  <si>
    <t>IF(MIN(VALUE(IF(ISBLANK(O7),N7,O7)),VALUE(IF(ISBLANK(N7),O7,N7)))=0,"",ROUND(MIN(VALUE(IF(ISBLANK(O7),N7,O7)),VALUE(IF(ISBLANK(N7),O7,N7))),2))</t>
  </si>
  <si>
    <t>For Time Values</t>
  </si>
  <si>
    <t>IF(MIN(IF(ISBLANK(O7),N7,O7),IF(ISBLANK(N7),O7,N7))=0,"",MIN(IF(ISBLANK(O7),N7,O7),IF(ISBLANK(N7),O7,N7)))</t>
  </si>
  <si>
    <t>TT</t>
  </si>
  <si>
    <t>Megan Rataj</t>
  </si>
  <si>
    <t>Michael Raines</t>
  </si>
  <si>
    <t>Farshid Zavareh</t>
  </si>
  <si>
    <t>Omid Zangareh</t>
  </si>
  <si>
    <t>Comment</t>
  </si>
  <si>
    <t>2 laps</t>
  </si>
  <si>
    <t>3 laps</t>
  </si>
  <si>
    <t>Names</t>
  </si>
  <si>
    <t>Comm</t>
  </si>
  <si>
    <t>Roshini Balasooriya</t>
  </si>
  <si>
    <t>Serena Ng</t>
  </si>
  <si>
    <t>Kohei Miyahara</t>
  </si>
  <si>
    <t>Maria Balbuueya</t>
  </si>
  <si>
    <t>Mayank Vasudeva</t>
  </si>
  <si>
    <t>Mikhail Bhatia</t>
  </si>
  <si>
    <t>Billy Ladas</t>
  </si>
  <si>
    <t>Aidan Burrage</t>
  </si>
  <si>
    <t>Celine Yang</t>
  </si>
  <si>
    <t>Kodai Haga</t>
  </si>
  <si>
    <t>Khairun Nissa</t>
  </si>
  <si>
    <t>Yiwie Xie</t>
  </si>
  <si>
    <t>Tom Yang</t>
  </si>
  <si>
    <t>Yinghan Song</t>
  </si>
  <si>
    <t>Alexandra Bergen</t>
  </si>
  <si>
    <t>Ameera Syed</t>
  </si>
  <si>
    <t>Nicole Leow</t>
  </si>
  <si>
    <t>Ning Zu</t>
  </si>
  <si>
    <t>Penh So</t>
  </si>
  <si>
    <t>Qavi Isa</t>
  </si>
  <si>
    <t>Trung Nguyen</t>
  </si>
  <si>
    <t>Natalie Esparon</t>
  </si>
  <si>
    <t>Svenja Beck</t>
  </si>
  <si>
    <t>??</t>
  </si>
  <si>
    <t>Henry Zhang</t>
  </si>
  <si>
    <t>?</t>
  </si>
  <si>
    <t>David Seeds</t>
  </si>
  <si>
    <t>Alejandro Nestor</t>
  </si>
  <si>
    <t>Roger Lim</t>
  </si>
  <si>
    <t>Aditya Majety</t>
  </si>
  <si>
    <t>Vanessa Bullard</t>
  </si>
  <si>
    <t>Sid Shrestha</t>
  </si>
  <si>
    <t>Jaya Pudashine</t>
  </si>
  <si>
    <t>Chen Yaohui</t>
  </si>
  <si>
    <t>Krina Li</t>
  </si>
  <si>
    <t>IF(MIN(IF(ISBLANK(R10),Q10,R10),IF(ISBLANK(Q10),R10,Q10))=0,"",MIN(IF(ISBLANK(R10),Q10,R10),IF(ISBLANK(Q10),R10,Q10)))</t>
  </si>
  <si>
    <t>Hadi Rezwani</t>
  </si>
  <si>
    <t>Nick Boustead</t>
  </si>
  <si>
    <t>Michelle Lamblin</t>
  </si>
  <si>
    <t>Cynthia Wong</t>
  </si>
  <si>
    <t>Anne-Marie Cassidy</t>
  </si>
  <si>
    <t>Jeryl Liang</t>
  </si>
  <si>
    <t>Jamie Rossjohn</t>
  </si>
  <si>
    <t>Catherine Deery</t>
  </si>
  <si>
    <t>Chris Wilson</t>
  </si>
  <si>
    <t>Adrian Barbuio</t>
  </si>
  <si>
    <t>Patrick Hurley</t>
  </si>
  <si>
    <t>IF(MIN(IF(ISBLANK(U10),T10,U10),IF(ISBLANK(T10),U10,T10))=0,"",MIN(IF(ISBLANK(U10),T10,U10),IF(ISBLANK(T10),U10,T10)))</t>
  </si>
  <si>
    <t>Adrian Fhoa</t>
  </si>
  <si>
    <t>Alex Herrington</t>
  </si>
  <si>
    <t>Amanda Fontaine</t>
  </si>
  <si>
    <t>Angharad Neal-Williams</t>
  </si>
  <si>
    <t>Ashan Kathriachchige</t>
  </si>
  <si>
    <t>Ayden Monsant</t>
  </si>
  <si>
    <t>Beverley Anand</t>
  </si>
  <si>
    <t>Ciara Greene</t>
  </si>
  <si>
    <t xml:space="preserve">Dean Linn </t>
  </si>
  <si>
    <t>Douglas Lim</t>
  </si>
  <si>
    <t>Elinor Williams</t>
  </si>
  <si>
    <t>Elizabeth Kennedy</t>
  </si>
  <si>
    <t>Emily Hamilton</t>
  </si>
  <si>
    <t>Emily Hurley</t>
  </si>
  <si>
    <t>Eng Qian</t>
  </si>
  <si>
    <t>Erika Florez</t>
  </si>
  <si>
    <t>Gabrielle Grech</t>
  </si>
  <si>
    <t>Gabrielle Williams</t>
  </si>
  <si>
    <t>Georgia Parry</t>
  </si>
  <si>
    <t>Georgia Riordan</t>
  </si>
  <si>
    <t>Hiroki Kimijima</t>
  </si>
  <si>
    <t>Hugh Gatford</t>
  </si>
  <si>
    <t>Ian Lock</t>
  </si>
  <si>
    <t>Isabel Kahan</t>
  </si>
  <si>
    <t>James Neeson</t>
  </si>
  <si>
    <t>Jessica Mitch</t>
  </si>
  <si>
    <t>Jessie Ratcliffe</t>
  </si>
  <si>
    <t>Joseph Hajiroussos</t>
  </si>
  <si>
    <t>Joseph Siddons</t>
  </si>
  <si>
    <t>Josh Howie</t>
  </si>
  <si>
    <t>Joshua Smith</t>
  </si>
  <si>
    <t>Judy Cyngler</t>
  </si>
  <si>
    <t>Julia Storrer</t>
  </si>
  <si>
    <t>Kaori Nakase</t>
  </si>
  <si>
    <t>Kasia Lewandowska</t>
  </si>
  <si>
    <t>Kate Manson</t>
  </si>
  <si>
    <t>Kieran Karuna</t>
  </si>
  <si>
    <t>Lachla Barnesby</t>
  </si>
  <si>
    <t>Lachlan Smith</t>
  </si>
  <si>
    <t>Lucy Heath</t>
  </si>
  <si>
    <t xml:space="preserve">Malshika Fernando </t>
  </si>
  <si>
    <t>Masashi Yamada</t>
  </si>
  <si>
    <t>Matthew Heislers</t>
  </si>
  <si>
    <t>Miranda Rey-Fleming</t>
  </si>
  <si>
    <t>Ocean Mitchell-Croft</t>
  </si>
  <si>
    <t>Pari Kamiravel</t>
  </si>
  <si>
    <t>Patrick Flanagan</t>
  </si>
  <si>
    <t>Patrick Lu</t>
  </si>
  <si>
    <t>Peter Bruce</t>
  </si>
  <si>
    <t>Peter Giang</t>
  </si>
  <si>
    <t>Peter Gray</t>
  </si>
  <si>
    <t>Phillip Dallimore</t>
  </si>
  <si>
    <t>Phillip Webb</t>
  </si>
  <si>
    <t>Raymond Wye</t>
  </si>
  <si>
    <t>Rebecca Kenny</t>
  </si>
  <si>
    <t>Shoya Tashima</t>
  </si>
  <si>
    <t>Sophie Fontaine</t>
  </si>
  <si>
    <t>Sophie Ham</t>
  </si>
  <si>
    <t>Stephen Li</t>
  </si>
  <si>
    <t>Thomas Hammond</t>
  </si>
  <si>
    <t>Tom Swan</t>
  </si>
  <si>
    <t>Tu Anh Nguyen</t>
  </si>
  <si>
    <t>Vaishali Haria</t>
  </si>
  <si>
    <t>Xiao Zhang</t>
  </si>
  <si>
    <t>Zobair Yayubi</t>
  </si>
  <si>
    <t>Prashantii Rajendram</t>
  </si>
  <si>
    <t>Huw Gatford</t>
  </si>
  <si>
    <t>Chloe Daudeville</t>
  </si>
  <si>
    <t>Zak Dallimore</t>
  </si>
  <si>
    <t>Toshihito Ito</t>
  </si>
  <si>
    <t>Satoru Aniya</t>
  </si>
  <si>
    <t>Liz Kennedy</t>
  </si>
  <si>
    <t>Vai Haria</t>
  </si>
  <si>
    <t>Katie Phillips</t>
  </si>
  <si>
    <t>Caroline Conan-Davies</t>
  </si>
  <si>
    <t>Thomas Hok</t>
  </si>
  <si>
    <t>Ken Lau</t>
  </si>
  <si>
    <t>IF(MIN(IF(ISBLANK(X10),W10,X10),IF(ISBLANK(W10),X10,W10))=0,"",MIN(IF(ISBLANK(X10),W10,X10),IF(ISBLANK(W10),X10,W10)))</t>
  </si>
  <si>
    <t>Z</t>
  </si>
  <si>
    <t>AA</t>
  </si>
  <si>
    <t>Daniel Lee</t>
  </si>
  <si>
    <t>Mark Ford-Learnar</t>
  </si>
  <si>
    <t>Pavan Jirati</t>
  </si>
  <si>
    <t>Prasanga (‘PJ’) Siripala</t>
  </si>
  <si>
    <t>Laura DeRango</t>
  </si>
  <si>
    <t>Eunice Shao</t>
  </si>
  <si>
    <t>Reuben Frith</t>
  </si>
  <si>
    <t>Irene Graafsma</t>
  </si>
  <si>
    <t>Jon Whittle</t>
  </si>
  <si>
    <t>Kate Robertson</t>
  </si>
  <si>
    <t>Kou Hok Ya</t>
  </si>
  <si>
    <t>Mahir Khan</t>
  </si>
  <si>
    <t>Vasilias Ladas</t>
  </si>
  <si>
    <t>Wilson Kingsbury</t>
  </si>
  <si>
    <t>Chris Winter</t>
  </si>
  <si>
    <t>Jackson Lau</t>
  </si>
  <si>
    <t>Molly Nooe</t>
  </si>
  <si>
    <t>Naomi Gibson</t>
  </si>
  <si>
    <t>Madeleine Barnewell</t>
  </si>
  <si>
    <t>Issac Frith</t>
  </si>
  <si>
    <t>Xiao Xiao</t>
  </si>
  <si>
    <t>IF(MIN(IF(ISBLANK(Z10),AA10,Z10),IF(ISBLANK(AA10),Z10,AA10))=0,"",MIN(IF(ISBLANK(Z10),AA10,Z10),IF(ISBLANK(AA10),Z10,AA10)))</t>
  </si>
  <si>
    <t>Last TT</t>
  </si>
  <si>
    <t>Aimee Clark</t>
  </si>
  <si>
    <t>Enosh Kennedy</t>
  </si>
  <si>
    <t>Gina Griffin</t>
  </si>
  <si>
    <t>Bess Rahimi</t>
  </si>
  <si>
    <t>Tom Gibney</t>
  </si>
  <si>
    <t>Jeck Song Lau</t>
  </si>
  <si>
    <t>Zia Haydari</t>
  </si>
  <si>
    <t>AC</t>
  </si>
  <si>
    <t>AD</t>
  </si>
  <si>
    <t>AE</t>
  </si>
  <si>
    <t>Richard Poulter</t>
  </si>
  <si>
    <t>Chloe Catherwood</t>
  </si>
  <si>
    <t>Anna Kentwell</t>
  </si>
  <si>
    <t>Max Kaufman</t>
  </si>
</sst>
</file>

<file path=xl/styles.xml><?xml version="1.0" encoding="utf-8"?>
<styleSheet xmlns="http://schemas.openxmlformats.org/spreadsheetml/2006/main">
  <numFmts count="2">
    <numFmt numFmtId="164" formatCode="[$-F800]dddd\,\ mmmm\ dd\,\ yyyy"/>
    <numFmt numFmtId="165" formatCode="m:ss"/>
  </numFmts>
  <fonts count="9"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0" fillId="0" borderId="0" xfId="0" applyBorder="1"/>
    <xf numFmtId="4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2" fontId="2" fillId="0" borderId="3" xfId="0" applyNumberFormat="1" applyFont="1" applyBorder="1" applyAlignment="1">
      <alignment horizontal="center"/>
    </xf>
    <xf numFmtId="0" fontId="2" fillId="0" borderId="0" xfId="0" applyFont="1"/>
    <xf numFmtId="2" fontId="2" fillId="0" borderId="1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" xfId="0" applyFont="1" applyBorder="1"/>
    <xf numFmtId="0" fontId="2" fillId="0" borderId="0" xfId="0" applyFont="1" applyBorder="1"/>
    <xf numFmtId="49" fontId="2" fillId="0" borderId="0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6" xfId="0" applyBorder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3" borderId="5" xfId="0" applyFont="1" applyFill="1" applyBorder="1"/>
    <xf numFmtId="0" fontId="2" fillId="0" borderId="5" xfId="0" applyFont="1" applyBorder="1" applyAlignment="1">
      <alignment horizontal="center"/>
    </xf>
    <xf numFmtId="0" fontId="0" fillId="0" borderId="5" xfId="0" applyBorder="1"/>
    <xf numFmtId="0" fontId="1" fillId="0" borderId="7" xfId="0" applyFont="1" applyBorder="1"/>
    <xf numFmtId="0" fontId="2" fillId="4" borderId="6" xfId="0" applyFont="1" applyFill="1" applyBorder="1" applyAlignment="1">
      <alignment horizontal="left" indent="1"/>
    </xf>
    <xf numFmtId="0" fontId="4" fillId="0" borderId="0" xfId="0" applyFont="1" applyAlignment="1">
      <alignment horizontal="center"/>
    </xf>
    <xf numFmtId="0" fontId="2" fillId="0" borderId="0" xfId="0" applyNumberFormat="1" applyFont="1" applyAlignment="1">
      <alignment horizontal="left"/>
    </xf>
    <xf numFmtId="0" fontId="2" fillId="4" borderId="8" xfId="0" applyFont="1" applyFill="1" applyBorder="1" applyAlignment="1">
      <alignment horizontal="left" indent="1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1" xfId="0" applyFont="1" applyBorder="1"/>
    <xf numFmtId="0" fontId="1" fillId="0" borderId="11" xfId="0" applyFont="1" applyBorder="1"/>
    <xf numFmtId="0" fontId="2" fillId="4" borderId="12" xfId="0" applyFont="1" applyFill="1" applyBorder="1" applyAlignment="1">
      <alignment horizontal="left" indent="1"/>
    </xf>
    <xf numFmtId="0" fontId="2" fillId="0" borderId="4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/>
    <xf numFmtId="0" fontId="2" fillId="0" borderId="4" xfId="0" applyFont="1" applyBorder="1"/>
    <xf numFmtId="49" fontId="2" fillId="0" borderId="4" xfId="0" applyNumberFormat="1" applyFont="1" applyBorder="1" applyAlignment="1">
      <alignment horizontal="center"/>
    </xf>
    <xf numFmtId="0" fontId="0" fillId="0" borderId="4" xfId="0" applyBorder="1"/>
    <xf numFmtId="0" fontId="6" fillId="0" borderId="0" xfId="0" applyFont="1"/>
    <xf numFmtId="49" fontId="2" fillId="0" borderId="0" xfId="0" applyNumberFormat="1" applyFont="1" applyBorder="1" applyAlignment="1">
      <alignment horizontal="right" indent="1"/>
    </xf>
    <xf numFmtId="0" fontId="1" fillId="0" borderId="0" xfId="0" applyFont="1" applyAlignment="1">
      <alignment horizontal="right" indent="1"/>
    </xf>
    <xf numFmtId="49" fontId="0" fillId="0" borderId="0" xfId="0" applyNumberFormat="1" applyBorder="1" applyAlignment="1">
      <alignment horizontal="right" indent="1"/>
    </xf>
    <xf numFmtId="49" fontId="0" fillId="0" borderId="0" xfId="0" applyNumberFormat="1" applyAlignment="1">
      <alignment horizontal="right" indent="1"/>
    </xf>
    <xf numFmtId="49" fontId="2" fillId="2" borderId="1" xfId="0" applyNumberFormat="1" applyFont="1" applyFill="1" applyBorder="1" applyAlignment="1">
      <alignment horizontal="right" indent="1"/>
    </xf>
    <xf numFmtId="49" fontId="2" fillId="0" borderId="0" xfId="0" applyNumberFormat="1" applyFont="1" applyAlignment="1">
      <alignment horizontal="right" indent="1"/>
    </xf>
    <xf numFmtId="0" fontId="2" fillId="0" borderId="0" xfId="0" applyNumberFormat="1" applyFont="1" applyAlignment="1">
      <alignment horizontal="right" indent="1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165" fontId="2" fillId="2" borderId="1" xfId="0" applyNumberFormat="1" applyFont="1" applyFill="1" applyBorder="1" applyAlignment="1">
      <alignment horizontal="right" indent="1"/>
    </xf>
    <xf numFmtId="165" fontId="0" fillId="0" borderId="0" xfId="0" applyNumberFormat="1" applyAlignment="1">
      <alignment horizontal="right" indent="1"/>
    </xf>
    <xf numFmtId="165" fontId="2" fillId="0" borderId="0" xfId="0" applyNumberFormat="1" applyFont="1" applyAlignment="1">
      <alignment horizontal="right" indent="1"/>
    </xf>
    <xf numFmtId="49" fontId="2" fillId="2" borderId="7" xfId="0" applyNumberFormat="1" applyFont="1" applyFill="1" applyBorder="1" applyAlignment="1">
      <alignment horizontal="right" indent="1"/>
    </xf>
    <xf numFmtId="165" fontId="2" fillId="2" borderId="7" xfId="0" applyNumberFormat="1" applyFont="1" applyFill="1" applyBorder="1" applyAlignment="1">
      <alignment horizontal="right" indent="1"/>
    </xf>
    <xf numFmtId="16" fontId="2" fillId="0" borderId="2" xfId="0" applyNumberFormat="1" applyFont="1" applyBorder="1" applyAlignment="1">
      <alignment horizontal="center"/>
    </xf>
    <xf numFmtId="16" fontId="2" fillId="0" borderId="3" xfId="0" applyNumberFormat="1" applyFont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16" fontId="2" fillId="0" borderId="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49" fontId="8" fillId="0" borderId="0" xfId="0" applyNumberFormat="1" applyFont="1" applyAlignment="1">
      <alignment horizontal="center"/>
    </xf>
    <xf numFmtId="0" fontId="2" fillId="0" borderId="4" xfId="0" applyNumberFormat="1" applyFont="1" applyBorder="1" applyAlignment="1">
      <alignment horizontal="center"/>
    </xf>
    <xf numFmtId="45" fontId="2" fillId="4" borderId="13" xfId="0" applyNumberFormat="1" applyFont="1" applyFill="1" applyBorder="1" applyAlignment="1">
      <alignment horizontal="right" indent="1"/>
    </xf>
    <xf numFmtId="45" fontId="2" fillId="4" borderId="5" xfId="0" applyNumberFormat="1" applyFont="1" applyFill="1" applyBorder="1" applyAlignment="1">
      <alignment horizontal="right" indent="1"/>
    </xf>
    <xf numFmtId="45" fontId="2" fillId="4" borderId="9" xfId="0" applyNumberFormat="1" applyFont="1" applyFill="1" applyBorder="1" applyAlignment="1">
      <alignment horizontal="right" indent="1"/>
    </xf>
    <xf numFmtId="165" fontId="2" fillId="4" borderId="13" xfId="0" applyNumberFormat="1" applyFont="1" applyFill="1" applyBorder="1" applyAlignment="1">
      <alignment horizontal="right" indent="1"/>
    </xf>
    <xf numFmtId="45" fontId="2" fillId="4" borderId="3" xfId="0" applyNumberFormat="1" applyFont="1" applyFill="1" applyBorder="1" applyAlignment="1">
      <alignment horizontal="right" indent="1"/>
    </xf>
    <xf numFmtId="45" fontId="2" fillId="4" borderId="14" xfId="0" applyNumberFormat="1" applyFont="1" applyFill="1" applyBorder="1" applyAlignment="1">
      <alignment horizontal="right" indent="1"/>
    </xf>
    <xf numFmtId="45" fontId="2" fillId="4" borderId="15" xfId="0" applyNumberFormat="1" applyFont="1" applyFill="1" applyBorder="1" applyAlignment="1">
      <alignment horizontal="right" indent="1"/>
    </xf>
    <xf numFmtId="45" fontId="2" fillId="4" borderId="16" xfId="0" applyNumberFormat="1" applyFont="1" applyFill="1" applyBorder="1" applyAlignment="1">
      <alignment horizontal="right" indent="1"/>
    </xf>
    <xf numFmtId="45" fontId="2" fillId="4" borderId="17" xfId="0" applyNumberFormat="1" applyFont="1" applyFill="1" applyBorder="1" applyAlignment="1">
      <alignment horizontal="right" indent="1"/>
    </xf>
    <xf numFmtId="45" fontId="2" fillId="4" borderId="18" xfId="0" applyNumberFormat="1" applyFont="1" applyFill="1" applyBorder="1" applyAlignment="1">
      <alignment horizontal="right" indent="1"/>
    </xf>
    <xf numFmtId="45" fontId="2" fillId="4" borderId="19" xfId="0" applyNumberFormat="1" applyFont="1" applyFill="1" applyBorder="1" applyAlignment="1">
      <alignment horizontal="right" indent="1"/>
    </xf>
    <xf numFmtId="14" fontId="7" fillId="0" borderId="2" xfId="0" applyNumberFormat="1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5" xfId="0" applyNumberFormat="1" applyFont="1" applyBorder="1" applyAlignment="1">
      <alignment horizontal="center"/>
    </xf>
  </cellXfs>
  <cellStyles count="1">
    <cellStyle name="Normal" xfId="0" builtinId="0"/>
  </cellStyles>
  <dxfs count="99"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ont>
        <b val="0"/>
        <i/>
        <color theme="5"/>
      </font>
    </dxf>
    <dxf>
      <font>
        <b/>
        <i val="0"/>
        <color theme="9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 val="0"/>
        <i/>
        <color theme="5"/>
      </font>
    </dxf>
    <dxf>
      <font>
        <b/>
        <i val="0"/>
        <color theme="9"/>
      </font>
    </dxf>
  </dxfs>
  <tableStyles count="0" defaultTableStyle="TableStyleMedium2" defaultPivotStyle="PivotStyleLight16"/>
  <colors>
    <mruColors>
      <color rgb="FFE6E6E6"/>
      <color rgb="FFECECEC"/>
      <color rgb="FFF7F7F7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v>Andrew Rodda</c:v>
          </c:tx>
          <c:cat>
            <c:strRef>
              <c:f>(Names!$D$9,Names!$E$8,Names!$G$8,Names!$I$8,Names!$K$8,Names!$M$8,Names!$O$8,Names!$R$8,Names!$U$8)</c:f>
              <c:strCache>
                <c:ptCount val="2"/>
                <c:pt idx="0">
                  <c:v>PB</c:v>
                </c:pt>
                <c:pt idx="1">
                  <c:v>12/8/2015</c:v>
                </c:pt>
              </c:strCache>
            </c:strRef>
          </c:cat>
          <c:val>
            <c:numRef>
              <c:f>(Names!$D$60,Names!$E$60,Names!$G$60,Names!$I$60,Names!$K$60,Names!$M$60,Names!$O$60,Names!$R$60,Names!$U$60)</c:f>
              <c:numCache>
                <c:formatCode>@</c:formatCode>
                <c:ptCount val="2"/>
              </c:numCache>
            </c:numRef>
          </c:val>
        </c:ser>
        <c:ser>
          <c:idx val="1"/>
          <c:order val="1"/>
          <c:tx>
            <c:strRef>
              <c:f>Names!$B$156</c:f>
              <c:strCache>
                <c:ptCount val="1"/>
                <c:pt idx="0">
                  <c:v>Dominic Jones</c:v>
                </c:pt>
              </c:strCache>
            </c:strRef>
          </c:tx>
          <c:cat>
            <c:strRef>
              <c:f>(Names!$D$9,Names!$E$8,Names!$G$8,Names!$I$8,Names!$K$8,Names!$M$8,Names!$O$8,Names!$R$8,Names!$U$8)</c:f>
              <c:strCache>
                <c:ptCount val="2"/>
                <c:pt idx="0">
                  <c:v>PB</c:v>
                </c:pt>
                <c:pt idx="1">
                  <c:v>12/8/2015</c:v>
                </c:pt>
              </c:strCache>
            </c:strRef>
          </c:cat>
          <c:val>
            <c:numRef>
              <c:f>(Names!$D$156,Names!$E$156,Names!$G$156,Names!$I$156,Names!$K$156,Names!$M$156,Names!$O$156,Names!$R$156,Names!$U$156)</c:f>
              <c:numCache>
                <c:formatCode>@</c:formatCode>
                <c:ptCount val="2"/>
              </c:numCache>
            </c:numRef>
          </c:val>
        </c:ser>
        <c:ser>
          <c:idx val="2"/>
          <c:order val="2"/>
          <c:tx>
            <c:strRef>
              <c:f>Names!$B$514</c:f>
              <c:strCache>
                <c:ptCount val="1"/>
                <c:pt idx="0">
                  <c:v>Roshini Balasooriya</c:v>
                </c:pt>
              </c:strCache>
            </c:strRef>
          </c:tx>
          <c:cat>
            <c:strRef>
              <c:f>(Names!$D$9,Names!$E$8,Names!$G$8,Names!$I$8,Names!$K$8,Names!$M$8,Names!$O$8,Names!$R$8,Names!$U$8)</c:f>
              <c:strCache>
                <c:ptCount val="2"/>
                <c:pt idx="0">
                  <c:v>PB</c:v>
                </c:pt>
                <c:pt idx="1">
                  <c:v>12/8/2015</c:v>
                </c:pt>
              </c:strCache>
            </c:strRef>
          </c:cat>
          <c:val>
            <c:numRef>
              <c:f>(Names!$D$514,Names!$E$514,Names!$G$514,Names!$I$514,Names!$K$514,Names!$M$514,Names!$O$514,Names!$R$514,Names!$U$514)</c:f>
              <c:numCache>
                <c:formatCode>@</c:formatCode>
                <c:ptCount val="2"/>
              </c:numCache>
            </c:numRef>
          </c:val>
        </c:ser>
        <c:marker val="1"/>
        <c:axId val="91861760"/>
        <c:axId val="91863296"/>
      </c:lineChart>
      <c:catAx>
        <c:axId val="91861760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91863296"/>
        <c:crosses val="autoZero"/>
        <c:auto val="1"/>
        <c:lblAlgn val="ctr"/>
        <c:lblOffset val="100"/>
      </c:catAx>
      <c:valAx>
        <c:axId val="91863296"/>
        <c:scaling>
          <c:orientation val="minMax"/>
        </c:scaling>
        <c:axPos val="l"/>
        <c:majorGridlines/>
        <c:numFmt formatCode="@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91861760"/>
        <c:crosses val="autoZero"/>
        <c:crossBetween val="between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3</xdr:row>
      <xdr:rowOff>9525</xdr:rowOff>
    </xdr:from>
    <xdr:to>
      <xdr:col>18</xdr:col>
      <xdr:colOff>361950</xdr:colOff>
      <xdr:row>43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636"/>
  <sheetViews>
    <sheetView tabSelected="1" topLeftCell="A130" workbookViewId="0">
      <selection activeCell="AD136" sqref="AD136"/>
    </sheetView>
  </sheetViews>
  <sheetFormatPr defaultRowHeight="18.75"/>
  <cols>
    <col min="1" max="1" width="4.42578125" style="3" customWidth="1"/>
    <col min="2" max="2" width="27.7109375" customWidth="1"/>
    <col min="3" max="3" width="3.5703125" bestFit="1" customWidth="1"/>
    <col min="4" max="4" width="9.140625" style="17" customWidth="1"/>
    <col min="5" max="5" width="9.140625" style="18" customWidth="1"/>
    <col min="6" max="6" width="9.140625" style="25" customWidth="1"/>
    <col min="7" max="8" width="9.140625" style="25" hidden="1" customWidth="1"/>
    <col min="9" max="10" width="9.140625" style="17" hidden="1" customWidth="1"/>
    <col min="11" max="14" width="9.140625" style="3" hidden="1" customWidth="1"/>
    <col min="15" max="15" width="9.140625" hidden="1" customWidth="1"/>
    <col min="16" max="16" width="10.85546875" hidden="1" customWidth="1"/>
    <col min="17" max="18" width="9.140625" hidden="1" customWidth="1"/>
    <col min="19" max="19" width="10.85546875" hidden="1" customWidth="1"/>
    <col min="20" max="21" width="9.140625" hidden="1" customWidth="1"/>
    <col min="22" max="22" width="10.85546875" hidden="1" customWidth="1"/>
    <col min="23" max="23" width="9.140625" hidden="1" customWidth="1"/>
    <col min="24" max="26" width="0" hidden="1" customWidth="1"/>
    <col min="28" max="28" width="9.140625" hidden="1" customWidth="1"/>
    <col min="31" max="31" width="0" hidden="1" customWidth="1"/>
  </cols>
  <sheetData>
    <row r="1" spans="1:32" ht="18.75" customHeight="1">
      <c r="H1" s="32"/>
      <c r="O1" s="3"/>
      <c r="P1" s="3"/>
      <c r="Q1" s="3"/>
    </row>
    <row r="2" spans="1:32" ht="18.75" customHeight="1">
      <c r="B2" s="23"/>
      <c r="C2" s="23"/>
      <c r="O2" s="3"/>
      <c r="P2" s="3"/>
      <c r="Q2" s="3"/>
    </row>
    <row r="3" spans="1:32" ht="18.75" customHeight="1">
      <c r="B3" s="23">
        <v>42941</v>
      </c>
      <c r="C3" s="23"/>
      <c r="D3" s="39" t="s">
        <v>0</v>
      </c>
      <c r="E3" s="43" t="s">
        <v>568</v>
      </c>
      <c r="F3" s="66" t="s">
        <v>577</v>
      </c>
      <c r="O3" s="3"/>
      <c r="P3" s="3"/>
      <c r="Q3" s="3"/>
    </row>
    <row r="4" spans="1:32" ht="18.75" customHeight="1">
      <c r="D4" s="64" t="s">
        <v>736</v>
      </c>
      <c r="E4" s="65"/>
      <c r="O4" s="3"/>
      <c r="P4" s="3"/>
      <c r="Q4" s="3"/>
    </row>
    <row r="5" spans="1:32" ht="3.75" customHeight="1">
      <c r="D5" s="64"/>
      <c r="E5" s="65"/>
      <c r="O5" s="3"/>
      <c r="P5" s="3"/>
      <c r="Q5" s="3"/>
    </row>
    <row r="6" spans="1:32" ht="18.75" customHeight="1">
      <c r="D6" s="64" t="s">
        <v>736</v>
      </c>
      <c r="E6" s="65" t="s">
        <v>737</v>
      </c>
      <c r="F6" s="25" t="s">
        <v>738</v>
      </c>
      <c r="O6" s="3"/>
      <c r="P6" s="3"/>
      <c r="Q6" s="3"/>
    </row>
    <row r="7" spans="1:32" ht="18.75" customHeight="1">
      <c r="O7" s="3"/>
      <c r="P7" s="3"/>
      <c r="Q7" s="3"/>
    </row>
    <row r="8" spans="1:32" ht="18.75" customHeight="1">
      <c r="E8" s="78">
        <v>42346</v>
      </c>
      <c r="F8" s="80"/>
      <c r="G8" s="78">
        <v>42423</v>
      </c>
      <c r="H8" s="80"/>
      <c r="I8" s="78">
        <v>42472</v>
      </c>
      <c r="J8" s="80"/>
      <c r="K8" s="78">
        <v>42521</v>
      </c>
      <c r="L8" s="80"/>
      <c r="M8" s="78">
        <v>42577</v>
      </c>
      <c r="N8" s="80"/>
      <c r="O8" s="78">
        <v>42633</v>
      </c>
      <c r="P8" s="79"/>
      <c r="Q8" s="80"/>
      <c r="R8" s="78">
        <v>42689</v>
      </c>
      <c r="S8" s="79"/>
      <c r="T8" s="80"/>
      <c r="U8" s="78">
        <v>42766</v>
      </c>
      <c r="V8" s="79"/>
      <c r="W8" s="80"/>
      <c r="X8" s="78">
        <v>42829</v>
      </c>
      <c r="Y8" s="79"/>
      <c r="Z8" s="80"/>
      <c r="AA8" s="78">
        <v>42878</v>
      </c>
      <c r="AB8" s="79"/>
      <c r="AC8" s="80"/>
      <c r="AD8" s="78">
        <v>42941</v>
      </c>
      <c r="AE8" s="79"/>
      <c r="AF8" s="80"/>
    </row>
    <row r="9" spans="1:32" ht="18.75" customHeight="1">
      <c r="A9" s="24"/>
      <c r="B9" s="12" t="s">
        <v>576</v>
      </c>
      <c r="C9" s="28"/>
      <c r="D9" s="12" t="s">
        <v>0</v>
      </c>
      <c r="E9" s="60" t="s">
        <v>568</v>
      </c>
      <c r="F9" s="12" t="s">
        <v>0</v>
      </c>
      <c r="G9" s="61" t="s">
        <v>568</v>
      </c>
      <c r="H9" s="12" t="s">
        <v>0</v>
      </c>
      <c r="I9" s="61" t="s">
        <v>568</v>
      </c>
      <c r="J9" s="12" t="s">
        <v>0</v>
      </c>
      <c r="K9" s="61" t="s">
        <v>568</v>
      </c>
      <c r="L9" s="12" t="s">
        <v>0</v>
      </c>
      <c r="M9" s="61" t="s">
        <v>568</v>
      </c>
      <c r="N9" s="12" t="s">
        <v>0</v>
      </c>
      <c r="O9" s="63" t="s">
        <v>568</v>
      </c>
      <c r="P9" s="63" t="s">
        <v>573</v>
      </c>
      <c r="Q9" s="12" t="s">
        <v>0</v>
      </c>
      <c r="R9" s="63" t="s">
        <v>568</v>
      </c>
      <c r="S9" s="63" t="s">
        <v>573</v>
      </c>
      <c r="T9" s="12" t="s">
        <v>0</v>
      </c>
      <c r="U9" s="63" t="s">
        <v>568</v>
      </c>
      <c r="V9" s="63" t="s">
        <v>573</v>
      </c>
      <c r="W9" s="12" t="s">
        <v>0</v>
      </c>
      <c r="X9" s="16" t="s">
        <v>568</v>
      </c>
      <c r="Y9" s="10" t="s">
        <v>573</v>
      </c>
      <c r="Z9" s="10" t="s">
        <v>0</v>
      </c>
      <c r="AA9" s="16" t="s">
        <v>568</v>
      </c>
      <c r="AB9" s="10" t="s">
        <v>573</v>
      </c>
      <c r="AC9" s="10" t="s">
        <v>0</v>
      </c>
      <c r="AD9" s="16" t="s">
        <v>568</v>
      </c>
      <c r="AE9" s="10" t="s">
        <v>573</v>
      </c>
      <c r="AF9" s="10" t="s">
        <v>0</v>
      </c>
    </row>
    <row r="10" spans="1:32" ht="18.75" customHeight="1">
      <c r="A10" s="24"/>
      <c r="B10" s="26" t="s">
        <v>519</v>
      </c>
      <c r="C10" s="26" t="s">
        <v>450</v>
      </c>
      <c r="D10" s="50"/>
      <c r="E10" s="51"/>
      <c r="F10" s="58"/>
      <c r="G10" s="52"/>
      <c r="H10" s="58"/>
      <c r="I10" s="53"/>
      <c r="J10" s="58"/>
      <c r="K10" s="54"/>
      <c r="L10" s="58"/>
      <c r="M10" s="56"/>
      <c r="N10" s="59" t="s">
        <v>455</v>
      </c>
      <c r="O10" s="56"/>
      <c r="P10" s="56"/>
      <c r="Q10" s="59" t="str">
        <f t="shared" ref="Q10:Q15" si="0">IF(MIN(IF(ISBLANK(O10),N10,O10),IF(ISBLANK(N10),O10,N10))=0,"",MIN(IF(ISBLANK(O10),N10,O10),IF(ISBLANK(N10),O10,N10)))</f>
        <v/>
      </c>
      <c r="R10" s="56"/>
      <c r="S10" s="56"/>
      <c r="T10" s="59" t="str">
        <f t="shared" ref="T10:T19" si="1">IF(MIN(IF(ISBLANK(R10),Q10,R10),IF(ISBLANK(Q10),R10,Q10))=0,"",MIN(IF(ISBLANK(R10),Q10,R10),IF(ISBLANK(Q10),R10,Q10)))</f>
        <v/>
      </c>
      <c r="U10" s="56"/>
      <c r="V10" s="56"/>
      <c r="W10" s="59" t="str">
        <f t="shared" ref="W10:W19" si="2">IF(MIN(IF(ISBLANK(U10),T10,U10),IF(ISBLANK(T10),U10,T10))=0,"",MIN(IF(ISBLANK(U10),T10,U10),IF(ISBLANK(T10),U10,T10)))</f>
        <v/>
      </c>
      <c r="X10" s="56"/>
      <c r="Y10" s="56"/>
      <c r="Z10" s="59" t="str">
        <f t="shared" ref="Z10:Z23" si="3">IF(MIN(IF(ISBLANK(X10),W10,X10),IF(ISBLANK(W10),X10,W10))=0,"",MIN(IF(ISBLANK(X10),W10,X10),IF(ISBLANK(W10),X10,W10)))</f>
        <v/>
      </c>
      <c r="AA10" s="56"/>
      <c r="AB10" s="56"/>
      <c r="AC10" s="59" t="str">
        <f t="shared" ref="AC10:AC23" si="4">IF(MIN(IF(ISBLANK(Z10),AA10,Z10),IF(ISBLANK(AA10),Z10,AA10))=0,"",MIN(IF(ISBLANK(Z10),AA10,Z10),IF(ISBLANK(AA10),Z10,AA10)))</f>
        <v/>
      </c>
      <c r="AD10" s="56"/>
      <c r="AE10" s="56"/>
      <c r="AF10" s="59"/>
    </row>
    <row r="11" spans="1:32" ht="18.75" customHeight="1">
      <c r="A11" s="24"/>
      <c r="B11" s="26" t="s">
        <v>544</v>
      </c>
      <c r="C11" s="26" t="s">
        <v>450</v>
      </c>
      <c r="D11" s="50"/>
      <c r="E11" s="51"/>
      <c r="F11" s="58"/>
      <c r="G11" s="52"/>
      <c r="H11" s="58"/>
      <c r="I11" s="53"/>
      <c r="J11" s="58"/>
      <c r="K11" s="53"/>
      <c r="L11" s="58"/>
      <c r="M11" s="57"/>
      <c r="N11" s="59"/>
      <c r="O11" s="57"/>
      <c r="P11" s="57"/>
      <c r="Q11" s="59" t="str">
        <f t="shared" si="0"/>
        <v/>
      </c>
      <c r="R11" s="57"/>
      <c r="S11" s="57"/>
      <c r="T11" s="59" t="str">
        <f t="shared" si="1"/>
        <v/>
      </c>
      <c r="U11" s="57"/>
      <c r="V11" s="57"/>
      <c r="W11" s="59" t="str">
        <f t="shared" si="2"/>
        <v/>
      </c>
      <c r="X11" s="57"/>
      <c r="Y11" s="57"/>
      <c r="Z11" s="59" t="str">
        <f t="shared" si="3"/>
        <v/>
      </c>
      <c r="AA11" s="57"/>
      <c r="AB11" s="57"/>
      <c r="AC11" s="59" t="str">
        <f t="shared" si="4"/>
        <v/>
      </c>
      <c r="AD11" s="57"/>
      <c r="AE11" s="57"/>
      <c r="AF11" s="59"/>
    </row>
    <row r="12" spans="1:32" ht="18.75" customHeight="1">
      <c r="A12" s="24"/>
      <c r="B12" s="26" t="s">
        <v>2</v>
      </c>
      <c r="C12" s="26" t="s">
        <v>450</v>
      </c>
      <c r="D12" s="50">
        <v>7.51</v>
      </c>
      <c r="E12" s="51"/>
      <c r="F12" s="58">
        <v>7.51</v>
      </c>
      <c r="G12" s="52">
        <v>8.11</v>
      </c>
      <c r="H12" s="58">
        <v>7.51</v>
      </c>
      <c r="I12" s="53"/>
      <c r="J12" s="58">
        <v>7.51</v>
      </c>
      <c r="K12" s="54"/>
      <c r="L12" s="58">
        <v>7.51</v>
      </c>
      <c r="M12" s="56"/>
      <c r="N12" s="59">
        <v>5.4513888888888884E-3</v>
      </c>
      <c r="O12" s="56"/>
      <c r="P12" s="56"/>
      <c r="Q12" s="59">
        <f t="shared" si="0"/>
        <v>5.4513888888888884E-3</v>
      </c>
      <c r="R12" s="56"/>
      <c r="S12" s="56"/>
      <c r="T12" s="59">
        <f t="shared" si="1"/>
        <v>5.4513888888888884E-3</v>
      </c>
      <c r="U12" s="56"/>
      <c r="V12" s="56"/>
      <c r="W12" s="59">
        <f t="shared" si="2"/>
        <v>5.4513888888888884E-3</v>
      </c>
      <c r="X12" s="56"/>
      <c r="Y12" s="56"/>
      <c r="Z12" s="59">
        <f t="shared" si="3"/>
        <v>5.4513888888888884E-3</v>
      </c>
      <c r="AA12" s="56"/>
      <c r="AB12" s="56"/>
      <c r="AC12" s="59">
        <f t="shared" si="4"/>
        <v>5.4513888888888884E-3</v>
      </c>
      <c r="AD12" s="56"/>
      <c r="AE12" s="56"/>
      <c r="AF12" s="59"/>
    </row>
    <row r="13" spans="1:32" ht="18.75" customHeight="1">
      <c r="A13" s="24"/>
      <c r="B13" s="26" t="s">
        <v>379</v>
      </c>
      <c r="C13" s="26" t="s">
        <v>450</v>
      </c>
      <c r="D13" s="50"/>
      <c r="E13" s="51"/>
      <c r="F13" s="50"/>
      <c r="G13" s="52"/>
      <c r="H13" s="50"/>
      <c r="I13" s="53"/>
      <c r="J13" s="50" t="s">
        <v>455</v>
      </c>
      <c r="K13" s="53"/>
      <c r="L13" s="50"/>
      <c r="M13" s="57"/>
      <c r="N13" s="55" t="s">
        <v>455</v>
      </c>
      <c r="O13" s="57"/>
      <c r="P13" s="57"/>
      <c r="Q13" s="59" t="str">
        <f t="shared" si="0"/>
        <v/>
      </c>
      <c r="R13" s="57"/>
      <c r="S13" s="57"/>
      <c r="T13" s="59" t="str">
        <f t="shared" si="1"/>
        <v/>
      </c>
      <c r="U13" s="57"/>
      <c r="V13" s="57"/>
      <c r="W13" s="59" t="str">
        <f t="shared" si="2"/>
        <v/>
      </c>
      <c r="X13" s="57"/>
      <c r="Y13" s="57"/>
      <c r="Z13" s="59" t="str">
        <f t="shared" si="3"/>
        <v/>
      </c>
      <c r="AA13" s="57"/>
      <c r="AB13" s="57"/>
      <c r="AC13" s="59" t="str">
        <f t="shared" si="4"/>
        <v/>
      </c>
      <c r="AD13" s="57"/>
      <c r="AE13" s="57"/>
      <c r="AF13" s="59"/>
    </row>
    <row r="14" spans="1:32" ht="18.75" customHeight="1">
      <c r="A14" s="24"/>
      <c r="B14" s="26" t="s">
        <v>380</v>
      </c>
      <c r="C14" s="26" t="s">
        <v>450</v>
      </c>
      <c r="D14" s="50"/>
      <c r="E14" s="51"/>
      <c r="F14" s="50"/>
      <c r="G14" s="52"/>
      <c r="H14" s="50"/>
      <c r="I14" s="53">
        <v>9.44</v>
      </c>
      <c r="J14" s="50">
        <v>9.44</v>
      </c>
      <c r="K14" s="53"/>
      <c r="L14" s="50">
        <v>9.44</v>
      </c>
      <c r="M14" s="57"/>
      <c r="N14" s="55">
        <v>6.7592592592592591E-3</v>
      </c>
      <c r="O14" s="57"/>
      <c r="P14" s="57"/>
      <c r="Q14" s="59">
        <f t="shared" si="0"/>
        <v>6.7592592592592591E-3</v>
      </c>
      <c r="R14" s="57"/>
      <c r="S14" s="57"/>
      <c r="T14" s="59">
        <f t="shared" si="1"/>
        <v>6.7592592592592591E-3</v>
      </c>
      <c r="U14" s="57"/>
      <c r="V14" s="57"/>
      <c r="W14" s="59">
        <f t="shared" si="2"/>
        <v>6.7592592592592591E-3</v>
      </c>
      <c r="X14" s="57"/>
      <c r="Y14" s="57"/>
      <c r="Z14" s="59">
        <f t="shared" si="3"/>
        <v>6.7592592592592591E-3</v>
      </c>
      <c r="AA14" s="57"/>
      <c r="AB14" s="57"/>
      <c r="AC14" s="59">
        <f t="shared" si="4"/>
        <v>6.7592592592592591E-3</v>
      </c>
      <c r="AD14" s="57"/>
      <c r="AE14" s="57"/>
      <c r="AF14" s="59"/>
    </row>
    <row r="15" spans="1:32" ht="18.75" customHeight="1">
      <c r="A15" s="24"/>
      <c r="B15" s="26" t="s">
        <v>330</v>
      </c>
      <c r="C15" s="26" t="s">
        <v>450</v>
      </c>
      <c r="D15" s="50"/>
      <c r="E15" s="51"/>
      <c r="F15" s="50" t="s">
        <v>455</v>
      </c>
      <c r="G15" s="52"/>
      <c r="H15" s="50"/>
      <c r="I15" s="53"/>
      <c r="J15" s="50" t="s">
        <v>455</v>
      </c>
      <c r="K15" s="53"/>
      <c r="L15" s="50"/>
      <c r="M15" s="57"/>
      <c r="N15" s="55" t="s">
        <v>455</v>
      </c>
      <c r="O15" s="57"/>
      <c r="P15" s="57"/>
      <c r="Q15" s="59" t="str">
        <f t="shared" si="0"/>
        <v/>
      </c>
      <c r="R15" s="57"/>
      <c r="S15" s="57"/>
      <c r="T15" s="59" t="str">
        <f t="shared" si="1"/>
        <v/>
      </c>
      <c r="U15" s="57"/>
      <c r="V15" s="57"/>
      <c r="W15" s="59" t="str">
        <f t="shared" si="2"/>
        <v/>
      </c>
      <c r="X15" s="57"/>
      <c r="Y15" s="57"/>
      <c r="Z15" s="59" t="str">
        <f t="shared" si="3"/>
        <v/>
      </c>
      <c r="AA15" s="57"/>
      <c r="AB15" s="57"/>
      <c r="AC15" s="59" t="str">
        <f t="shared" si="4"/>
        <v/>
      </c>
      <c r="AD15" s="57"/>
      <c r="AE15" s="57"/>
      <c r="AF15" s="59"/>
    </row>
    <row r="16" spans="1:32" ht="18.75" customHeight="1">
      <c r="A16" s="24"/>
      <c r="B16" s="26" t="s">
        <v>607</v>
      </c>
      <c r="C16" s="26"/>
      <c r="D16" s="50"/>
      <c r="E16" s="51"/>
      <c r="F16" s="50"/>
      <c r="G16" s="52"/>
      <c r="H16" s="50"/>
      <c r="I16" s="53"/>
      <c r="J16" s="50"/>
      <c r="K16" s="53"/>
      <c r="L16" s="50"/>
      <c r="M16" s="57"/>
      <c r="N16" s="55"/>
      <c r="O16" s="57"/>
      <c r="P16" s="57"/>
      <c r="Q16" s="59"/>
      <c r="R16" s="57"/>
      <c r="S16" s="57"/>
      <c r="T16" s="59" t="str">
        <f t="shared" si="1"/>
        <v/>
      </c>
      <c r="U16" s="57"/>
      <c r="V16" s="57"/>
      <c r="W16" s="59" t="str">
        <f t="shared" si="2"/>
        <v/>
      </c>
      <c r="X16" s="57"/>
      <c r="Y16" s="57"/>
      <c r="Z16" s="59" t="str">
        <f t="shared" si="3"/>
        <v/>
      </c>
      <c r="AA16" s="57"/>
      <c r="AB16" s="57"/>
      <c r="AC16" s="59" t="str">
        <f t="shared" si="4"/>
        <v/>
      </c>
      <c r="AD16" s="57"/>
      <c r="AE16" s="57"/>
      <c r="AF16" s="59"/>
    </row>
    <row r="17" spans="1:32" ht="18.75" customHeight="1">
      <c r="A17" s="24"/>
      <c r="B17" s="26" t="s">
        <v>501</v>
      </c>
      <c r="C17" s="26"/>
      <c r="D17" s="50"/>
      <c r="E17" s="51"/>
      <c r="F17" s="50"/>
      <c r="G17" s="52"/>
      <c r="H17" s="50"/>
      <c r="I17" s="53"/>
      <c r="J17" s="50"/>
      <c r="K17" s="53"/>
      <c r="L17" s="50"/>
      <c r="M17" s="57">
        <v>6.1921296296296299E-3</v>
      </c>
      <c r="N17" s="55">
        <v>6.1921296296296299E-3</v>
      </c>
      <c r="O17" s="57">
        <v>5.8796296296296296E-3</v>
      </c>
      <c r="P17" s="57"/>
      <c r="Q17" s="59">
        <f>IF(MIN(IF(ISBLANK(O17),N17,O17),IF(ISBLANK(N17),O17,N17))=0,"",MIN(IF(ISBLANK(O17),N17,O17),IF(ISBLANK(N17),O17,N17)))</f>
        <v>5.8796296296296296E-3</v>
      </c>
      <c r="R17" s="57"/>
      <c r="S17" s="57"/>
      <c r="T17" s="59">
        <f t="shared" si="1"/>
        <v>5.8796296296296296E-3</v>
      </c>
      <c r="U17" s="57"/>
      <c r="V17" s="57"/>
      <c r="W17" s="59">
        <f t="shared" si="2"/>
        <v>5.8796296296296296E-3</v>
      </c>
      <c r="X17" s="57"/>
      <c r="Y17" s="57"/>
      <c r="Z17" s="59">
        <f t="shared" si="3"/>
        <v>5.8796296296296296E-3</v>
      </c>
      <c r="AA17" s="57"/>
      <c r="AB17" s="57"/>
      <c r="AC17" s="59">
        <f t="shared" si="4"/>
        <v>5.8796296296296296E-3</v>
      </c>
      <c r="AD17" s="57"/>
      <c r="AE17" s="57"/>
      <c r="AF17" s="59"/>
    </row>
    <row r="18" spans="1:32" ht="18.75" customHeight="1">
      <c r="A18" s="24"/>
      <c r="B18" s="26" t="s">
        <v>623</v>
      </c>
      <c r="C18" s="26"/>
      <c r="D18" s="50"/>
      <c r="E18" s="51"/>
      <c r="F18" s="50"/>
      <c r="G18" s="52"/>
      <c r="H18" s="50"/>
      <c r="I18" s="53"/>
      <c r="J18" s="50"/>
      <c r="K18" s="53"/>
      <c r="L18" s="50"/>
      <c r="M18" s="57"/>
      <c r="N18" s="55"/>
      <c r="O18" s="57"/>
      <c r="P18" s="57"/>
      <c r="Q18" s="59"/>
      <c r="R18" s="57"/>
      <c r="S18" s="57"/>
      <c r="T18" s="59" t="str">
        <f t="shared" si="1"/>
        <v/>
      </c>
      <c r="U18" s="57">
        <v>7.5578703703703702E-3</v>
      </c>
      <c r="V18" s="57"/>
      <c r="W18" s="59">
        <f t="shared" si="2"/>
        <v>7.5578703703703702E-3</v>
      </c>
      <c r="X18" s="57"/>
      <c r="Y18" s="57"/>
      <c r="Z18" s="59">
        <f t="shared" si="3"/>
        <v>7.5578703703703702E-3</v>
      </c>
      <c r="AA18" s="57"/>
      <c r="AB18" s="57"/>
      <c r="AC18" s="59">
        <f t="shared" si="4"/>
        <v>7.5578703703703702E-3</v>
      </c>
      <c r="AD18" s="57"/>
      <c r="AE18" s="57"/>
      <c r="AF18" s="59"/>
    </row>
    <row r="19" spans="1:32" ht="18.75" customHeight="1">
      <c r="A19" s="24" t="s">
        <v>326</v>
      </c>
      <c r="B19" s="26" t="s">
        <v>329</v>
      </c>
      <c r="C19" s="26" t="s">
        <v>450</v>
      </c>
      <c r="D19" s="50">
        <v>8.2899999999999991</v>
      </c>
      <c r="E19" s="51"/>
      <c r="F19" s="50">
        <v>8.2899999999999991</v>
      </c>
      <c r="G19" s="52"/>
      <c r="H19" s="50">
        <v>8.2899999999999991</v>
      </c>
      <c r="I19" s="53"/>
      <c r="J19" s="50">
        <v>8.2899999999999991</v>
      </c>
      <c r="K19" s="53"/>
      <c r="L19" s="50">
        <v>8.2899999999999991</v>
      </c>
      <c r="M19" s="57"/>
      <c r="N19" s="55">
        <v>5.8912037037037032E-3</v>
      </c>
      <c r="O19" s="57"/>
      <c r="P19" s="57"/>
      <c r="Q19" s="59">
        <f>IF(MIN(IF(ISBLANK(O19),N19,O19),IF(ISBLANK(N19),O19,N19))=0,"",MIN(IF(ISBLANK(O19),N19,O19),IF(ISBLANK(N19),O19,N19)))</f>
        <v>5.8912037037037032E-3</v>
      </c>
      <c r="R19" s="57"/>
      <c r="S19" s="57"/>
      <c r="T19" s="59">
        <f t="shared" si="1"/>
        <v>5.8912037037037032E-3</v>
      </c>
      <c r="U19" s="57"/>
      <c r="V19" s="57"/>
      <c r="W19" s="59">
        <f t="shared" si="2"/>
        <v>5.8912037037037032E-3</v>
      </c>
      <c r="X19" s="57"/>
      <c r="Y19" s="57"/>
      <c r="Z19" s="59">
        <f t="shared" si="3"/>
        <v>5.8912037037037032E-3</v>
      </c>
      <c r="AA19" s="57"/>
      <c r="AB19" s="57"/>
      <c r="AC19" s="59">
        <f t="shared" si="4"/>
        <v>5.8912037037037032E-3</v>
      </c>
      <c r="AD19" s="57"/>
      <c r="AE19" s="57"/>
      <c r="AF19" s="59"/>
    </row>
    <row r="20" spans="1:32" ht="18.75" customHeight="1">
      <c r="A20" s="24"/>
      <c r="B20" s="26" t="s">
        <v>626</v>
      </c>
      <c r="C20" s="26" t="s">
        <v>450</v>
      </c>
      <c r="D20" s="50"/>
      <c r="E20" s="51"/>
      <c r="F20" s="50"/>
      <c r="G20" s="52"/>
      <c r="H20" s="50"/>
      <c r="I20" s="53"/>
      <c r="J20" s="50"/>
      <c r="K20" s="53"/>
      <c r="L20" s="50"/>
      <c r="M20" s="57"/>
      <c r="N20" s="55"/>
      <c r="O20" s="57"/>
      <c r="P20" s="57"/>
      <c r="Q20" s="59"/>
      <c r="R20" s="57"/>
      <c r="S20" s="57"/>
      <c r="T20" s="59"/>
      <c r="U20" s="57"/>
      <c r="V20" s="57"/>
      <c r="W20" s="59"/>
      <c r="X20" s="57"/>
      <c r="Y20" s="57"/>
      <c r="Z20" s="59" t="str">
        <f t="shared" si="3"/>
        <v/>
      </c>
      <c r="AA20" s="57"/>
      <c r="AB20" s="57"/>
      <c r="AC20" s="59" t="str">
        <f t="shared" si="4"/>
        <v/>
      </c>
      <c r="AD20" s="57"/>
      <c r="AE20" s="57"/>
      <c r="AF20" s="59"/>
    </row>
    <row r="21" spans="1:32" ht="18.75" customHeight="1">
      <c r="A21" s="24"/>
      <c r="B21" s="26" t="s">
        <v>467</v>
      </c>
      <c r="C21" s="26" t="s">
        <v>451</v>
      </c>
      <c r="D21" s="50"/>
      <c r="E21" s="51"/>
      <c r="F21" s="50"/>
      <c r="G21" s="52"/>
      <c r="H21" s="50"/>
      <c r="I21" s="53"/>
      <c r="J21" s="50"/>
      <c r="K21" s="53"/>
      <c r="L21" s="50"/>
      <c r="M21" s="57">
        <v>6.8402777777777776E-3</v>
      </c>
      <c r="N21" s="55">
        <v>6.8402777777777776E-3</v>
      </c>
      <c r="O21" s="57">
        <v>6.7245370370370367E-3</v>
      </c>
      <c r="P21" s="57"/>
      <c r="Q21" s="59">
        <f>IF(MIN(IF(ISBLANK(O21),N21,O21),IF(ISBLANK(N21),O21,N21))=0,"",MIN(IF(ISBLANK(O21),N21,O21),IF(ISBLANK(N21),O21,N21)))</f>
        <v>6.7245370370370367E-3</v>
      </c>
      <c r="R21" s="57">
        <v>6.5509259259259262E-3</v>
      </c>
      <c r="S21" s="57"/>
      <c r="T21" s="59">
        <f>IF(MIN(IF(ISBLANK(R21),Q21,R21),IF(ISBLANK(Q21),R21,Q21))=0,"",MIN(IF(ISBLANK(R21),Q21,R21),IF(ISBLANK(Q21),R21,Q21)))</f>
        <v>6.5509259259259262E-3</v>
      </c>
      <c r="U21" s="57"/>
      <c r="V21" s="57"/>
      <c r="W21" s="59">
        <f>IF(MIN(IF(ISBLANK(U21),T21,U21),IF(ISBLANK(T21),U21,T21))=0,"",MIN(IF(ISBLANK(U21),T21,U21),IF(ISBLANK(T21),U21,T21)))</f>
        <v>6.5509259259259262E-3</v>
      </c>
      <c r="X21" s="57"/>
      <c r="Y21" s="57"/>
      <c r="Z21" s="59">
        <f t="shared" si="3"/>
        <v>6.5509259259259262E-3</v>
      </c>
      <c r="AA21" s="57"/>
      <c r="AB21" s="57"/>
      <c r="AC21" s="59">
        <f t="shared" si="4"/>
        <v>6.5509259259259262E-3</v>
      </c>
      <c r="AD21" s="57"/>
      <c r="AE21" s="57"/>
      <c r="AF21" s="59"/>
    </row>
    <row r="22" spans="1:32" ht="18.75" customHeight="1">
      <c r="A22" s="24"/>
      <c r="B22" s="26" t="s">
        <v>585</v>
      </c>
      <c r="C22" s="26"/>
      <c r="D22" s="50"/>
      <c r="E22" s="51"/>
      <c r="F22" s="50"/>
      <c r="G22" s="52"/>
      <c r="H22" s="50"/>
      <c r="I22" s="53"/>
      <c r="J22" s="50"/>
      <c r="K22" s="53"/>
      <c r="L22" s="50"/>
      <c r="M22" s="57"/>
      <c r="N22" s="55"/>
      <c r="O22" s="57"/>
      <c r="P22" s="57"/>
      <c r="Q22" s="59"/>
      <c r="R22" s="57">
        <v>5.5208333333333333E-3</v>
      </c>
      <c r="S22" s="57"/>
      <c r="T22" s="59">
        <f>IF(MIN(IF(ISBLANK(R22),Q22,R22),IF(ISBLANK(Q22),R22,Q22))=0,"",MIN(IF(ISBLANK(R22),Q22,R22),IF(ISBLANK(Q22),R22,Q22)))</f>
        <v>5.5208333333333333E-3</v>
      </c>
      <c r="U22" s="57"/>
      <c r="V22" s="57"/>
      <c r="W22" s="59">
        <f>IF(MIN(IF(ISBLANK(U22),T22,U22),IF(ISBLANK(T22),U22,T22))=0,"",MIN(IF(ISBLANK(U22),T22,U22),IF(ISBLANK(T22),U22,T22)))</f>
        <v>5.5208333333333333E-3</v>
      </c>
      <c r="X22" s="57"/>
      <c r="Y22" s="57"/>
      <c r="Z22" s="59">
        <f t="shared" si="3"/>
        <v>5.5208333333333333E-3</v>
      </c>
      <c r="AA22" s="57"/>
      <c r="AB22" s="57"/>
      <c r="AC22" s="59">
        <f t="shared" si="4"/>
        <v>5.5208333333333333E-3</v>
      </c>
      <c r="AD22" s="57"/>
      <c r="AE22" s="57"/>
      <c r="AF22" s="59"/>
    </row>
    <row r="23" spans="1:32" ht="18.75" customHeight="1">
      <c r="A23" s="24"/>
      <c r="B23" s="26" t="s">
        <v>12</v>
      </c>
      <c r="C23" s="26" t="s">
        <v>450</v>
      </c>
      <c r="D23" s="50" t="s">
        <v>221</v>
      </c>
      <c r="E23" s="51"/>
      <c r="F23" s="50" t="s">
        <v>221</v>
      </c>
      <c r="G23" s="52"/>
      <c r="H23" s="50" t="s">
        <v>221</v>
      </c>
      <c r="I23" s="53"/>
      <c r="J23" s="50" t="s">
        <v>221</v>
      </c>
      <c r="K23" s="53"/>
      <c r="L23" s="50" t="s">
        <v>221</v>
      </c>
      <c r="M23" s="57"/>
      <c r="N23" s="55">
        <v>6.1342592592592594E-3</v>
      </c>
      <c r="O23" s="57"/>
      <c r="P23" s="57"/>
      <c r="Q23" s="59">
        <f>IF(MIN(IF(ISBLANK(O23),N23,O23),IF(ISBLANK(N23),O23,N23))=0,"",MIN(IF(ISBLANK(O23),N23,O23),IF(ISBLANK(N23),O23,N23)))</f>
        <v>6.1342592592592594E-3</v>
      </c>
      <c r="R23" s="57"/>
      <c r="S23" s="57"/>
      <c r="T23" s="59">
        <f>IF(MIN(IF(ISBLANK(R23),Q23,R23),IF(ISBLANK(Q23),R23,Q23))=0,"",MIN(IF(ISBLANK(R23),Q23,R23),IF(ISBLANK(Q23),R23,Q23)))</f>
        <v>6.1342592592592594E-3</v>
      </c>
      <c r="U23" s="57"/>
      <c r="V23" s="57"/>
      <c r="W23" s="59">
        <f>IF(MIN(IF(ISBLANK(U23),T23,U23),IF(ISBLANK(T23),U23,T23))=0,"",MIN(IF(ISBLANK(U23),T23,U23),IF(ISBLANK(T23),U23,T23)))</f>
        <v>6.1342592592592594E-3</v>
      </c>
      <c r="X23" s="57"/>
      <c r="Y23" s="57"/>
      <c r="Z23" s="59">
        <f t="shared" si="3"/>
        <v>6.1342592592592594E-3</v>
      </c>
      <c r="AA23" s="57"/>
      <c r="AB23" s="57"/>
      <c r="AC23" s="59">
        <f t="shared" si="4"/>
        <v>6.1342592592592594E-3</v>
      </c>
      <c r="AD23" s="57"/>
      <c r="AE23" s="57"/>
      <c r="AF23" s="59"/>
    </row>
    <row r="24" spans="1:32" ht="18.75" customHeight="1">
      <c r="A24" s="24" t="s">
        <v>326</v>
      </c>
      <c r="B24" s="26" t="s">
        <v>729</v>
      </c>
      <c r="C24" s="26"/>
      <c r="D24" s="50"/>
      <c r="E24" s="51"/>
      <c r="F24" s="50"/>
      <c r="G24" s="52"/>
      <c r="H24" s="50"/>
      <c r="I24" s="53"/>
      <c r="J24" s="50"/>
      <c r="K24" s="54"/>
      <c r="L24" s="50"/>
      <c r="M24" s="56"/>
      <c r="N24" s="55"/>
      <c r="O24" s="56"/>
      <c r="P24" s="56"/>
      <c r="Q24" s="59"/>
      <c r="R24" s="56"/>
      <c r="S24" s="56"/>
      <c r="T24" s="59"/>
      <c r="U24" s="56"/>
      <c r="V24" s="56"/>
      <c r="W24" s="59"/>
      <c r="X24" s="56"/>
      <c r="Y24" s="56"/>
      <c r="Z24" s="59"/>
      <c r="AA24" s="56"/>
      <c r="AB24" s="56"/>
      <c r="AC24" s="59"/>
      <c r="AD24" s="56"/>
      <c r="AE24" s="56"/>
      <c r="AF24" s="59"/>
    </row>
    <row r="25" spans="1:32" ht="18.75" customHeight="1">
      <c r="A25" s="24"/>
      <c r="B25" s="26" t="s">
        <v>381</v>
      </c>
      <c r="C25" s="26" t="s">
        <v>450</v>
      </c>
      <c r="D25" s="50"/>
      <c r="E25" s="51"/>
      <c r="F25" s="50"/>
      <c r="G25" s="52"/>
      <c r="H25" s="50"/>
      <c r="I25" s="53"/>
      <c r="J25" s="50" t="s">
        <v>455</v>
      </c>
      <c r="K25" s="53"/>
      <c r="L25" s="50"/>
      <c r="M25" s="57"/>
      <c r="N25" s="55" t="s">
        <v>455</v>
      </c>
      <c r="O25" s="57"/>
      <c r="P25" s="57"/>
      <c r="Q25" s="59" t="str">
        <f>IF(MIN(IF(ISBLANK(O25),N25,O25),IF(ISBLANK(N25),O25,N25))=0,"",MIN(IF(ISBLANK(O25),N25,O25),IF(ISBLANK(N25),O25,N25)))</f>
        <v/>
      </c>
      <c r="R25" s="57"/>
      <c r="S25" s="57"/>
      <c r="T25" s="59" t="str">
        <f>IF(MIN(IF(ISBLANK(R25),Q25,R25),IF(ISBLANK(Q25),R25,Q25))=0,"",MIN(IF(ISBLANK(R25),Q25,R25),IF(ISBLANK(Q25),R25,Q25)))</f>
        <v/>
      </c>
      <c r="U25" s="57"/>
      <c r="V25" s="57"/>
      <c r="W25" s="59" t="str">
        <f>IF(MIN(IF(ISBLANK(U25),T25,U25),IF(ISBLANK(T25),U25,T25))=0,"",MIN(IF(ISBLANK(U25),T25,U25),IF(ISBLANK(T25),U25,T25)))</f>
        <v/>
      </c>
      <c r="X25" s="57"/>
      <c r="Y25" s="57"/>
      <c r="Z25" s="59" t="str">
        <f t="shared" ref="Z25:Z56" si="5">IF(MIN(IF(ISBLANK(X25),W25,X25),IF(ISBLANK(W25),X25,W25))=0,"",MIN(IF(ISBLANK(X25),W25,X25),IF(ISBLANK(W25),X25,W25)))</f>
        <v/>
      </c>
      <c r="AA25" s="57"/>
      <c r="AB25" s="57"/>
      <c r="AC25" s="59" t="str">
        <f t="shared" ref="AC25:AC56" si="6">IF(MIN(IF(ISBLANK(Z25),AA25,Z25),IF(ISBLANK(AA25),Z25,AA25))=0,"",MIN(IF(ISBLANK(Z25),AA25,Z25),IF(ISBLANK(AA25),Z25,AA25)))</f>
        <v/>
      </c>
      <c r="AD25" s="57"/>
      <c r="AE25" s="57"/>
      <c r="AF25" s="59"/>
    </row>
    <row r="26" spans="1:32" ht="18.75" customHeight="1">
      <c r="A26" s="24"/>
      <c r="B26" s="26" t="s">
        <v>19</v>
      </c>
      <c r="C26" s="26" t="s">
        <v>450</v>
      </c>
      <c r="D26" s="50" t="s">
        <v>222</v>
      </c>
      <c r="E26" s="51"/>
      <c r="F26" s="50" t="s">
        <v>222</v>
      </c>
      <c r="G26" s="52"/>
      <c r="H26" s="50" t="s">
        <v>222</v>
      </c>
      <c r="I26" s="53"/>
      <c r="J26" s="50" t="s">
        <v>222</v>
      </c>
      <c r="K26" s="53"/>
      <c r="L26" s="50" t="s">
        <v>222</v>
      </c>
      <c r="M26" s="57"/>
      <c r="N26" s="55">
        <v>5.7870370370370376E-3</v>
      </c>
      <c r="O26" s="57"/>
      <c r="P26" s="57"/>
      <c r="Q26" s="59">
        <f>IF(MIN(IF(ISBLANK(O26),N26,O26),IF(ISBLANK(N26),O26,N26))=0,"",MIN(IF(ISBLANK(O26),N26,O26),IF(ISBLANK(N26),O26,N26)))</f>
        <v>5.7870370370370376E-3</v>
      </c>
      <c r="R26" s="57"/>
      <c r="S26" s="57"/>
      <c r="T26" s="59">
        <f>IF(MIN(IF(ISBLANK(R26),Q26,R26),IF(ISBLANK(Q26),R26,Q26))=0,"",MIN(IF(ISBLANK(R26),Q26,R26),IF(ISBLANK(Q26),R26,Q26)))</f>
        <v>5.7870370370370376E-3</v>
      </c>
      <c r="U26" s="57"/>
      <c r="V26" s="57"/>
      <c r="W26" s="59">
        <f>IF(MIN(IF(ISBLANK(U26),T26,U26),IF(ISBLANK(T26),U26,T26))=0,"",MIN(IF(ISBLANK(U26),T26,U26),IF(ISBLANK(T26),U26,T26)))</f>
        <v>5.7870370370370376E-3</v>
      </c>
      <c r="X26" s="57"/>
      <c r="Y26" s="57"/>
      <c r="Z26" s="59">
        <f t="shared" si="5"/>
        <v>5.7870370370370376E-3</v>
      </c>
      <c r="AA26" s="57"/>
      <c r="AB26" s="57"/>
      <c r="AC26" s="59">
        <f t="shared" si="6"/>
        <v>5.7870370370370376E-3</v>
      </c>
      <c r="AD26" s="57"/>
      <c r="AE26" s="57"/>
      <c r="AF26" s="59"/>
    </row>
    <row r="27" spans="1:32" ht="18.75" customHeight="1">
      <c r="A27" s="24"/>
      <c r="B27" s="26" t="s">
        <v>24</v>
      </c>
      <c r="C27" s="26" t="s">
        <v>451</v>
      </c>
      <c r="D27" s="50">
        <v>9.5500000000000007</v>
      </c>
      <c r="E27" s="51"/>
      <c r="F27" s="50">
        <v>9.5500000000000007</v>
      </c>
      <c r="G27" s="52"/>
      <c r="H27" s="50">
        <v>9.5500000000000007</v>
      </c>
      <c r="I27" s="53">
        <v>9.59</v>
      </c>
      <c r="J27" s="50">
        <v>9.5500000000000007</v>
      </c>
      <c r="K27" s="53"/>
      <c r="L27" s="50">
        <v>9.5500000000000007</v>
      </c>
      <c r="M27" s="57"/>
      <c r="N27" s="55">
        <v>6.8865740740740736E-3</v>
      </c>
      <c r="O27" s="57"/>
      <c r="P27" s="57"/>
      <c r="Q27" s="59">
        <f>IF(MIN(IF(ISBLANK(O27),N27,O27),IF(ISBLANK(N27),O27,N27))=0,"",MIN(IF(ISBLANK(O27),N27,O27),IF(ISBLANK(N27),O27,N27)))</f>
        <v>6.8865740740740736E-3</v>
      </c>
      <c r="R27" s="57"/>
      <c r="S27" s="57"/>
      <c r="T27" s="59">
        <f>IF(MIN(IF(ISBLANK(R27),Q27,R27),IF(ISBLANK(Q27),R27,Q27))=0,"",MIN(IF(ISBLANK(R27),Q27,R27),IF(ISBLANK(Q27),R27,Q27)))</f>
        <v>6.8865740740740736E-3</v>
      </c>
      <c r="U27" s="57"/>
      <c r="V27" s="57"/>
      <c r="W27" s="59">
        <f>IF(MIN(IF(ISBLANK(U27),T27,U27),IF(ISBLANK(T27),U27,T27))=0,"",MIN(IF(ISBLANK(U27),T27,U27),IF(ISBLANK(T27),U27,T27)))</f>
        <v>6.8865740740740736E-3</v>
      </c>
      <c r="X27" s="57"/>
      <c r="Y27" s="57"/>
      <c r="Z27" s="59">
        <f t="shared" si="5"/>
        <v>6.8865740740740736E-3</v>
      </c>
      <c r="AA27" s="57"/>
      <c r="AB27" s="57"/>
      <c r="AC27" s="59">
        <f t="shared" si="6"/>
        <v>6.8865740740740736E-3</v>
      </c>
      <c r="AD27" s="57"/>
      <c r="AE27" s="57"/>
      <c r="AF27" s="59"/>
    </row>
    <row r="28" spans="1:32" ht="18.75" customHeight="1">
      <c r="A28" s="24" t="s">
        <v>326</v>
      </c>
      <c r="B28" s="26" t="s">
        <v>605</v>
      </c>
      <c r="C28" s="26"/>
      <c r="D28" s="50"/>
      <c r="E28" s="51"/>
      <c r="F28" s="50"/>
      <c r="G28" s="52"/>
      <c r="H28" s="50"/>
      <c r="I28" s="53"/>
      <c r="J28" s="50"/>
      <c r="K28" s="53"/>
      <c r="L28" s="50"/>
      <c r="M28" s="57"/>
      <c r="N28" s="55"/>
      <c r="O28" s="57"/>
      <c r="P28" s="57"/>
      <c r="Q28" s="59"/>
      <c r="R28" s="57">
        <v>4.9189814814814816E-3</v>
      </c>
      <c r="S28" s="57"/>
      <c r="T28" s="59">
        <f>IF(MIN(IF(ISBLANK(R28),Q28,R28),IF(ISBLANK(Q28),R28,Q28))=0,"",MIN(IF(ISBLANK(R28),Q28,R28),IF(ISBLANK(Q28),R28,Q28)))</f>
        <v>4.9189814814814816E-3</v>
      </c>
      <c r="U28" s="57">
        <v>4.8495370370370368E-3</v>
      </c>
      <c r="V28" s="57"/>
      <c r="W28" s="59">
        <f>IF(MIN(IF(ISBLANK(U28),T28,U28),IF(ISBLANK(T28),U28,T28))=0,"",MIN(IF(ISBLANK(U28),T28,U28),IF(ISBLANK(T28),U28,T28)))</f>
        <v>4.8495370370370368E-3</v>
      </c>
      <c r="X28" s="57">
        <v>4.8032407407407407E-3</v>
      </c>
      <c r="Y28" s="57"/>
      <c r="Z28" s="59">
        <f t="shared" si="5"/>
        <v>4.8032407407407407E-3</v>
      </c>
      <c r="AA28" s="57"/>
      <c r="AB28" s="57"/>
      <c r="AC28" s="59">
        <f t="shared" si="6"/>
        <v>4.8032407407407407E-3</v>
      </c>
      <c r="AD28" s="57"/>
      <c r="AE28" s="57"/>
      <c r="AF28" s="59"/>
    </row>
    <row r="29" spans="1:32" ht="18.75" customHeight="1">
      <c r="A29" s="24"/>
      <c r="B29" s="26" t="s">
        <v>627</v>
      </c>
      <c r="C29" s="26"/>
      <c r="D29" s="50"/>
      <c r="E29" s="51"/>
      <c r="F29" s="50"/>
      <c r="G29" s="52"/>
      <c r="H29" s="50"/>
      <c r="I29" s="53"/>
      <c r="J29" s="50"/>
      <c r="K29" s="53"/>
      <c r="L29" s="50"/>
      <c r="M29" s="57"/>
      <c r="N29" s="55"/>
      <c r="O29" s="57"/>
      <c r="P29" s="57"/>
      <c r="Q29" s="59"/>
      <c r="R29" s="57"/>
      <c r="S29" s="57"/>
      <c r="T29" s="59"/>
      <c r="U29" s="57"/>
      <c r="V29" s="57"/>
      <c r="W29" s="59"/>
      <c r="X29" s="57">
        <v>6.5972222222222222E-3</v>
      </c>
      <c r="Y29" s="57"/>
      <c r="Z29" s="59">
        <f t="shared" si="5"/>
        <v>6.5972222222222222E-3</v>
      </c>
      <c r="AA29" s="57"/>
      <c r="AB29" s="57"/>
      <c r="AC29" s="59">
        <f t="shared" si="6"/>
        <v>6.5972222222222222E-3</v>
      </c>
      <c r="AD29" s="57"/>
      <c r="AE29" s="57"/>
      <c r="AF29" s="59"/>
    </row>
    <row r="30" spans="1:32" ht="18.75" customHeight="1">
      <c r="A30" s="24"/>
      <c r="B30" s="26" t="s">
        <v>29</v>
      </c>
      <c r="C30" s="26" t="s">
        <v>450</v>
      </c>
      <c r="D30" s="50">
        <v>9.1300000000000008</v>
      </c>
      <c r="E30" s="51"/>
      <c r="F30" s="50">
        <v>9.1300000000000008</v>
      </c>
      <c r="G30" s="52"/>
      <c r="H30" s="50">
        <v>9.1300000000000008</v>
      </c>
      <c r="I30" s="53"/>
      <c r="J30" s="50">
        <v>9.1300000000000008</v>
      </c>
      <c r="K30" s="53"/>
      <c r="L30" s="50">
        <v>9.1300000000000008</v>
      </c>
      <c r="M30" s="57"/>
      <c r="N30" s="55">
        <v>6.4004629629629628E-3</v>
      </c>
      <c r="O30" s="57"/>
      <c r="P30" s="57"/>
      <c r="Q30" s="59">
        <f t="shared" ref="Q30:Q35" si="7">IF(MIN(IF(ISBLANK(O30),N30,O30),IF(ISBLANK(N30),O30,N30))=0,"",MIN(IF(ISBLANK(O30),N30,O30),IF(ISBLANK(N30),O30,N30)))</f>
        <v>6.4004629629629628E-3</v>
      </c>
      <c r="R30" s="57"/>
      <c r="S30" s="57"/>
      <c r="T30" s="59">
        <f t="shared" ref="T30:T35" si="8">IF(MIN(IF(ISBLANK(R30),Q30,R30),IF(ISBLANK(Q30),R30,Q30))=0,"",MIN(IF(ISBLANK(R30),Q30,R30),IF(ISBLANK(Q30),R30,Q30)))</f>
        <v>6.4004629629629628E-3</v>
      </c>
      <c r="U30" s="57"/>
      <c r="V30" s="57"/>
      <c r="W30" s="59">
        <f t="shared" ref="W30:W35" si="9">IF(MIN(IF(ISBLANK(U30),T30,U30),IF(ISBLANK(T30),U30,T30))=0,"",MIN(IF(ISBLANK(U30),T30,U30),IF(ISBLANK(T30),U30,T30)))</f>
        <v>6.4004629629629628E-3</v>
      </c>
      <c r="X30" s="57"/>
      <c r="Y30" s="57"/>
      <c r="Z30" s="59">
        <f t="shared" si="5"/>
        <v>6.4004629629629628E-3</v>
      </c>
      <c r="AA30" s="57"/>
      <c r="AB30" s="57"/>
      <c r="AC30" s="59">
        <f t="shared" si="6"/>
        <v>6.4004629629629628E-3</v>
      </c>
      <c r="AD30" s="57"/>
      <c r="AE30" s="57"/>
      <c r="AF30" s="59"/>
    </row>
    <row r="31" spans="1:32" ht="18.75" customHeight="1">
      <c r="A31" s="24"/>
      <c r="B31" s="26" t="s">
        <v>554</v>
      </c>
      <c r="C31" s="26"/>
      <c r="D31" s="50"/>
      <c r="E31" s="51"/>
      <c r="F31" s="50"/>
      <c r="G31" s="52"/>
      <c r="H31" s="50"/>
      <c r="I31" s="53"/>
      <c r="J31" s="50"/>
      <c r="K31" s="53"/>
      <c r="L31" s="50"/>
      <c r="M31" s="57"/>
      <c r="N31" s="55" t="s">
        <v>455</v>
      </c>
      <c r="O31" s="57"/>
      <c r="P31" s="57"/>
      <c r="Q31" s="59" t="str">
        <f t="shared" si="7"/>
        <v/>
      </c>
      <c r="R31" s="57">
        <v>6.4814814814814813E-3</v>
      </c>
      <c r="S31" s="57"/>
      <c r="T31" s="59">
        <f t="shared" si="8"/>
        <v>6.4814814814814813E-3</v>
      </c>
      <c r="U31" s="57">
        <v>7.0254629629629634E-3</v>
      </c>
      <c r="V31" s="57"/>
      <c r="W31" s="59">
        <f t="shared" si="9"/>
        <v>6.4814814814814813E-3</v>
      </c>
      <c r="X31" s="57"/>
      <c r="Y31" s="57"/>
      <c r="Z31" s="59">
        <f t="shared" si="5"/>
        <v>6.4814814814814813E-3</v>
      </c>
      <c r="AA31" s="57"/>
      <c r="AB31" s="57"/>
      <c r="AC31" s="59">
        <f t="shared" si="6"/>
        <v>6.4814814814814813E-3</v>
      </c>
      <c r="AD31" s="57"/>
      <c r="AE31" s="57"/>
      <c r="AF31" s="59"/>
    </row>
    <row r="32" spans="1:32" ht="18.75" customHeight="1">
      <c r="A32" s="24"/>
      <c r="B32" s="26" t="s">
        <v>41</v>
      </c>
      <c r="C32" s="26" t="s">
        <v>451</v>
      </c>
      <c r="D32" s="50">
        <v>12.44</v>
      </c>
      <c r="E32" s="51"/>
      <c r="F32" s="50">
        <v>12.44</v>
      </c>
      <c r="G32" s="52"/>
      <c r="H32" s="50">
        <v>12.44</v>
      </c>
      <c r="I32" s="53"/>
      <c r="J32" s="50">
        <v>12.44</v>
      </c>
      <c r="K32" s="53"/>
      <c r="L32" s="50">
        <v>12.44</v>
      </c>
      <c r="M32" s="57"/>
      <c r="N32" s="55">
        <v>8.8425925925925911E-3</v>
      </c>
      <c r="O32" s="57"/>
      <c r="P32" s="57"/>
      <c r="Q32" s="59">
        <f t="shared" si="7"/>
        <v>8.8425925925925911E-3</v>
      </c>
      <c r="R32" s="57"/>
      <c r="S32" s="57"/>
      <c r="T32" s="59">
        <f t="shared" si="8"/>
        <v>8.8425925925925911E-3</v>
      </c>
      <c r="U32" s="57"/>
      <c r="V32" s="57"/>
      <c r="W32" s="59">
        <f t="shared" si="9"/>
        <v>8.8425925925925911E-3</v>
      </c>
      <c r="X32" s="57"/>
      <c r="Y32" s="57"/>
      <c r="Z32" s="59">
        <f t="shared" si="5"/>
        <v>8.8425925925925911E-3</v>
      </c>
      <c r="AA32" s="57"/>
      <c r="AB32" s="57"/>
      <c r="AC32" s="59">
        <f t="shared" si="6"/>
        <v>8.8425925925925911E-3</v>
      </c>
      <c r="AD32" s="57"/>
      <c r="AE32" s="57"/>
      <c r="AF32" s="59"/>
    </row>
    <row r="33" spans="1:32" ht="18.75" customHeight="1">
      <c r="A33" s="24"/>
      <c r="B33" s="26" t="s">
        <v>592</v>
      </c>
      <c r="C33" s="26" t="s">
        <v>451</v>
      </c>
      <c r="D33" s="50"/>
      <c r="E33" s="51"/>
      <c r="F33" s="50"/>
      <c r="G33" s="52"/>
      <c r="H33" s="50"/>
      <c r="I33" s="53"/>
      <c r="J33" s="50"/>
      <c r="K33" s="53"/>
      <c r="L33" s="50"/>
      <c r="M33" s="57"/>
      <c r="N33" s="55"/>
      <c r="O33" s="57">
        <v>9.0277777777777787E-3</v>
      </c>
      <c r="P33" s="57"/>
      <c r="Q33" s="59">
        <f t="shared" si="7"/>
        <v>9.0277777777777787E-3</v>
      </c>
      <c r="R33" s="57"/>
      <c r="S33" s="57"/>
      <c r="T33" s="59">
        <f t="shared" si="8"/>
        <v>9.0277777777777787E-3</v>
      </c>
      <c r="U33" s="57"/>
      <c r="V33" s="57"/>
      <c r="W33" s="59">
        <f t="shared" si="9"/>
        <v>9.0277777777777787E-3</v>
      </c>
      <c r="X33" s="57"/>
      <c r="Y33" s="57"/>
      <c r="Z33" s="59">
        <f t="shared" si="5"/>
        <v>9.0277777777777787E-3</v>
      </c>
      <c r="AA33" s="57"/>
      <c r="AB33" s="57"/>
      <c r="AC33" s="59">
        <f t="shared" si="6"/>
        <v>9.0277777777777787E-3</v>
      </c>
      <c r="AD33" s="57"/>
      <c r="AE33" s="57"/>
      <c r="AF33" s="59"/>
    </row>
    <row r="34" spans="1:32" ht="18.75" customHeight="1">
      <c r="A34" s="24"/>
      <c r="B34" s="26" t="s">
        <v>48</v>
      </c>
      <c r="C34" s="26" t="s">
        <v>451</v>
      </c>
      <c r="D34" s="50"/>
      <c r="E34" s="51"/>
      <c r="F34" s="50" t="s">
        <v>455</v>
      </c>
      <c r="G34" s="52"/>
      <c r="H34" s="50"/>
      <c r="I34" s="53"/>
      <c r="J34" s="50" t="s">
        <v>455</v>
      </c>
      <c r="K34" s="53"/>
      <c r="L34" s="50"/>
      <c r="M34" s="57"/>
      <c r="N34" s="55" t="s">
        <v>455</v>
      </c>
      <c r="O34" s="57"/>
      <c r="P34" s="57"/>
      <c r="Q34" s="59" t="str">
        <f t="shared" si="7"/>
        <v/>
      </c>
      <c r="R34" s="57"/>
      <c r="S34" s="57"/>
      <c r="T34" s="59" t="str">
        <f t="shared" si="8"/>
        <v/>
      </c>
      <c r="U34" s="57"/>
      <c r="V34" s="57"/>
      <c r="W34" s="59" t="str">
        <f t="shared" si="9"/>
        <v/>
      </c>
      <c r="X34" s="57"/>
      <c r="Y34" s="57"/>
      <c r="Z34" s="59" t="str">
        <f t="shared" si="5"/>
        <v/>
      </c>
      <c r="AA34" s="57"/>
      <c r="AB34" s="57"/>
      <c r="AC34" s="59" t="str">
        <f t="shared" si="6"/>
        <v/>
      </c>
      <c r="AD34" s="57"/>
      <c r="AE34" s="57"/>
      <c r="AF34" s="59"/>
    </row>
    <row r="35" spans="1:32" ht="18.75" customHeight="1">
      <c r="A35" s="24"/>
      <c r="B35" s="26" t="s">
        <v>461</v>
      </c>
      <c r="C35" s="26" t="s">
        <v>451</v>
      </c>
      <c r="D35" s="50"/>
      <c r="E35" s="51"/>
      <c r="F35" s="50"/>
      <c r="G35" s="52"/>
      <c r="H35" s="50"/>
      <c r="I35" s="53"/>
      <c r="J35" s="50"/>
      <c r="K35" s="53"/>
      <c r="L35" s="50"/>
      <c r="M35" s="57"/>
      <c r="N35" s="55" t="s">
        <v>455</v>
      </c>
      <c r="O35" s="57"/>
      <c r="P35" s="57"/>
      <c r="Q35" s="59" t="str">
        <f t="shared" si="7"/>
        <v/>
      </c>
      <c r="R35" s="57"/>
      <c r="S35" s="57"/>
      <c r="T35" s="59" t="str">
        <f t="shared" si="8"/>
        <v/>
      </c>
      <c r="U35" s="57"/>
      <c r="V35" s="57"/>
      <c r="W35" s="59" t="str">
        <f t="shared" si="9"/>
        <v/>
      </c>
      <c r="X35" s="57"/>
      <c r="Y35" s="57"/>
      <c r="Z35" s="59" t="str">
        <f t="shared" si="5"/>
        <v/>
      </c>
      <c r="AA35" s="57"/>
      <c r="AB35" s="57"/>
      <c r="AC35" s="59" t="str">
        <f t="shared" si="6"/>
        <v/>
      </c>
      <c r="AD35" s="57"/>
      <c r="AE35" s="57"/>
      <c r="AF35" s="59"/>
    </row>
    <row r="36" spans="1:32" ht="18.75" customHeight="1">
      <c r="A36" s="24" t="s">
        <v>326</v>
      </c>
      <c r="B36" s="26" t="s">
        <v>628</v>
      </c>
      <c r="C36" s="26"/>
      <c r="D36" s="50"/>
      <c r="E36" s="51"/>
      <c r="F36" s="50"/>
      <c r="G36" s="52"/>
      <c r="H36" s="50"/>
      <c r="I36" s="53"/>
      <c r="J36" s="50"/>
      <c r="K36" s="53"/>
      <c r="L36" s="50"/>
      <c r="M36" s="57"/>
      <c r="N36" s="55"/>
      <c r="O36" s="57"/>
      <c r="P36" s="57"/>
      <c r="Q36" s="59"/>
      <c r="R36" s="57"/>
      <c r="S36" s="57"/>
      <c r="T36" s="59"/>
      <c r="U36" s="57"/>
      <c r="V36" s="57"/>
      <c r="W36" s="59"/>
      <c r="X36" s="57"/>
      <c r="Y36" s="57"/>
      <c r="Z36" s="59" t="str">
        <f t="shared" si="5"/>
        <v/>
      </c>
      <c r="AA36" s="57"/>
      <c r="AB36" s="57"/>
      <c r="AC36" s="59" t="str">
        <f t="shared" si="6"/>
        <v/>
      </c>
      <c r="AD36" s="57">
        <v>5.8217592592592592E-3</v>
      </c>
      <c r="AE36" s="57"/>
      <c r="AF36" s="59"/>
    </row>
    <row r="37" spans="1:32">
      <c r="A37" s="24"/>
      <c r="B37" s="26" t="s">
        <v>59</v>
      </c>
      <c r="C37" s="26" t="s">
        <v>451</v>
      </c>
      <c r="D37" s="50">
        <v>8.49</v>
      </c>
      <c r="E37" s="51"/>
      <c r="F37" s="50">
        <v>8.49</v>
      </c>
      <c r="G37" s="52"/>
      <c r="H37" s="50">
        <v>8.49</v>
      </c>
      <c r="I37" s="53"/>
      <c r="J37" s="50">
        <v>8.49</v>
      </c>
      <c r="K37" s="53"/>
      <c r="L37" s="50">
        <v>8.49</v>
      </c>
      <c r="M37" s="57"/>
      <c r="N37" s="55">
        <v>6.122685185185185E-3</v>
      </c>
      <c r="O37" s="57"/>
      <c r="P37" s="57"/>
      <c r="Q37" s="59">
        <f t="shared" ref="Q37:Q52" si="10">IF(MIN(IF(ISBLANK(O37),N37,O37),IF(ISBLANK(N37),O37,N37))=0,"",MIN(IF(ISBLANK(O37),N37,O37),IF(ISBLANK(N37),O37,N37)))</f>
        <v>6.122685185185185E-3</v>
      </c>
      <c r="R37" s="57"/>
      <c r="S37" s="57"/>
      <c r="T37" s="59">
        <f t="shared" ref="T37:T52" si="11">IF(MIN(IF(ISBLANK(R37),Q37,R37),IF(ISBLANK(Q37),R37,Q37))=0,"",MIN(IF(ISBLANK(R37),Q37,R37),IF(ISBLANK(Q37),R37,Q37)))</f>
        <v>6.122685185185185E-3</v>
      </c>
      <c r="U37" s="57"/>
      <c r="V37" s="57"/>
      <c r="W37" s="59">
        <f t="shared" ref="W37:W52" si="12">IF(MIN(IF(ISBLANK(U37),T37,U37),IF(ISBLANK(T37),U37,T37))=0,"",MIN(IF(ISBLANK(U37),T37,U37),IF(ISBLANK(T37),U37,T37)))</f>
        <v>6.122685185185185E-3</v>
      </c>
      <c r="X37" s="57"/>
      <c r="Y37" s="57"/>
      <c r="Z37" s="59">
        <f t="shared" si="5"/>
        <v>6.122685185185185E-3</v>
      </c>
      <c r="AA37" s="57"/>
      <c r="AB37" s="57"/>
      <c r="AC37" s="59">
        <f t="shared" si="6"/>
        <v>6.122685185185185E-3</v>
      </c>
      <c r="AD37" s="57"/>
      <c r="AE37" s="57"/>
      <c r="AF37" s="59"/>
    </row>
    <row r="38" spans="1:32">
      <c r="A38" s="24"/>
      <c r="B38" s="26" t="s">
        <v>593</v>
      </c>
      <c r="C38" s="26"/>
      <c r="D38" s="50"/>
      <c r="E38" s="51"/>
      <c r="F38" s="50"/>
      <c r="G38" s="52"/>
      <c r="H38" s="50"/>
      <c r="I38" s="53"/>
      <c r="J38" s="50"/>
      <c r="K38" s="53"/>
      <c r="L38" s="50"/>
      <c r="M38" s="57"/>
      <c r="N38" s="55"/>
      <c r="O38" s="57">
        <v>1.2268518518518519E-2</v>
      </c>
      <c r="P38" s="57"/>
      <c r="Q38" s="59">
        <f t="shared" si="10"/>
        <v>1.2268518518518519E-2</v>
      </c>
      <c r="R38" s="57"/>
      <c r="S38" s="57"/>
      <c r="T38" s="59">
        <f t="shared" si="11"/>
        <v>1.2268518518518519E-2</v>
      </c>
      <c r="U38" s="57"/>
      <c r="V38" s="57"/>
      <c r="W38" s="59">
        <f t="shared" si="12"/>
        <v>1.2268518518518519E-2</v>
      </c>
      <c r="X38" s="57"/>
      <c r="Y38" s="57"/>
      <c r="Z38" s="59">
        <f t="shared" si="5"/>
        <v>1.2268518518518519E-2</v>
      </c>
      <c r="AA38" s="57"/>
      <c r="AB38" s="57"/>
      <c r="AC38" s="59">
        <f t="shared" si="6"/>
        <v>1.2268518518518519E-2</v>
      </c>
      <c r="AD38" s="57"/>
      <c r="AE38" s="57"/>
      <c r="AF38" s="59"/>
    </row>
    <row r="39" spans="1:32">
      <c r="A39" s="24"/>
      <c r="B39" s="26" t="s">
        <v>70</v>
      </c>
      <c r="C39" s="26" t="s">
        <v>450</v>
      </c>
      <c r="D39" s="50"/>
      <c r="E39" s="51"/>
      <c r="F39" s="50" t="s">
        <v>455</v>
      </c>
      <c r="G39" s="52"/>
      <c r="H39" s="50"/>
      <c r="I39" s="53"/>
      <c r="J39" s="50" t="s">
        <v>455</v>
      </c>
      <c r="K39" s="53"/>
      <c r="L39" s="50"/>
      <c r="M39" s="57"/>
      <c r="N39" s="55" t="s">
        <v>455</v>
      </c>
      <c r="O39" s="57"/>
      <c r="P39" s="57"/>
      <c r="Q39" s="59" t="str">
        <f t="shared" si="10"/>
        <v/>
      </c>
      <c r="R39" s="57"/>
      <c r="S39" s="57"/>
      <c r="T39" s="59" t="str">
        <f t="shared" si="11"/>
        <v/>
      </c>
      <c r="U39" s="57"/>
      <c r="V39" s="57"/>
      <c r="W39" s="59" t="str">
        <f t="shared" si="12"/>
        <v/>
      </c>
      <c r="X39" s="57"/>
      <c r="Y39" s="57"/>
      <c r="Z39" s="59" t="str">
        <f t="shared" si="5"/>
        <v/>
      </c>
      <c r="AA39" s="57"/>
      <c r="AB39" s="57"/>
      <c r="AC39" s="59" t="str">
        <f t="shared" si="6"/>
        <v/>
      </c>
      <c r="AD39" s="57"/>
      <c r="AE39" s="57"/>
      <c r="AF39" s="59"/>
    </row>
    <row r="40" spans="1:32">
      <c r="A40" s="24"/>
      <c r="B40" s="26" t="s">
        <v>75</v>
      </c>
      <c r="C40" s="26" t="s">
        <v>451</v>
      </c>
      <c r="D40" s="50"/>
      <c r="E40" s="51"/>
      <c r="F40" s="50" t="s">
        <v>455</v>
      </c>
      <c r="G40" s="52"/>
      <c r="H40" s="50"/>
      <c r="I40" s="53"/>
      <c r="J40" s="50" t="s">
        <v>455</v>
      </c>
      <c r="K40" s="53"/>
      <c r="L40" s="50"/>
      <c r="M40" s="57"/>
      <c r="N40" s="55" t="s">
        <v>455</v>
      </c>
      <c r="O40" s="57"/>
      <c r="P40" s="57"/>
      <c r="Q40" s="59" t="str">
        <f t="shared" si="10"/>
        <v/>
      </c>
      <c r="R40" s="57">
        <v>5.4976851851851853E-3</v>
      </c>
      <c r="S40" s="57"/>
      <c r="T40" s="59">
        <f t="shared" si="11"/>
        <v>5.4976851851851853E-3</v>
      </c>
      <c r="U40" s="57"/>
      <c r="V40" s="57"/>
      <c r="W40" s="59">
        <f t="shared" si="12"/>
        <v>5.4976851851851853E-3</v>
      </c>
      <c r="X40" s="57"/>
      <c r="Y40" s="57"/>
      <c r="Z40" s="59">
        <f t="shared" si="5"/>
        <v>5.4976851851851853E-3</v>
      </c>
      <c r="AA40" s="57"/>
      <c r="AB40" s="57"/>
      <c r="AC40" s="59">
        <f t="shared" si="6"/>
        <v>5.4976851851851853E-3</v>
      </c>
      <c r="AD40" s="57"/>
      <c r="AE40" s="57"/>
      <c r="AF40" s="59"/>
    </row>
    <row r="41" spans="1:32">
      <c r="A41" s="24"/>
      <c r="B41" s="26" t="s">
        <v>376</v>
      </c>
      <c r="C41" s="26" t="s">
        <v>451</v>
      </c>
      <c r="D41" s="50"/>
      <c r="E41" s="51"/>
      <c r="F41" s="50"/>
      <c r="G41" s="52" t="s">
        <v>378</v>
      </c>
      <c r="H41" s="50">
        <v>9.57</v>
      </c>
      <c r="I41" s="52"/>
      <c r="J41" s="50">
        <v>9.57</v>
      </c>
      <c r="K41" s="53">
        <v>9.33</v>
      </c>
      <c r="L41" s="50">
        <v>9.33</v>
      </c>
      <c r="M41" s="57">
        <v>6.7592592592592591E-3</v>
      </c>
      <c r="N41" s="55">
        <v>6.6319444444444446E-3</v>
      </c>
      <c r="O41" s="57">
        <v>6.4699074074074069E-3</v>
      </c>
      <c r="P41" s="57"/>
      <c r="Q41" s="59">
        <f t="shared" si="10"/>
        <v>6.4699074074074069E-3</v>
      </c>
      <c r="R41" s="57">
        <v>6.4583333333333333E-3</v>
      </c>
      <c r="S41" s="57"/>
      <c r="T41" s="59">
        <f t="shared" si="11"/>
        <v>6.4583333333333333E-3</v>
      </c>
      <c r="U41" s="57"/>
      <c r="V41" s="57"/>
      <c r="W41" s="59">
        <f t="shared" si="12"/>
        <v>6.4583333333333333E-3</v>
      </c>
      <c r="X41" s="57">
        <v>6.3773148148148148E-3</v>
      </c>
      <c r="Y41" s="57"/>
      <c r="Z41" s="59">
        <f t="shared" si="5"/>
        <v>6.3773148148148148E-3</v>
      </c>
      <c r="AA41" s="57"/>
      <c r="AB41" s="57"/>
      <c r="AC41" s="59">
        <f t="shared" si="6"/>
        <v>6.3773148148148148E-3</v>
      </c>
      <c r="AD41" s="57"/>
      <c r="AE41" s="57"/>
      <c r="AF41" s="59"/>
    </row>
    <row r="42" spans="1:32">
      <c r="A42" s="24"/>
      <c r="B42" s="26" t="s">
        <v>86</v>
      </c>
      <c r="C42" s="26" t="s">
        <v>451</v>
      </c>
      <c r="D42" s="50" t="s">
        <v>263</v>
      </c>
      <c r="E42" s="51">
        <v>8.27</v>
      </c>
      <c r="F42" s="50">
        <v>8.15</v>
      </c>
      <c r="G42" s="52"/>
      <c r="H42" s="50">
        <v>8.15</v>
      </c>
      <c r="I42" s="53"/>
      <c r="J42" s="50">
        <v>8.15</v>
      </c>
      <c r="K42" s="53"/>
      <c r="L42" s="50">
        <v>8.15</v>
      </c>
      <c r="M42" s="57"/>
      <c r="N42" s="55">
        <v>5.7291666666666671E-3</v>
      </c>
      <c r="O42" s="57"/>
      <c r="P42" s="57"/>
      <c r="Q42" s="59">
        <f t="shared" si="10"/>
        <v>5.7291666666666671E-3</v>
      </c>
      <c r="R42" s="57"/>
      <c r="S42" s="57"/>
      <c r="T42" s="59">
        <f t="shared" si="11"/>
        <v>5.7291666666666671E-3</v>
      </c>
      <c r="U42" s="57"/>
      <c r="V42" s="57"/>
      <c r="W42" s="59">
        <f t="shared" si="12"/>
        <v>5.7291666666666671E-3</v>
      </c>
      <c r="X42" s="57"/>
      <c r="Y42" s="57"/>
      <c r="Z42" s="59">
        <f t="shared" si="5"/>
        <v>5.7291666666666671E-3</v>
      </c>
      <c r="AA42" s="57"/>
      <c r="AB42" s="57"/>
      <c r="AC42" s="59">
        <f t="shared" si="6"/>
        <v>5.7291666666666671E-3</v>
      </c>
      <c r="AD42" s="57"/>
      <c r="AE42" s="57"/>
      <c r="AF42" s="59"/>
    </row>
    <row r="43" spans="1:32">
      <c r="A43" s="24"/>
      <c r="B43" s="26" t="s">
        <v>539</v>
      </c>
      <c r="C43" s="26"/>
      <c r="D43" s="50"/>
      <c r="E43" s="51"/>
      <c r="F43" s="50"/>
      <c r="G43" s="52"/>
      <c r="H43" s="50"/>
      <c r="I43" s="53"/>
      <c r="J43" s="50"/>
      <c r="K43" s="53"/>
      <c r="L43" s="50"/>
      <c r="M43" s="57"/>
      <c r="N43" s="55" t="s">
        <v>455</v>
      </c>
      <c r="O43" s="57"/>
      <c r="P43" s="57"/>
      <c r="Q43" s="59" t="str">
        <f t="shared" si="10"/>
        <v/>
      </c>
      <c r="R43" s="57"/>
      <c r="S43" s="57"/>
      <c r="T43" s="59" t="str">
        <f t="shared" si="11"/>
        <v/>
      </c>
      <c r="U43" s="57"/>
      <c r="V43" s="57"/>
      <c r="W43" s="59" t="str">
        <f t="shared" si="12"/>
        <v/>
      </c>
      <c r="X43" s="57"/>
      <c r="Y43" s="57"/>
      <c r="Z43" s="59" t="str">
        <f t="shared" si="5"/>
        <v/>
      </c>
      <c r="AA43" s="57"/>
      <c r="AB43" s="57"/>
      <c r="AC43" s="59" t="str">
        <f t="shared" si="6"/>
        <v/>
      </c>
      <c r="AD43" s="57"/>
      <c r="AE43" s="57"/>
      <c r="AF43" s="59"/>
    </row>
    <row r="44" spans="1:32">
      <c r="A44" s="24"/>
      <c r="B44" s="26" t="s">
        <v>328</v>
      </c>
      <c r="C44" s="26" t="s">
        <v>450</v>
      </c>
      <c r="D44" s="50"/>
      <c r="E44" s="51">
        <v>10.28</v>
      </c>
      <c r="F44" s="50">
        <v>10.28</v>
      </c>
      <c r="G44" s="52">
        <v>10.14</v>
      </c>
      <c r="H44" s="50">
        <v>10.14</v>
      </c>
      <c r="I44" s="53">
        <v>9.5</v>
      </c>
      <c r="J44" s="50" t="s">
        <v>458</v>
      </c>
      <c r="K44" s="53">
        <v>9.58</v>
      </c>
      <c r="L44" s="50" t="s">
        <v>458</v>
      </c>
      <c r="M44" s="57">
        <v>7.1180555555555554E-3</v>
      </c>
      <c r="N44" s="55">
        <v>6.828703703703704E-3</v>
      </c>
      <c r="O44" s="57">
        <v>6.7013888888888887E-3</v>
      </c>
      <c r="P44" s="57"/>
      <c r="Q44" s="59">
        <f t="shared" si="10"/>
        <v>6.7013888888888887E-3</v>
      </c>
      <c r="R44" s="57"/>
      <c r="S44" s="57"/>
      <c r="T44" s="59">
        <f t="shared" si="11"/>
        <v>6.7013888888888887E-3</v>
      </c>
      <c r="U44" s="57"/>
      <c r="V44" s="57"/>
      <c r="W44" s="59">
        <f t="shared" si="12"/>
        <v>6.7013888888888887E-3</v>
      </c>
      <c r="X44" s="57"/>
      <c r="Y44" s="57"/>
      <c r="Z44" s="59">
        <f t="shared" si="5"/>
        <v>6.7013888888888887E-3</v>
      </c>
      <c r="AA44" s="57"/>
      <c r="AB44" s="57"/>
      <c r="AC44" s="59">
        <f t="shared" si="6"/>
        <v>6.7013888888888887E-3</v>
      </c>
      <c r="AD44" s="57"/>
      <c r="AE44" s="57"/>
      <c r="AF44" s="59"/>
    </row>
    <row r="45" spans="1:32">
      <c r="A45" s="24"/>
      <c r="B45" s="26" t="s">
        <v>484</v>
      </c>
      <c r="C45" s="26" t="s">
        <v>450</v>
      </c>
      <c r="D45" s="50"/>
      <c r="E45" s="51"/>
      <c r="F45" s="50"/>
      <c r="G45" s="52"/>
      <c r="H45" s="50"/>
      <c r="I45" s="53"/>
      <c r="J45" s="50"/>
      <c r="K45" s="53">
        <v>7.29</v>
      </c>
      <c r="L45" s="50">
        <v>7.29</v>
      </c>
      <c r="M45" s="57"/>
      <c r="N45" s="55">
        <v>5.1967592592592595E-3</v>
      </c>
      <c r="O45" s="57">
        <v>5.2546296296296299E-3</v>
      </c>
      <c r="P45" s="57"/>
      <c r="Q45" s="59">
        <f t="shared" si="10"/>
        <v>5.1967592592592595E-3</v>
      </c>
      <c r="R45" s="57"/>
      <c r="S45" s="57"/>
      <c r="T45" s="59">
        <f t="shared" si="11"/>
        <v>5.1967592592592595E-3</v>
      </c>
      <c r="U45" s="57"/>
      <c r="V45" s="57"/>
      <c r="W45" s="59">
        <f t="shared" si="12"/>
        <v>5.1967592592592595E-3</v>
      </c>
      <c r="X45" s="57"/>
      <c r="Y45" s="57"/>
      <c r="Z45" s="59">
        <f t="shared" si="5"/>
        <v>5.1967592592592595E-3</v>
      </c>
      <c r="AA45" s="57"/>
      <c r="AB45" s="57"/>
      <c r="AC45" s="59">
        <f t="shared" si="6"/>
        <v>5.1967592592592595E-3</v>
      </c>
      <c r="AD45" s="57"/>
      <c r="AE45" s="57"/>
      <c r="AF45" s="59"/>
    </row>
    <row r="46" spans="1:32">
      <c r="A46" s="24"/>
      <c r="B46" s="26" t="s">
        <v>92</v>
      </c>
      <c r="C46" s="26" t="s">
        <v>450</v>
      </c>
      <c r="D46" s="50">
        <v>6.27</v>
      </c>
      <c r="E46" s="51"/>
      <c r="F46" s="50">
        <v>6.27</v>
      </c>
      <c r="G46" s="52"/>
      <c r="H46" s="50">
        <v>6.27</v>
      </c>
      <c r="I46" s="53"/>
      <c r="J46" s="50">
        <v>6.27</v>
      </c>
      <c r="K46" s="53"/>
      <c r="L46" s="50">
        <v>6.27</v>
      </c>
      <c r="M46" s="57"/>
      <c r="N46" s="55">
        <v>4.4791666666666669E-3</v>
      </c>
      <c r="O46" s="57"/>
      <c r="P46" s="57"/>
      <c r="Q46" s="59">
        <f t="shared" si="10"/>
        <v>4.4791666666666669E-3</v>
      </c>
      <c r="R46" s="57"/>
      <c r="S46" s="57"/>
      <c r="T46" s="59">
        <f t="shared" si="11"/>
        <v>4.4791666666666669E-3</v>
      </c>
      <c r="U46" s="57"/>
      <c r="V46" s="57"/>
      <c r="W46" s="59">
        <f t="shared" si="12"/>
        <v>4.4791666666666669E-3</v>
      </c>
      <c r="X46" s="57"/>
      <c r="Y46" s="57"/>
      <c r="Z46" s="59">
        <f t="shared" si="5"/>
        <v>4.4791666666666669E-3</v>
      </c>
      <c r="AA46" s="57"/>
      <c r="AB46" s="57"/>
      <c r="AC46" s="59">
        <f t="shared" si="6"/>
        <v>4.4791666666666669E-3</v>
      </c>
      <c r="AD46" s="57"/>
      <c r="AE46" s="57"/>
      <c r="AF46" s="59"/>
    </row>
    <row r="47" spans="1:32">
      <c r="A47" s="24"/>
      <c r="B47" s="26" t="s">
        <v>123</v>
      </c>
      <c r="C47" s="26" t="s">
        <v>450</v>
      </c>
      <c r="D47" s="50">
        <v>7.42</v>
      </c>
      <c r="E47" s="51"/>
      <c r="F47" s="50">
        <v>7.42</v>
      </c>
      <c r="G47" s="52"/>
      <c r="H47" s="50">
        <v>7.42</v>
      </c>
      <c r="I47" s="53"/>
      <c r="J47" s="50">
        <v>7.42</v>
      </c>
      <c r="K47" s="53"/>
      <c r="L47" s="50">
        <v>7.42</v>
      </c>
      <c r="M47" s="57"/>
      <c r="N47" s="55">
        <v>5.347222222222222E-3</v>
      </c>
      <c r="O47" s="57"/>
      <c r="P47" s="57"/>
      <c r="Q47" s="59">
        <f t="shared" si="10"/>
        <v>5.347222222222222E-3</v>
      </c>
      <c r="R47" s="57"/>
      <c r="S47" s="57"/>
      <c r="T47" s="59">
        <f t="shared" si="11"/>
        <v>5.347222222222222E-3</v>
      </c>
      <c r="U47" s="57"/>
      <c r="V47" s="57"/>
      <c r="W47" s="59">
        <f t="shared" si="12"/>
        <v>5.347222222222222E-3</v>
      </c>
      <c r="X47" s="57"/>
      <c r="Y47" s="57"/>
      <c r="Z47" s="59">
        <f t="shared" si="5"/>
        <v>5.347222222222222E-3</v>
      </c>
      <c r="AA47" s="57"/>
      <c r="AB47" s="57"/>
      <c r="AC47" s="59">
        <f t="shared" si="6"/>
        <v>5.347222222222222E-3</v>
      </c>
      <c r="AD47" s="57"/>
      <c r="AE47" s="57"/>
      <c r="AF47" s="59"/>
    </row>
    <row r="48" spans="1:32">
      <c r="A48" s="24" t="s">
        <v>326</v>
      </c>
      <c r="B48" s="26" t="s">
        <v>97</v>
      </c>
      <c r="C48" s="26" t="s">
        <v>450</v>
      </c>
      <c r="D48" s="55">
        <v>5.1273148148148146E-3</v>
      </c>
      <c r="E48" s="57">
        <v>5.4513888888888884E-3</v>
      </c>
      <c r="F48" s="55">
        <v>5.1273148148148146E-3</v>
      </c>
      <c r="G48" s="57">
        <v>5.3240740740740748E-3</v>
      </c>
      <c r="H48" s="55">
        <v>5.1273148148148146E-3</v>
      </c>
      <c r="I48" s="57"/>
      <c r="J48" s="55">
        <v>5.1273148148148146E-3</v>
      </c>
      <c r="K48" s="57"/>
      <c r="L48" s="55">
        <v>5.1273148148148146E-3</v>
      </c>
      <c r="M48" s="57">
        <v>5.4745370370370373E-3</v>
      </c>
      <c r="N48" s="55">
        <v>5.1273148148148146E-3</v>
      </c>
      <c r="O48" s="57"/>
      <c r="P48" s="57"/>
      <c r="Q48" s="59">
        <f t="shared" si="10"/>
        <v>5.1273148148148146E-3</v>
      </c>
      <c r="R48" s="57"/>
      <c r="S48" s="57"/>
      <c r="T48" s="59">
        <f t="shared" si="11"/>
        <v>5.1273148148148146E-3</v>
      </c>
      <c r="U48" s="57">
        <v>5.2662037037037035E-3</v>
      </c>
      <c r="V48" s="57"/>
      <c r="W48" s="59">
        <f t="shared" si="12"/>
        <v>5.1273148148148146E-3</v>
      </c>
      <c r="X48" s="57"/>
      <c r="Y48" s="57"/>
      <c r="Z48" s="59">
        <f t="shared" si="5"/>
        <v>5.1273148148148146E-3</v>
      </c>
      <c r="AA48" s="57"/>
      <c r="AB48" s="57"/>
      <c r="AC48" s="59">
        <f t="shared" si="6"/>
        <v>5.1273148148148146E-3</v>
      </c>
      <c r="AD48" s="57"/>
      <c r="AE48" s="57"/>
      <c r="AF48" s="59"/>
    </row>
    <row r="49" spans="1:32">
      <c r="A49" s="24" t="s">
        <v>326</v>
      </c>
      <c r="B49" s="26" t="s">
        <v>103</v>
      </c>
      <c r="C49" s="26" t="s">
        <v>450</v>
      </c>
      <c r="D49" s="50">
        <v>6.51</v>
      </c>
      <c r="E49" s="51"/>
      <c r="F49" s="50">
        <v>6.51</v>
      </c>
      <c r="G49" s="52"/>
      <c r="H49" s="50">
        <v>6.51</v>
      </c>
      <c r="I49" s="53"/>
      <c r="J49" s="50">
        <v>6.51</v>
      </c>
      <c r="K49" s="53"/>
      <c r="L49" s="50">
        <v>6.51</v>
      </c>
      <c r="M49" s="57"/>
      <c r="N49" s="55">
        <v>4.7569444444444447E-3</v>
      </c>
      <c r="O49" s="57"/>
      <c r="P49" s="57"/>
      <c r="Q49" s="59">
        <f t="shared" si="10"/>
        <v>4.7569444444444447E-3</v>
      </c>
      <c r="R49" s="57"/>
      <c r="S49" s="57"/>
      <c r="T49" s="59">
        <f t="shared" si="11"/>
        <v>4.7569444444444447E-3</v>
      </c>
      <c r="U49" s="57"/>
      <c r="V49" s="57"/>
      <c r="W49" s="59">
        <f t="shared" si="12"/>
        <v>4.7569444444444447E-3</v>
      </c>
      <c r="X49" s="57"/>
      <c r="Y49" s="57"/>
      <c r="Z49" s="59">
        <f t="shared" si="5"/>
        <v>4.7569444444444447E-3</v>
      </c>
      <c r="AA49" s="57"/>
      <c r="AB49" s="57"/>
      <c r="AC49" s="59">
        <f t="shared" si="6"/>
        <v>4.7569444444444447E-3</v>
      </c>
      <c r="AD49" s="57"/>
      <c r="AE49" s="57"/>
      <c r="AF49" s="59"/>
    </row>
    <row r="50" spans="1:32">
      <c r="A50" s="24"/>
      <c r="B50" s="26" t="s">
        <v>110</v>
      </c>
      <c r="C50" s="26" t="s">
        <v>450</v>
      </c>
      <c r="D50" s="50">
        <v>7.08</v>
      </c>
      <c r="E50" s="51"/>
      <c r="F50" s="50">
        <v>7.08</v>
      </c>
      <c r="G50" s="52"/>
      <c r="H50" s="50">
        <v>7.08</v>
      </c>
      <c r="I50" s="53">
        <v>7.25</v>
      </c>
      <c r="J50" s="50">
        <v>7.08</v>
      </c>
      <c r="K50" s="53">
        <v>7.26</v>
      </c>
      <c r="L50" s="50">
        <v>7.08</v>
      </c>
      <c r="M50" s="57">
        <v>6.030092592592593E-3</v>
      </c>
      <c r="N50" s="55">
        <v>4.9537037037037041E-3</v>
      </c>
      <c r="O50" s="57">
        <v>5.2199074074074066E-3</v>
      </c>
      <c r="P50" s="57"/>
      <c r="Q50" s="59">
        <f t="shared" si="10"/>
        <v>4.9537037037037041E-3</v>
      </c>
      <c r="R50" s="57">
        <v>5.2546296296296299E-3</v>
      </c>
      <c r="S50" s="57"/>
      <c r="T50" s="59">
        <f t="shared" si="11"/>
        <v>4.9537037037037041E-3</v>
      </c>
      <c r="U50" s="57"/>
      <c r="V50" s="57"/>
      <c r="W50" s="59">
        <f t="shared" si="12"/>
        <v>4.9537037037037041E-3</v>
      </c>
      <c r="X50" s="57"/>
      <c r="Y50" s="57"/>
      <c r="Z50" s="59">
        <f t="shared" si="5"/>
        <v>4.9537037037037041E-3</v>
      </c>
      <c r="AA50" s="57"/>
      <c r="AB50" s="57"/>
      <c r="AC50" s="59">
        <f t="shared" si="6"/>
        <v>4.9537037037037041E-3</v>
      </c>
      <c r="AD50" s="57"/>
      <c r="AE50" s="57"/>
      <c r="AF50" s="59"/>
    </row>
    <row r="51" spans="1:32">
      <c r="A51" s="24"/>
      <c r="B51" s="26" t="s">
        <v>116</v>
      </c>
      <c r="C51" s="26" t="s">
        <v>450</v>
      </c>
      <c r="D51" s="50">
        <v>6.57</v>
      </c>
      <c r="E51" s="51"/>
      <c r="F51" s="50">
        <v>6.57</v>
      </c>
      <c r="G51" s="52"/>
      <c r="H51" s="50">
        <v>6.57</v>
      </c>
      <c r="I51" s="53"/>
      <c r="J51" s="50">
        <v>6.57</v>
      </c>
      <c r="K51" s="53"/>
      <c r="L51" s="50">
        <v>6.57</v>
      </c>
      <c r="M51" s="57"/>
      <c r="N51" s="55">
        <v>4.8263888888888887E-3</v>
      </c>
      <c r="O51" s="57"/>
      <c r="P51" s="57"/>
      <c r="Q51" s="59">
        <f t="shared" si="10"/>
        <v>4.8263888888888887E-3</v>
      </c>
      <c r="R51" s="57"/>
      <c r="S51" s="57"/>
      <c r="T51" s="59">
        <f t="shared" si="11"/>
        <v>4.8263888888888887E-3</v>
      </c>
      <c r="U51" s="57"/>
      <c r="V51" s="57"/>
      <c r="W51" s="59">
        <f t="shared" si="12"/>
        <v>4.8263888888888887E-3</v>
      </c>
      <c r="X51" s="57"/>
      <c r="Y51" s="57"/>
      <c r="Z51" s="59">
        <f t="shared" si="5"/>
        <v>4.8263888888888887E-3</v>
      </c>
      <c r="AA51" s="57"/>
      <c r="AB51" s="57"/>
      <c r="AC51" s="59">
        <f t="shared" si="6"/>
        <v>4.8263888888888887E-3</v>
      </c>
      <c r="AD51" s="57"/>
      <c r="AE51" s="57"/>
      <c r="AF51" s="59"/>
    </row>
    <row r="52" spans="1:32">
      <c r="A52" s="24"/>
      <c r="B52" s="26" t="s">
        <v>331</v>
      </c>
      <c r="C52" s="26" t="s">
        <v>450</v>
      </c>
      <c r="D52" s="50"/>
      <c r="E52" s="51"/>
      <c r="F52" s="50" t="s">
        <v>455</v>
      </c>
      <c r="G52" s="52"/>
      <c r="H52" s="50"/>
      <c r="I52" s="53"/>
      <c r="J52" s="50" t="s">
        <v>455</v>
      </c>
      <c r="K52" s="53"/>
      <c r="L52" s="50"/>
      <c r="M52" s="57"/>
      <c r="N52" s="55" t="s">
        <v>455</v>
      </c>
      <c r="O52" s="57"/>
      <c r="P52" s="57"/>
      <c r="Q52" s="59" t="str">
        <f t="shared" si="10"/>
        <v/>
      </c>
      <c r="R52" s="57"/>
      <c r="S52" s="57"/>
      <c r="T52" s="59" t="str">
        <f t="shared" si="11"/>
        <v/>
      </c>
      <c r="U52" s="57"/>
      <c r="V52" s="57"/>
      <c r="W52" s="59" t="str">
        <f t="shared" si="12"/>
        <v/>
      </c>
      <c r="X52" s="57"/>
      <c r="Y52" s="57"/>
      <c r="Z52" s="59" t="str">
        <f t="shared" si="5"/>
        <v/>
      </c>
      <c r="AA52" s="57"/>
      <c r="AB52" s="57"/>
      <c r="AC52" s="59" t="str">
        <f t="shared" si="6"/>
        <v/>
      </c>
      <c r="AD52" s="57"/>
      <c r="AE52" s="57"/>
      <c r="AF52" s="59"/>
    </row>
    <row r="53" spans="1:32">
      <c r="A53" s="24" t="s">
        <v>326</v>
      </c>
      <c r="B53" s="26" t="s">
        <v>629</v>
      </c>
      <c r="C53" s="26"/>
      <c r="D53" s="50"/>
      <c r="E53" s="51"/>
      <c r="F53" s="50"/>
      <c r="G53" s="52"/>
      <c r="H53" s="50"/>
      <c r="I53" s="53"/>
      <c r="J53" s="50"/>
      <c r="K53" s="53"/>
      <c r="L53" s="50"/>
      <c r="M53" s="57"/>
      <c r="N53" s="55"/>
      <c r="O53" s="57"/>
      <c r="P53" s="57"/>
      <c r="Q53" s="59"/>
      <c r="R53" s="57"/>
      <c r="S53" s="57"/>
      <c r="T53" s="59"/>
      <c r="U53" s="57"/>
      <c r="V53" s="57"/>
      <c r="W53" s="59"/>
      <c r="X53" s="57">
        <v>6.8402777777777776E-3</v>
      </c>
      <c r="Y53" s="57"/>
      <c r="Z53" s="59">
        <f t="shared" si="5"/>
        <v>6.8402777777777776E-3</v>
      </c>
      <c r="AA53" s="57"/>
      <c r="AB53" s="57"/>
      <c r="AC53" s="59">
        <f t="shared" si="6"/>
        <v>6.8402777777777776E-3</v>
      </c>
      <c r="AD53" s="57"/>
      <c r="AE53" s="57"/>
      <c r="AF53" s="59"/>
    </row>
    <row r="54" spans="1:32">
      <c r="A54" s="24" t="s">
        <v>326</v>
      </c>
      <c r="B54" s="26" t="s">
        <v>540</v>
      </c>
      <c r="C54" s="26" t="s">
        <v>450</v>
      </c>
      <c r="D54" s="50"/>
      <c r="E54" s="51"/>
      <c r="F54" s="50"/>
      <c r="G54" s="52"/>
      <c r="H54" s="50"/>
      <c r="I54" s="53"/>
      <c r="J54" s="50"/>
      <c r="K54" s="53"/>
      <c r="L54" s="50"/>
      <c r="M54" s="57"/>
      <c r="N54" s="55" t="s">
        <v>455</v>
      </c>
      <c r="O54" s="57"/>
      <c r="P54" s="57"/>
      <c r="Q54" s="59" t="str">
        <f>IF(MIN(IF(ISBLANK(O54),N54,O54),IF(ISBLANK(N54),O54,N54))=0,"",MIN(IF(ISBLANK(O54),N54,O54),IF(ISBLANK(N54),O54,N54)))</f>
        <v/>
      </c>
      <c r="R54" s="57"/>
      <c r="S54" s="57"/>
      <c r="T54" s="59" t="str">
        <f t="shared" ref="T54:T65" si="13">IF(MIN(IF(ISBLANK(R54),Q54,R54),IF(ISBLANK(Q54),R54,Q54))=0,"",MIN(IF(ISBLANK(R54),Q54,R54),IF(ISBLANK(Q54),R54,Q54)))</f>
        <v/>
      </c>
      <c r="U54" s="57"/>
      <c r="V54" s="57"/>
      <c r="W54" s="59" t="str">
        <f t="shared" ref="W54:W65" si="14">IF(MIN(IF(ISBLANK(U54),T54,U54),IF(ISBLANK(T54),U54,T54))=0,"",MIN(IF(ISBLANK(U54),T54,U54),IF(ISBLANK(T54),U54,T54)))</f>
        <v/>
      </c>
      <c r="X54" s="57">
        <v>5.4629629629629637E-3</v>
      </c>
      <c r="Y54" s="57"/>
      <c r="Z54" s="59">
        <f t="shared" si="5"/>
        <v>5.4629629629629637E-3</v>
      </c>
      <c r="AA54" s="57"/>
      <c r="AB54" s="57"/>
      <c r="AC54" s="59">
        <f t="shared" si="6"/>
        <v>5.4629629629629637E-3</v>
      </c>
      <c r="AD54" s="57"/>
      <c r="AE54" s="57"/>
      <c r="AF54" s="59"/>
    </row>
    <row r="55" spans="1:32">
      <c r="A55" s="24" t="s">
        <v>326</v>
      </c>
      <c r="B55" s="26" t="s">
        <v>272</v>
      </c>
      <c r="C55" s="26"/>
      <c r="D55" s="50"/>
      <c r="E55" s="51">
        <v>9.09</v>
      </c>
      <c r="F55" s="50">
        <v>9.09</v>
      </c>
      <c r="G55" s="52">
        <v>8.27</v>
      </c>
      <c r="H55" s="50">
        <v>8.27</v>
      </c>
      <c r="I55" s="53">
        <v>8.16</v>
      </c>
      <c r="J55" s="50">
        <v>8.16</v>
      </c>
      <c r="K55" s="53"/>
      <c r="L55" s="50">
        <v>8.16</v>
      </c>
      <c r="M55" s="57"/>
      <c r="N55" s="55">
        <v>5.7407407407407416E-3</v>
      </c>
      <c r="O55" s="57">
        <v>6.0879629629629643E-3</v>
      </c>
      <c r="P55" s="57"/>
      <c r="Q55" s="59">
        <f>IF(MIN(IF(ISBLANK(O55),N55,O55),IF(ISBLANK(N55),O55,N55))=0,"",MIN(IF(ISBLANK(O55),N55,O55),IF(ISBLANK(N55),O55,N55)))</f>
        <v>5.7407407407407416E-3</v>
      </c>
      <c r="R55" s="57">
        <v>5.8564814814814825E-3</v>
      </c>
      <c r="S55" s="57"/>
      <c r="T55" s="59">
        <f t="shared" si="13"/>
        <v>5.7407407407407416E-3</v>
      </c>
      <c r="U55" s="57"/>
      <c r="V55" s="57"/>
      <c r="W55" s="59">
        <f t="shared" si="14"/>
        <v>5.7407407407407416E-3</v>
      </c>
      <c r="X55" s="57"/>
      <c r="Y55" s="57"/>
      <c r="Z55" s="59">
        <f t="shared" si="5"/>
        <v>5.7407407407407416E-3</v>
      </c>
      <c r="AA55" s="57"/>
      <c r="AB55" s="57"/>
      <c r="AC55" s="59">
        <f t="shared" si="6"/>
        <v>5.7407407407407416E-3</v>
      </c>
      <c r="AD55" s="57"/>
      <c r="AE55" s="57"/>
      <c r="AF55" s="59"/>
    </row>
    <row r="56" spans="1:32">
      <c r="A56" s="24"/>
      <c r="B56" s="26" t="s">
        <v>474</v>
      </c>
      <c r="C56" s="26" t="s">
        <v>451</v>
      </c>
      <c r="D56" s="50"/>
      <c r="E56" s="51"/>
      <c r="F56" s="50"/>
      <c r="G56" s="52"/>
      <c r="H56" s="50"/>
      <c r="I56" s="53"/>
      <c r="J56" s="50"/>
      <c r="K56" s="53"/>
      <c r="L56" s="50"/>
      <c r="M56" s="57"/>
      <c r="N56" s="55" t="s">
        <v>455</v>
      </c>
      <c r="O56" s="57"/>
      <c r="P56" s="57"/>
      <c r="Q56" s="59" t="str">
        <f>IF(MIN(IF(ISBLANK(O56),N56,O56),IF(ISBLANK(N56),O56,N56))=0,"",MIN(IF(ISBLANK(O56),N56,O56),IF(ISBLANK(N56),O56,N56)))</f>
        <v/>
      </c>
      <c r="R56" s="57"/>
      <c r="S56" s="57"/>
      <c r="T56" s="59" t="str">
        <f t="shared" si="13"/>
        <v/>
      </c>
      <c r="U56" s="57"/>
      <c r="V56" s="57"/>
      <c r="W56" s="59" t="str">
        <f t="shared" si="14"/>
        <v/>
      </c>
      <c r="X56" s="57"/>
      <c r="Y56" s="57"/>
      <c r="Z56" s="59" t="str">
        <f t="shared" si="5"/>
        <v/>
      </c>
      <c r="AA56" s="57"/>
      <c r="AB56" s="57"/>
      <c r="AC56" s="59" t="str">
        <f t="shared" si="6"/>
        <v/>
      </c>
      <c r="AD56" s="57"/>
      <c r="AE56" s="57"/>
      <c r="AF56" s="59"/>
    </row>
    <row r="57" spans="1:32">
      <c r="A57" s="24" t="s">
        <v>326</v>
      </c>
      <c r="B57" s="26" t="s">
        <v>741</v>
      </c>
      <c r="C57" s="26"/>
      <c r="D57" s="50"/>
      <c r="E57" s="51"/>
      <c r="F57" s="50"/>
      <c r="G57" s="52"/>
      <c r="H57" s="50"/>
      <c r="I57" s="53"/>
      <c r="J57" s="50"/>
      <c r="K57" s="53"/>
      <c r="L57" s="50"/>
      <c r="M57" s="57"/>
      <c r="N57" s="55"/>
      <c r="O57" s="57"/>
      <c r="P57" s="57"/>
      <c r="Q57" s="59"/>
      <c r="R57" s="57"/>
      <c r="S57" s="57"/>
      <c r="T57" s="59"/>
      <c r="U57" s="57"/>
      <c r="V57" s="57"/>
      <c r="W57" s="59"/>
      <c r="X57" s="57"/>
      <c r="Y57" s="57"/>
      <c r="Z57" s="59"/>
      <c r="AA57" s="57"/>
      <c r="AB57" s="57"/>
      <c r="AC57" s="59"/>
      <c r="AD57" s="57">
        <v>5.5787037037037038E-3</v>
      </c>
      <c r="AE57" s="57"/>
      <c r="AF57" s="59"/>
    </row>
    <row r="58" spans="1:32">
      <c r="A58" s="24"/>
      <c r="B58" s="26" t="s">
        <v>133</v>
      </c>
      <c r="C58" s="26" t="s">
        <v>451</v>
      </c>
      <c r="D58" s="50">
        <v>9.07</v>
      </c>
      <c r="E58" s="51"/>
      <c r="F58" s="50">
        <v>9.07</v>
      </c>
      <c r="G58" s="52"/>
      <c r="H58" s="50">
        <v>9.07</v>
      </c>
      <c r="I58" s="53"/>
      <c r="J58" s="50">
        <v>9.07</v>
      </c>
      <c r="K58" s="53"/>
      <c r="L58" s="50">
        <v>9.07</v>
      </c>
      <c r="M58" s="57"/>
      <c r="N58" s="55">
        <v>6.3310185185185197E-3</v>
      </c>
      <c r="O58" s="57"/>
      <c r="P58" s="57"/>
      <c r="Q58" s="59">
        <f>IF(MIN(IF(ISBLANK(O58),N58,O58),IF(ISBLANK(N58),O58,N58))=0,"",MIN(IF(ISBLANK(O58),N58,O58),IF(ISBLANK(N58),O58,N58)))</f>
        <v>6.3310185185185197E-3</v>
      </c>
      <c r="R58" s="57"/>
      <c r="S58" s="57"/>
      <c r="T58" s="59">
        <f t="shared" si="13"/>
        <v>6.3310185185185197E-3</v>
      </c>
      <c r="U58" s="57"/>
      <c r="V58" s="57"/>
      <c r="W58" s="59">
        <f t="shared" si="14"/>
        <v>6.3310185185185197E-3</v>
      </c>
      <c r="X58" s="57"/>
      <c r="Y58" s="57"/>
      <c r="Z58" s="59">
        <f t="shared" ref="Z58:Z78" si="15">IF(MIN(IF(ISBLANK(X58),W58,X58),IF(ISBLANK(W58),X58,W58))=0,"",MIN(IF(ISBLANK(X58),W58,X58),IF(ISBLANK(W58),X58,W58)))</f>
        <v>6.3310185185185197E-3</v>
      </c>
      <c r="AA58" s="57"/>
      <c r="AB58" s="57"/>
      <c r="AC58" s="59">
        <f t="shared" ref="AC58:AC78" si="16">IF(MIN(IF(ISBLANK(Z58),AA58,Z58),IF(ISBLANK(AA58),Z58,AA58))=0,"",MIN(IF(ISBLANK(Z58),AA58,Z58),IF(ISBLANK(AA58),Z58,AA58)))</f>
        <v>6.3310185185185197E-3</v>
      </c>
      <c r="AD58" s="57"/>
      <c r="AE58" s="57"/>
      <c r="AF58" s="59"/>
    </row>
    <row r="59" spans="1:32">
      <c r="A59" s="24"/>
      <c r="B59" s="26" t="s">
        <v>618</v>
      </c>
      <c r="C59" s="26"/>
      <c r="D59" s="50"/>
      <c r="E59" s="51"/>
      <c r="F59" s="50"/>
      <c r="G59" s="52"/>
      <c r="H59" s="50"/>
      <c r="I59" s="53"/>
      <c r="J59" s="50"/>
      <c r="K59" s="53"/>
      <c r="L59" s="50"/>
      <c r="M59" s="57"/>
      <c r="N59" s="55"/>
      <c r="O59" s="57"/>
      <c r="P59" s="57"/>
      <c r="Q59" s="59"/>
      <c r="R59" s="57"/>
      <c r="S59" s="57"/>
      <c r="T59" s="59" t="str">
        <f t="shared" si="13"/>
        <v/>
      </c>
      <c r="U59" s="57"/>
      <c r="V59" s="57"/>
      <c r="W59" s="59" t="str">
        <f t="shared" si="14"/>
        <v/>
      </c>
      <c r="X59" s="57"/>
      <c r="Y59" s="57"/>
      <c r="Z59" s="59" t="str">
        <f t="shared" si="15"/>
        <v/>
      </c>
      <c r="AA59" s="57"/>
      <c r="AB59" s="57"/>
      <c r="AC59" s="59" t="str">
        <f t="shared" si="16"/>
        <v/>
      </c>
      <c r="AD59" s="57"/>
      <c r="AE59" s="57"/>
      <c r="AF59" s="59"/>
    </row>
    <row r="60" spans="1:32">
      <c r="A60" s="24"/>
      <c r="B60" s="26" t="s">
        <v>332</v>
      </c>
      <c r="C60" s="26" t="s">
        <v>451</v>
      </c>
      <c r="D60" s="50"/>
      <c r="E60" s="51"/>
      <c r="F60" s="50" t="s">
        <v>455</v>
      </c>
      <c r="G60" s="52"/>
      <c r="H60" s="50"/>
      <c r="I60" s="53"/>
      <c r="J60" s="50" t="s">
        <v>455</v>
      </c>
      <c r="K60" s="53"/>
      <c r="L60" s="50"/>
      <c r="M60" s="57"/>
      <c r="N60" s="55" t="s">
        <v>455</v>
      </c>
      <c r="O60" s="57"/>
      <c r="P60" s="57"/>
      <c r="Q60" s="59" t="str">
        <f t="shared" ref="Q60:Q65" si="17">IF(MIN(IF(ISBLANK(O60),N60,O60),IF(ISBLANK(N60),O60,N60))=0,"",MIN(IF(ISBLANK(O60),N60,O60),IF(ISBLANK(N60),O60,N60)))</f>
        <v/>
      </c>
      <c r="R60" s="57"/>
      <c r="S60" s="57"/>
      <c r="T60" s="59" t="str">
        <f t="shared" si="13"/>
        <v/>
      </c>
      <c r="U60" s="57"/>
      <c r="V60" s="57"/>
      <c r="W60" s="59" t="str">
        <f t="shared" si="14"/>
        <v/>
      </c>
      <c r="X60" s="57"/>
      <c r="Y60" s="57"/>
      <c r="Z60" s="59" t="str">
        <f t="shared" si="15"/>
        <v/>
      </c>
      <c r="AA60" s="57"/>
      <c r="AB60" s="57"/>
      <c r="AC60" s="59" t="str">
        <f t="shared" si="16"/>
        <v/>
      </c>
      <c r="AD60" s="57"/>
      <c r="AE60" s="57"/>
      <c r="AF60" s="59"/>
    </row>
    <row r="61" spans="1:32">
      <c r="A61" s="24"/>
      <c r="B61" s="26" t="s">
        <v>139</v>
      </c>
      <c r="C61" s="26" t="s">
        <v>451</v>
      </c>
      <c r="D61" s="50"/>
      <c r="E61" s="51"/>
      <c r="F61" s="50" t="s">
        <v>455</v>
      </c>
      <c r="G61" s="52"/>
      <c r="H61" s="50"/>
      <c r="I61" s="53"/>
      <c r="J61" s="50" t="s">
        <v>455</v>
      </c>
      <c r="K61" s="53"/>
      <c r="L61" s="50"/>
      <c r="M61" s="57"/>
      <c r="N61" s="55" t="s">
        <v>455</v>
      </c>
      <c r="O61" s="57"/>
      <c r="P61" s="57"/>
      <c r="Q61" s="59" t="str">
        <f t="shared" si="17"/>
        <v/>
      </c>
      <c r="R61" s="57"/>
      <c r="S61" s="57"/>
      <c r="T61" s="59" t="str">
        <f t="shared" si="13"/>
        <v/>
      </c>
      <c r="U61" s="57"/>
      <c r="V61" s="57"/>
      <c r="W61" s="59" t="str">
        <f t="shared" si="14"/>
        <v/>
      </c>
      <c r="X61" s="57"/>
      <c r="Y61" s="57"/>
      <c r="Z61" s="59" t="str">
        <f t="shared" si="15"/>
        <v/>
      </c>
      <c r="AA61" s="57"/>
      <c r="AB61" s="57"/>
      <c r="AC61" s="59" t="str">
        <f t="shared" si="16"/>
        <v/>
      </c>
      <c r="AD61" s="57"/>
      <c r="AE61" s="57"/>
      <c r="AF61" s="59"/>
    </row>
    <row r="62" spans="1:32">
      <c r="A62" s="24"/>
      <c r="B62" s="26" t="s">
        <v>382</v>
      </c>
      <c r="C62" s="26" t="s">
        <v>450</v>
      </c>
      <c r="D62" s="50"/>
      <c r="E62" s="51"/>
      <c r="F62" s="50"/>
      <c r="G62" s="52"/>
      <c r="H62" s="50"/>
      <c r="I62" s="53"/>
      <c r="J62" s="50" t="s">
        <v>455</v>
      </c>
      <c r="K62" s="53"/>
      <c r="L62" s="50"/>
      <c r="M62" s="57"/>
      <c r="N62" s="55" t="s">
        <v>455</v>
      </c>
      <c r="O62" s="57"/>
      <c r="P62" s="57"/>
      <c r="Q62" s="59" t="str">
        <f t="shared" si="17"/>
        <v/>
      </c>
      <c r="R62" s="57"/>
      <c r="S62" s="57"/>
      <c r="T62" s="59" t="str">
        <f t="shared" si="13"/>
        <v/>
      </c>
      <c r="U62" s="57"/>
      <c r="V62" s="57"/>
      <c r="W62" s="59" t="str">
        <f t="shared" si="14"/>
        <v/>
      </c>
      <c r="X62" s="57"/>
      <c r="Y62" s="57"/>
      <c r="Z62" s="59" t="str">
        <f t="shared" si="15"/>
        <v/>
      </c>
      <c r="AA62" s="57"/>
      <c r="AB62" s="57"/>
      <c r="AC62" s="59" t="str">
        <f t="shared" si="16"/>
        <v/>
      </c>
      <c r="AD62" s="57"/>
      <c r="AE62" s="57"/>
      <c r="AF62" s="59"/>
    </row>
    <row r="63" spans="1:32">
      <c r="A63" s="24"/>
      <c r="B63" s="26" t="s">
        <v>146</v>
      </c>
      <c r="C63" s="26" t="s">
        <v>450</v>
      </c>
      <c r="D63" s="50">
        <v>11.19</v>
      </c>
      <c r="E63" s="51"/>
      <c r="F63" s="50">
        <v>11.19</v>
      </c>
      <c r="G63" s="52"/>
      <c r="H63" s="50">
        <v>11.19</v>
      </c>
      <c r="I63" s="53"/>
      <c r="J63" s="50">
        <v>11.19</v>
      </c>
      <c r="K63" s="53"/>
      <c r="L63" s="50">
        <v>11.19</v>
      </c>
      <c r="M63" s="57"/>
      <c r="N63" s="55">
        <v>7.858796296296296E-3</v>
      </c>
      <c r="O63" s="57"/>
      <c r="P63" s="57"/>
      <c r="Q63" s="59">
        <f t="shared" si="17"/>
        <v>7.858796296296296E-3</v>
      </c>
      <c r="R63" s="57"/>
      <c r="S63" s="57"/>
      <c r="T63" s="59">
        <f t="shared" si="13"/>
        <v>7.858796296296296E-3</v>
      </c>
      <c r="U63" s="57"/>
      <c r="V63" s="57"/>
      <c r="W63" s="59">
        <f t="shared" si="14"/>
        <v>7.858796296296296E-3</v>
      </c>
      <c r="X63" s="57"/>
      <c r="Y63" s="57"/>
      <c r="Z63" s="59">
        <f t="shared" si="15"/>
        <v>7.858796296296296E-3</v>
      </c>
      <c r="AA63" s="57"/>
      <c r="AB63" s="57"/>
      <c r="AC63" s="59">
        <f t="shared" si="16"/>
        <v>7.858796296296296E-3</v>
      </c>
      <c r="AD63" s="57"/>
      <c r="AE63" s="57"/>
      <c r="AF63" s="59"/>
    </row>
    <row r="64" spans="1:32">
      <c r="A64" s="24"/>
      <c r="B64" s="26" t="s">
        <v>294</v>
      </c>
      <c r="C64" s="26" t="s">
        <v>451</v>
      </c>
      <c r="D64" s="50"/>
      <c r="E64" s="51"/>
      <c r="F64" s="50" t="s">
        <v>455</v>
      </c>
      <c r="G64" s="52"/>
      <c r="H64" s="50"/>
      <c r="I64" s="53"/>
      <c r="J64" s="50" t="s">
        <v>455</v>
      </c>
      <c r="K64" s="53"/>
      <c r="L64" s="50"/>
      <c r="M64" s="57"/>
      <c r="N64" s="55" t="s">
        <v>455</v>
      </c>
      <c r="O64" s="57"/>
      <c r="P64" s="57"/>
      <c r="Q64" s="59" t="str">
        <f t="shared" si="17"/>
        <v/>
      </c>
      <c r="R64" s="57"/>
      <c r="S64" s="57"/>
      <c r="T64" s="59" t="str">
        <f t="shared" si="13"/>
        <v/>
      </c>
      <c r="U64" s="57"/>
      <c r="V64" s="57"/>
      <c r="W64" s="59" t="str">
        <f t="shared" si="14"/>
        <v/>
      </c>
      <c r="X64" s="57"/>
      <c r="Y64" s="57"/>
      <c r="Z64" s="59" t="str">
        <f t="shared" si="15"/>
        <v/>
      </c>
      <c r="AA64" s="57"/>
      <c r="AB64" s="57"/>
      <c r="AC64" s="59" t="str">
        <f t="shared" si="16"/>
        <v/>
      </c>
      <c r="AD64" s="57"/>
      <c r="AE64" s="57"/>
      <c r="AF64" s="59"/>
    </row>
    <row r="65" spans="1:32">
      <c r="A65" s="24"/>
      <c r="B65" s="26" t="s">
        <v>157</v>
      </c>
      <c r="C65" s="26"/>
      <c r="D65" s="50">
        <v>10.25</v>
      </c>
      <c r="E65" s="51"/>
      <c r="F65" s="50">
        <v>10.25</v>
      </c>
      <c r="G65" s="52"/>
      <c r="H65" s="50">
        <v>10.25</v>
      </c>
      <c r="I65" s="53"/>
      <c r="J65" s="50">
        <v>10.25</v>
      </c>
      <c r="K65" s="53">
        <v>9.51</v>
      </c>
      <c r="L65" s="50">
        <v>9.51</v>
      </c>
      <c r="M65" s="57"/>
      <c r="N65" s="55">
        <v>6.8402777777777776E-3</v>
      </c>
      <c r="O65" s="57">
        <v>7.2106481481481475E-3</v>
      </c>
      <c r="P65" s="57"/>
      <c r="Q65" s="59">
        <f t="shared" si="17"/>
        <v>6.8402777777777776E-3</v>
      </c>
      <c r="R65" s="57"/>
      <c r="S65" s="57"/>
      <c r="T65" s="59">
        <f t="shared" si="13"/>
        <v>6.8402777777777776E-3</v>
      </c>
      <c r="U65" s="57"/>
      <c r="V65" s="57"/>
      <c r="W65" s="59">
        <f t="shared" si="14"/>
        <v>6.8402777777777776E-3</v>
      </c>
      <c r="X65" s="57"/>
      <c r="Y65" s="57"/>
      <c r="Z65" s="59">
        <f t="shared" si="15"/>
        <v>6.8402777777777776E-3</v>
      </c>
      <c r="AA65" s="57"/>
      <c r="AB65" s="57"/>
      <c r="AC65" s="59">
        <f t="shared" si="16"/>
        <v>6.8402777777777776E-3</v>
      </c>
      <c r="AD65" s="57"/>
      <c r="AE65" s="57"/>
      <c r="AF65" s="59"/>
    </row>
    <row r="66" spans="1:32">
      <c r="A66" s="24" t="s">
        <v>326</v>
      </c>
      <c r="B66" s="26" t="s">
        <v>630</v>
      </c>
      <c r="C66" s="26"/>
      <c r="D66" s="50"/>
      <c r="E66" s="51"/>
      <c r="F66" s="50"/>
      <c r="G66" s="52"/>
      <c r="H66" s="50"/>
      <c r="I66" s="53"/>
      <c r="J66" s="50"/>
      <c r="K66" s="53"/>
      <c r="L66" s="50"/>
      <c r="M66" s="57"/>
      <c r="N66" s="55"/>
      <c r="O66" s="57"/>
      <c r="P66" s="57"/>
      <c r="Q66" s="59"/>
      <c r="R66" s="57"/>
      <c r="S66" s="57"/>
      <c r="T66" s="59"/>
      <c r="U66" s="57"/>
      <c r="V66" s="57"/>
      <c r="W66" s="59"/>
      <c r="X66" s="57"/>
      <c r="Y66" s="57"/>
      <c r="Z66" s="59" t="str">
        <f t="shared" si="15"/>
        <v/>
      </c>
      <c r="AA66" s="57">
        <v>6.828703703703704E-3</v>
      </c>
      <c r="AB66" s="57"/>
      <c r="AC66" s="59">
        <f t="shared" si="16"/>
        <v>6.828703703703704E-3</v>
      </c>
      <c r="AD66" s="57">
        <v>6.5972222222222222E-3</v>
      </c>
      <c r="AE66" s="57"/>
      <c r="AF66" s="59"/>
    </row>
    <row r="67" spans="1:32">
      <c r="A67" s="24"/>
      <c r="B67" s="26" t="s">
        <v>275</v>
      </c>
      <c r="C67" s="26"/>
      <c r="D67" s="50"/>
      <c r="E67" s="51">
        <v>10.32</v>
      </c>
      <c r="F67" s="50">
        <v>10.32</v>
      </c>
      <c r="G67" s="52"/>
      <c r="H67" s="50">
        <v>10.32</v>
      </c>
      <c r="I67" s="53"/>
      <c r="J67" s="50">
        <v>10.32</v>
      </c>
      <c r="K67" s="53"/>
      <c r="L67" s="50">
        <v>10.32</v>
      </c>
      <c r="M67" s="57"/>
      <c r="N67" s="55">
        <v>7.3148148148148148E-3</v>
      </c>
      <c r="O67" s="57"/>
      <c r="P67" s="57"/>
      <c r="Q67" s="59">
        <f t="shared" ref="Q67:Q72" si="18">IF(MIN(IF(ISBLANK(O67),N67,O67),IF(ISBLANK(N67),O67,N67))=0,"",MIN(IF(ISBLANK(O67),N67,O67),IF(ISBLANK(N67),O67,N67)))</f>
        <v>7.3148148148148148E-3</v>
      </c>
      <c r="R67" s="57"/>
      <c r="S67" s="57"/>
      <c r="T67" s="59">
        <f t="shared" ref="T67:T72" si="19">IF(MIN(IF(ISBLANK(R67),Q67,R67),IF(ISBLANK(Q67),R67,Q67))=0,"",MIN(IF(ISBLANK(R67),Q67,R67),IF(ISBLANK(Q67),R67,Q67)))</f>
        <v>7.3148148148148148E-3</v>
      </c>
      <c r="U67" s="57"/>
      <c r="V67" s="57"/>
      <c r="W67" s="59">
        <f t="shared" ref="W67:W72" si="20">IF(MIN(IF(ISBLANK(U67),T67,U67),IF(ISBLANK(T67),U67,T67))=0,"",MIN(IF(ISBLANK(U67),T67,U67),IF(ISBLANK(T67),U67,T67)))</f>
        <v>7.3148148148148148E-3</v>
      </c>
      <c r="X67" s="57"/>
      <c r="Y67" s="57"/>
      <c r="Z67" s="59">
        <f t="shared" si="15"/>
        <v>7.3148148148148148E-3</v>
      </c>
      <c r="AA67" s="57"/>
      <c r="AB67" s="57"/>
      <c r="AC67" s="59">
        <f t="shared" si="16"/>
        <v>7.3148148148148148E-3</v>
      </c>
      <c r="AD67" s="57"/>
      <c r="AE67" s="57"/>
      <c r="AF67" s="59"/>
    </row>
    <row r="68" spans="1:32">
      <c r="A68" s="24" t="s">
        <v>326</v>
      </c>
      <c r="B68" s="26" t="s">
        <v>164</v>
      </c>
      <c r="C68" s="26" t="s">
        <v>451</v>
      </c>
      <c r="D68" s="50">
        <v>10.01</v>
      </c>
      <c r="E68" s="51"/>
      <c r="F68" s="50">
        <v>10.01</v>
      </c>
      <c r="G68" s="52"/>
      <c r="H68" s="50">
        <v>10.01</v>
      </c>
      <c r="I68" s="53"/>
      <c r="J68" s="50">
        <v>10.01</v>
      </c>
      <c r="K68" s="53"/>
      <c r="L68" s="50">
        <v>10.01</v>
      </c>
      <c r="M68" s="57"/>
      <c r="N68" s="55">
        <v>6.9560185185185185E-3</v>
      </c>
      <c r="O68" s="57"/>
      <c r="P68" s="57"/>
      <c r="Q68" s="59">
        <f t="shared" si="18"/>
        <v>6.9560185185185185E-3</v>
      </c>
      <c r="R68" s="57"/>
      <c r="S68" s="57"/>
      <c r="T68" s="59">
        <f t="shared" si="19"/>
        <v>6.9560185185185185E-3</v>
      </c>
      <c r="U68" s="57"/>
      <c r="V68" s="57"/>
      <c r="W68" s="59">
        <f t="shared" si="20"/>
        <v>6.9560185185185185E-3</v>
      </c>
      <c r="X68" s="57"/>
      <c r="Y68" s="57"/>
      <c r="Z68" s="59">
        <f t="shared" si="15"/>
        <v>6.9560185185185185E-3</v>
      </c>
      <c r="AA68" s="57"/>
      <c r="AB68" s="57"/>
      <c r="AC68" s="59">
        <f t="shared" si="16"/>
        <v>6.9560185185185185E-3</v>
      </c>
      <c r="AD68" s="57"/>
      <c r="AE68" s="57"/>
      <c r="AF68" s="59"/>
    </row>
    <row r="69" spans="1:32">
      <c r="A69" s="24"/>
      <c r="B69" s="26" t="s">
        <v>171</v>
      </c>
      <c r="C69" s="26"/>
      <c r="D69" s="50"/>
      <c r="E69" s="51"/>
      <c r="F69" s="50" t="s">
        <v>455</v>
      </c>
      <c r="G69" s="52"/>
      <c r="H69" s="50"/>
      <c r="I69" s="53"/>
      <c r="J69" s="50" t="s">
        <v>455</v>
      </c>
      <c r="K69" s="53"/>
      <c r="L69" s="50"/>
      <c r="M69" s="57"/>
      <c r="N69" s="55" t="s">
        <v>455</v>
      </c>
      <c r="O69" s="57"/>
      <c r="P69" s="57"/>
      <c r="Q69" s="59" t="str">
        <f t="shared" si="18"/>
        <v/>
      </c>
      <c r="R69" s="57"/>
      <c r="S69" s="57"/>
      <c r="T69" s="59" t="str">
        <f t="shared" si="19"/>
        <v/>
      </c>
      <c r="U69" s="57"/>
      <c r="V69" s="57"/>
      <c r="W69" s="59" t="str">
        <f t="shared" si="20"/>
        <v/>
      </c>
      <c r="X69" s="57"/>
      <c r="Y69" s="57"/>
      <c r="Z69" s="59" t="str">
        <f t="shared" si="15"/>
        <v/>
      </c>
      <c r="AA69" s="57"/>
      <c r="AB69" s="57"/>
      <c r="AC69" s="59" t="str">
        <f t="shared" si="16"/>
        <v/>
      </c>
      <c r="AD69" s="57"/>
      <c r="AE69" s="57"/>
      <c r="AF69" s="59"/>
    </row>
    <row r="70" spans="1:32">
      <c r="A70" s="24"/>
      <c r="B70" s="26" t="s">
        <v>383</v>
      </c>
      <c r="C70" s="26" t="s">
        <v>451</v>
      </c>
      <c r="D70" s="50"/>
      <c r="E70" s="51"/>
      <c r="F70" s="50"/>
      <c r="G70" s="52"/>
      <c r="H70" s="50"/>
      <c r="I70" s="53"/>
      <c r="J70" s="50" t="s">
        <v>455</v>
      </c>
      <c r="K70" s="53"/>
      <c r="L70" s="50"/>
      <c r="M70" s="57"/>
      <c r="N70" s="55" t="s">
        <v>455</v>
      </c>
      <c r="O70" s="57"/>
      <c r="P70" s="57"/>
      <c r="Q70" s="59" t="str">
        <f t="shared" si="18"/>
        <v/>
      </c>
      <c r="R70" s="57"/>
      <c r="S70" s="57"/>
      <c r="T70" s="59" t="str">
        <f t="shared" si="19"/>
        <v/>
      </c>
      <c r="U70" s="57"/>
      <c r="V70" s="57"/>
      <c r="W70" s="59" t="str">
        <f t="shared" si="20"/>
        <v/>
      </c>
      <c r="X70" s="57"/>
      <c r="Y70" s="57"/>
      <c r="Z70" s="59" t="str">
        <f t="shared" si="15"/>
        <v/>
      </c>
      <c r="AA70" s="57"/>
      <c r="AB70" s="57"/>
      <c r="AC70" s="59" t="str">
        <f t="shared" si="16"/>
        <v/>
      </c>
      <c r="AD70" s="57"/>
      <c r="AE70" s="57"/>
      <c r="AF70" s="59"/>
    </row>
    <row r="71" spans="1:32">
      <c r="A71" s="24"/>
      <c r="B71" s="26" t="s">
        <v>178</v>
      </c>
      <c r="C71" s="26"/>
      <c r="D71" s="50" t="s">
        <v>223</v>
      </c>
      <c r="E71" s="51">
        <v>8.41</v>
      </c>
      <c r="F71" s="50" t="s">
        <v>223</v>
      </c>
      <c r="G71" s="52"/>
      <c r="H71" s="50" t="s">
        <v>223</v>
      </c>
      <c r="I71" s="53"/>
      <c r="J71" s="50" t="s">
        <v>223</v>
      </c>
      <c r="K71" s="53"/>
      <c r="L71" s="50" t="s">
        <v>223</v>
      </c>
      <c r="M71" s="57"/>
      <c r="N71" s="55">
        <v>5.0925925925925921E-3</v>
      </c>
      <c r="O71" s="57"/>
      <c r="P71" s="57"/>
      <c r="Q71" s="59">
        <f t="shared" si="18"/>
        <v>5.0925925925925921E-3</v>
      </c>
      <c r="R71" s="57"/>
      <c r="S71" s="57"/>
      <c r="T71" s="59">
        <f t="shared" si="19"/>
        <v>5.0925925925925921E-3</v>
      </c>
      <c r="U71" s="57"/>
      <c r="V71" s="57"/>
      <c r="W71" s="59">
        <f t="shared" si="20"/>
        <v>5.0925925925925921E-3</v>
      </c>
      <c r="X71" s="57"/>
      <c r="Y71" s="57"/>
      <c r="Z71" s="59">
        <f t="shared" si="15"/>
        <v>5.0925925925925921E-3</v>
      </c>
      <c r="AA71" s="57"/>
      <c r="AB71" s="57"/>
      <c r="AC71" s="59">
        <f t="shared" si="16"/>
        <v>5.0925925925925921E-3</v>
      </c>
      <c r="AD71" s="57"/>
      <c r="AE71" s="57"/>
      <c r="AF71" s="59"/>
    </row>
    <row r="72" spans="1:32">
      <c r="A72" s="24"/>
      <c r="B72" s="26" t="s">
        <v>183</v>
      </c>
      <c r="C72" s="26"/>
      <c r="D72" s="50">
        <v>8.4700000000000006</v>
      </c>
      <c r="E72" s="51"/>
      <c r="F72" s="50">
        <v>8.4700000000000006</v>
      </c>
      <c r="G72" s="52"/>
      <c r="H72" s="50">
        <v>8.4700000000000006</v>
      </c>
      <c r="I72" s="53"/>
      <c r="J72" s="50">
        <v>8.4700000000000006</v>
      </c>
      <c r="K72" s="53"/>
      <c r="L72" s="50">
        <v>8.4700000000000006</v>
      </c>
      <c r="M72" s="57"/>
      <c r="N72" s="55">
        <v>6.0995370370370361E-3</v>
      </c>
      <c r="O72" s="57"/>
      <c r="P72" s="57"/>
      <c r="Q72" s="59">
        <f t="shared" si="18"/>
        <v>6.0995370370370361E-3</v>
      </c>
      <c r="R72" s="57"/>
      <c r="S72" s="57"/>
      <c r="T72" s="59">
        <f t="shared" si="19"/>
        <v>6.0995370370370361E-3</v>
      </c>
      <c r="U72" s="57"/>
      <c r="V72" s="57"/>
      <c r="W72" s="59">
        <f t="shared" si="20"/>
        <v>6.0995370370370361E-3</v>
      </c>
      <c r="X72" s="57"/>
      <c r="Y72" s="57"/>
      <c r="Z72" s="59">
        <f t="shared" si="15"/>
        <v>6.0995370370370361E-3</v>
      </c>
      <c r="AA72" s="57"/>
      <c r="AB72" s="57"/>
      <c r="AC72" s="59">
        <f t="shared" si="16"/>
        <v>6.0995370370370361E-3</v>
      </c>
      <c r="AD72" s="57"/>
      <c r="AE72" s="57"/>
      <c r="AF72" s="59"/>
    </row>
    <row r="73" spans="1:32">
      <c r="A73" s="24"/>
      <c r="B73" s="26" t="s">
        <v>631</v>
      </c>
      <c r="C73" s="26"/>
      <c r="D73" s="50"/>
      <c r="E73" s="51"/>
      <c r="F73" s="50"/>
      <c r="G73" s="52"/>
      <c r="H73" s="50"/>
      <c r="I73" s="53"/>
      <c r="J73" s="50"/>
      <c r="K73" s="53"/>
      <c r="L73" s="50"/>
      <c r="M73" s="57"/>
      <c r="N73" s="55"/>
      <c r="O73" s="57"/>
      <c r="P73" s="57"/>
      <c r="Q73" s="59"/>
      <c r="R73" s="57"/>
      <c r="S73" s="57"/>
      <c r="T73" s="59"/>
      <c r="U73" s="57"/>
      <c r="V73" s="57"/>
      <c r="W73" s="59"/>
      <c r="X73" s="57"/>
      <c r="Y73" s="57"/>
      <c r="Z73" s="59" t="str">
        <f t="shared" si="15"/>
        <v/>
      </c>
      <c r="AA73" s="57"/>
      <c r="AB73" s="57"/>
      <c r="AC73" s="59" t="str">
        <f t="shared" si="16"/>
        <v/>
      </c>
      <c r="AD73" s="57"/>
      <c r="AE73" s="57"/>
      <c r="AF73" s="59"/>
    </row>
    <row r="74" spans="1:32">
      <c r="A74" s="24" t="s">
        <v>326</v>
      </c>
      <c r="B74" s="26" t="s">
        <v>189</v>
      </c>
      <c r="C74" s="26" t="s">
        <v>450</v>
      </c>
      <c r="D74" s="50">
        <v>7.12</v>
      </c>
      <c r="E74" s="51">
        <v>7.15</v>
      </c>
      <c r="F74" s="50">
        <v>7.12</v>
      </c>
      <c r="G74" s="52"/>
      <c r="H74" s="50">
        <v>7.12</v>
      </c>
      <c r="I74" s="53">
        <v>6.58</v>
      </c>
      <c r="J74" s="50">
        <v>6.58</v>
      </c>
      <c r="K74" s="53"/>
      <c r="L74" s="50">
        <v>6.58</v>
      </c>
      <c r="M74" s="57"/>
      <c r="N74" s="55">
        <v>4.8379629629629632E-3</v>
      </c>
      <c r="O74" s="57">
        <v>5.5555555555555558E-3</v>
      </c>
      <c r="P74" s="57"/>
      <c r="Q74" s="59">
        <f>IF(MIN(IF(ISBLANK(O74),N74,O74),IF(ISBLANK(N74),O74,N74))=0,"",MIN(IF(ISBLANK(O74),N74,O74),IF(ISBLANK(N74),O74,N74)))</f>
        <v>4.8379629629629632E-3</v>
      </c>
      <c r="R74" s="57">
        <v>5.347222222222222E-3</v>
      </c>
      <c r="S74" s="57"/>
      <c r="T74" s="59">
        <f>IF(MIN(IF(ISBLANK(R74),Q74,R74),IF(ISBLANK(Q74),R74,Q74))=0,"",MIN(IF(ISBLANK(R74),Q74,R74),IF(ISBLANK(Q74),R74,Q74)))</f>
        <v>4.8379629629629632E-3</v>
      </c>
      <c r="U74" s="57">
        <v>5.4745370370370373E-3</v>
      </c>
      <c r="V74" s="57"/>
      <c r="W74" s="59">
        <f>IF(MIN(IF(ISBLANK(U74),T74,U74),IF(ISBLANK(T74),U74,T74))=0,"",MIN(IF(ISBLANK(U74),T74,U74),IF(ISBLANK(T74),U74,T74)))</f>
        <v>4.8379629629629632E-3</v>
      </c>
      <c r="X74" s="57">
        <v>5.2430555555555555E-3</v>
      </c>
      <c r="Y74" s="57"/>
      <c r="Z74" s="59">
        <f t="shared" si="15"/>
        <v>4.8379629629629632E-3</v>
      </c>
      <c r="AA74" s="57"/>
      <c r="AB74" s="57"/>
      <c r="AC74" s="59">
        <f t="shared" si="16"/>
        <v>4.8379629629629632E-3</v>
      </c>
      <c r="AD74" s="57"/>
      <c r="AE74" s="57"/>
      <c r="AF74" s="59"/>
    </row>
    <row r="75" spans="1:32">
      <c r="A75" s="24"/>
      <c r="B75" s="26" t="s">
        <v>196</v>
      </c>
      <c r="C75" s="26" t="s">
        <v>450</v>
      </c>
      <c r="D75" s="50">
        <v>7.14</v>
      </c>
      <c r="E75" s="51"/>
      <c r="F75" s="50">
        <v>7.14</v>
      </c>
      <c r="G75" s="52"/>
      <c r="H75" s="50">
        <v>7.14</v>
      </c>
      <c r="I75" s="53"/>
      <c r="J75" s="50">
        <v>7.14</v>
      </c>
      <c r="K75" s="53"/>
      <c r="L75" s="50">
        <v>7.14</v>
      </c>
      <c r="M75" s="57"/>
      <c r="N75" s="55">
        <v>5.0231481481481481E-3</v>
      </c>
      <c r="O75" s="57"/>
      <c r="P75" s="57"/>
      <c r="Q75" s="59">
        <f>IF(MIN(IF(ISBLANK(O75),N75,O75),IF(ISBLANK(N75),O75,N75))=0,"",MIN(IF(ISBLANK(O75),N75,O75),IF(ISBLANK(N75),O75,N75)))</f>
        <v>5.0231481481481481E-3</v>
      </c>
      <c r="R75" s="57"/>
      <c r="S75" s="57"/>
      <c r="T75" s="59">
        <f>IF(MIN(IF(ISBLANK(R75),Q75,R75),IF(ISBLANK(Q75),R75,Q75))=0,"",MIN(IF(ISBLANK(R75),Q75,R75),IF(ISBLANK(Q75),R75,Q75)))</f>
        <v>5.0231481481481481E-3</v>
      </c>
      <c r="U75" s="57"/>
      <c r="V75" s="57"/>
      <c r="W75" s="59">
        <f>IF(MIN(IF(ISBLANK(U75),T75,U75),IF(ISBLANK(T75),U75,T75))=0,"",MIN(IF(ISBLANK(U75),T75,U75),IF(ISBLANK(T75),U75,T75)))</f>
        <v>5.0231481481481481E-3</v>
      </c>
      <c r="X75" s="57"/>
      <c r="Y75" s="57"/>
      <c r="Z75" s="59">
        <f t="shared" si="15"/>
        <v>5.0231481481481481E-3</v>
      </c>
      <c r="AA75" s="57"/>
      <c r="AB75" s="57"/>
      <c r="AC75" s="59">
        <f t="shared" si="16"/>
        <v>5.0231481481481481E-3</v>
      </c>
      <c r="AD75" s="57"/>
      <c r="AE75" s="57"/>
      <c r="AF75" s="59"/>
    </row>
    <row r="76" spans="1:32">
      <c r="A76" s="24"/>
      <c r="B76" s="26" t="s">
        <v>536</v>
      </c>
      <c r="C76" s="26" t="s">
        <v>450</v>
      </c>
      <c r="D76" s="50"/>
      <c r="E76" s="51"/>
      <c r="F76" s="50"/>
      <c r="G76" s="52"/>
      <c r="H76" s="50"/>
      <c r="I76" s="53"/>
      <c r="J76" s="50"/>
      <c r="K76" s="53"/>
      <c r="L76" s="50"/>
      <c r="M76" s="57"/>
      <c r="N76" s="55" t="s">
        <v>455</v>
      </c>
      <c r="O76" s="57"/>
      <c r="P76" s="57"/>
      <c r="Q76" s="59" t="str">
        <f>IF(MIN(IF(ISBLANK(O76),N76,O76),IF(ISBLANK(N76),O76,N76))=0,"",MIN(IF(ISBLANK(O76),N76,O76),IF(ISBLANK(N76),O76,N76)))</f>
        <v/>
      </c>
      <c r="R76" s="57"/>
      <c r="S76" s="57"/>
      <c r="T76" s="59" t="str">
        <f>IF(MIN(IF(ISBLANK(R76),Q76,R76),IF(ISBLANK(Q76),R76,Q76))=0,"",MIN(IF(ISBLANK(R76),Q76,R76),IF(ISBLANK(Q76),R76,Q76)))</f>
        <v/>
      </c>
      <c r="U76" s="57"/>
      <c r="V76" s="57"/>
      <c r="W76" s="59" t="str">
        <f>IF(MIN(IF(ISBLANK(U76),T76,U76),IF(ISBLANK(T76),U76,T76))=0,"",MIN(IF(ISBLANK(U76),T76,U76),IF(ISBLANK(T76),U76,T76)))</f>
        <v/>
      </c>
      <c r="X76" s="57"/>
      <c r="Y76" s="57"/>
      <c r="Z76" s="59" t="str">
        <f t="shared" si="15"/>
        <v/>
      </c>
      <c r="AA76" s="57"/>
      <c r="AB76" s="57"/>
      <c r="AC76" s="59" t="str">
        <f t="shared" si="16"/>
        <v/>
      </c>
      <c r="AD76" s="57"/>
      <c r="AE76" s="57"/>
      <c r="AF76" s="59"/>
    </row>
    <row r="77" spans="1:32">
      <c r="A77" s="24"/>
      <c r="B77" s="26" t="s">
        <v>201</v>
      </c>
      <c r="C77" s="26" t="s">
        <v>450</v>
      </c>
      <c r="D77" s="50">
        <v>9.26</v>
      </c>
      <c r="E77" s="51"/>
      <c r="F77" s="50">
        <v>9.26</v>
      </c>
      <c r="G77" s="52"/>
      <c r="H77" s="50">
        <v>9.26</v>
      </c>
      <c r="I77" s="53"/>
      <c r="J77" s="50">
        <v>9.26</v>
      </c>
      <c r="K77" s="53"/>
      <c r="L77" s="50">
        <v>9.26</v>
      </c>
      <c r="M77" s="57"/>
      <c r="N77" s="55">
        <v>6.5509259259259262E-3</v>
      </c>
      <c r="O77" s="57"/>
      <c r="P77" s="57"/>
      <c r="Q77" s="59">
        <f>IF(MIN(IF(ISBLANK(O77),N77,O77),IF(ISBLANK(N77),O77,N77))=0,"",MIN(IF(ISBLANK(O77),N77,O77),IF(ISBLANK(N77),O77,N77)))</f>
        <v>6.5509259259259262E-3</v>
      </c>
      <c r="R77" s="57"/>
      <c r="S77" s="57"/>
      <c r="T77" s="59">
        <f>IF(MIN(IF(ISBLANK(R77),Q77,R77),IF(ISBLANK(Q77),R77,Q77))=0,"",MIN(IF(ISBLANK(R77),Q77,R77),IF(ISBLANK(Q77),R77,Q77)))</f>
        <v>6.5509259259259262E-3</v>
      </c>
      <c r="U77" s="57"/>
      <c r="V77" s="57"/>
      <c r="W77" s="59">
        <f>IF(MIN(IF(ISBLANK(U77),T77,U77),IF(ISBLANK(T77),U77,T77))=0,"",MIN(IF(ISBLANK(U77),T77,U77),IF(ISBLANK(T77),U77,T77)))</f>
        <v>6.5509259259259262E-3</v>
      </c>
      <c r="X77" s="57"/>
      <c r="Y77" s="57"/>
      <c r="Z77" s="59">
        <f t="shared" si="15"/>
        <v>6.5509259259259262E-3</v>
      </c>
      <c r="AA77" s="57"/>
      <c r="AB77" s="57"/>
      <c r="AC77" s="59">
        <f t="shared" si="16"/>
        <v>6.5509259259259262E-3</v>
      </c>
      <c r="AD77" s="57"/>
      <c r="AE77" s="57"/>
      <c r="AF77" s="59"/>
    </row>
    <row r="78" spans="1:32">
      <c r="A78" s="24"/>
      <c r="B78" s="26" t="s">
        <v>212</v>
      </c>
      <c r="C78" s="26" t="s">
        <v>451</v>
      </c>
      <c r="D78" s="50">
        <v>11.09</v>
      </c>
      <c r="E78" s="51"/>
      <c r="F78" s="50">
        <v>11.09</v>
      </c>
      <c r="G78" s="52"/>
      <c r="H78" s="50">
        <v>11.09</v>
      </c>
      <c r="I78" s="53"/>
      <c r="J78" s="50">
        <v>11.09</v>
      </c>
      <c r="K78" s="53"/>
      <c r="L78" s="50">
        <v>11.09</v>
      </c>
      <c r="M78" s="57"/>
      <c r="N78" s="55">
        <v>7.743055555555556E-3</v>
      </c>
      <c r="O78" s="57"/>
      <c r="P78" s="57"/>
      <c r="Q78" s="59">
        <f>IF(MIN(IF(ISBLANK(O78),N78,O78),IF(ISBLANK(N78),O78,N78))=0,"",MIN(IF(ISBLANK(O78),N78,O78),IF(ISBLANK(N78),O78,N78)))</f>
        <v>7.743055555555556E-3</v>
      </c>
      <c r="R78" s="57"/>
      <c r="S78" s="57"/>
      <c r="T78" s="59">
        <f>IF(MIN(IF(ISBLANK(R78),Q78,R78),IF(ISBLANK(Q78),R78,Q78))=0,"",MIN(IF(ISBLANK(R78),Q78,R78),IF(ISBLANK(Q78),R78,Q78)))</f>
        <v>7.743055555555556E-3</v>
      </c>
      <c r="U78" s="57"/>
      <c r="V78" s="57"/>
      <c r="W78" s="59">
        <f>IF(MIN(IF(ISBLANK(U78),T78,U78),IF(ISBLANK(T78),U78,T78))=0,"",MIN(IF(ISBLANK(U78),T78,U78),IF(ISBLANK(T78),U78,T78)))</f>
        <v>7.743055555555556E-3</v>
      </c>
      <c r="X78" s="57"/>
      <c r="Y78" s="57"/>
      <c r="Z78" s="59">
        <f t="shared" si="15"/>
        <v>7.743055555555556E-3</v>
      </c>
      <c r="AA78" s="57"/>
      <c r="AB78" s="57"/>
      <c r="AC78" s="59">
        <f t="shared" si="16"/>
        <v>7.743055555555556E-3</v>
      </c>
      <c r="AD78" s="57"/>
      <c r="AE78" s="57"/>
      <c r="AF78" s="59"/>
    </row>
    <row r="79" spans="1:32">
      <c r="A79" s="24" t="s">
        <v>326</v>
      </c>
      <c r="B79" s="26" t="s">
        <v>732</v>
      </c>
      <c r="C79" s="26"/>
      <c r="D79" s="50"/>
      <c r="E79" s="51"/>
      <c r="F79" s="50"/>
      <c r="G79" s="52"/>
      <c r="H79" s="50"/>
      <c r="I79" s="53"/>
      <c r="J79" s="50"/>
      <c r="K79" s="54"/>
      <c r="L79" s="50"/>
      <c r="M79" s="56"/>
      <c r="N79" s="55"/>
      <c r="O79" s="56"/>
      <c r="P79" s="56"/>
      <c r="Q79" s="59"/>
      <c r="R79" s="56"/>
      <c r="S79" s="56"/>
      <c r="T79" s="59"/>
      <c r="U79" s="56"/>
      <c r="V79" s="56"/>
      <c r="W79" s="59"/>
      <c r="X79" s="56"/>
      <c r="Y79" s="56"/>
      <c r="Z79" s="59"/>
      <c r="AA79" s="56"/>
      <c r="AB79" s="56"/>
      <c r="AC79" s="59"/>
      <c r="AD79" s="56"/>
      <c r="AE79" s="56"/>
      <c r="AF79" s="59"/>
    </row>
    <row r="80" spans="1:32">
      <c r="A80" s="24"/>
      <c r="B80" s="26" t="s">
        <v>257</v>
      </c>
      <c r="C80" s="26" t="s">
        <v>451</v>
      </c>
      <c r="D80" s="50">
        <v>9.36</v>
      </c>
      <c r="E80" s="51"/>
      <c r="F80" s="50">
        <v>9.36</v>
      </c>
      <c r="G80" s="52"/>
      <c r="H80" s="50">
        <v>9.36</v>
      </c>
      <c r="I80" s="53"/>
      <c r="J80" s="50">
        <v>9.36</v>
      </c>
      <c r="K80" s="53"/>
      <c r="L80" s="50">
        <v>9.36</v>
      </c>
      <c r="M80" s="57"/>
      <c r="N80" s="55">
        <v>6.6666666666666671E-3</v>
      </c>
      <c r="O80" s="57"/>
      <c r="P80" s="57"/>
      <c r="Q80" s="59">
        <f>IF(MIN(IF(ISBLANK(O80),N80,O80),IF(ISBLANK(N80),O80,N80))=0,"",MIN(IF(ISBLANK(O80),N80,O80),IF(ISBLANK(N80),O80,N80)))</f>
        <v>6.6666666666666671E-3</v>
      </c>
      <c r="R80" s="57"/>
      <c r="S80" s="57"/>
      <c r="T80" s="59">
        <f>IF(MIN(IF(ISBLANK(R80),Q80,R80),IF(ISBLANK(Q80),R80,Q80))=0,"",MIN(IF(ISBLANK(R80),Q80,R80),IF(ISBLANK(Q80),R80,Q80)))</f>
        <v>6.6666666666666671E-3</v>
      </c>
      <c r="U80" s="57"/>
      <c r="V80" s="57"/>
      <c r="W80" s="59">
        <f>IF(MIN(IF(ISBLANK(U80),T80,U80),IF(ISBLANK(T80),U80,T80))=0,"",MIN(IF(ISBLANK(U80),T80,U80),IF(ISBLANK(T80),U80,T80)))</f>
        <v>6.6666666666666671E-3</v>
      </c>
      <c r="X80" s="57"/>
      <c r="Y80" s="57"/>
      <c r="Z80" s="59">
        <f t="shared" ref="Z80:Z112" si="21">IF(MIN(IF(ISBLANK(X80),W80,X80),IF(ISBLANK(W80),X80,W80))=0,"",MIN(IF(ISBLANK(X80),W80,X80),IF(ISBLANK(W80),X80,W80)))</f>
        <v>6.6666666666666671E-3</v>
      </c>
      <c r="AA80" s="57">
        <v>7.2916666666666659E-3</v>
      </c>
      <c r="AB80" s="57"/>
      <c r="AC80" s="59">
        <f t="shared" ref="AC80:AC112" si="22">IF(MIN(IF(ISBLANK(Z80),AA80,Z80),IF(ISBLANK(AA80),Z80,AA80))=0,"",MIN(IF(ISBLANK(Z80),AA80,Z80),IF(ISBLANK(AA80),Z80,AA80)))</f>
        <v>6.6666666666666671E-3</v>
      </c>
      <c r="AD80" s="57"/>
      <c r="AE80" s="57"/>
      <c r="AF80" s="59"/>
    </row>
    <row r="81" spans="1:32">
      <c r="A81" s="24"/>
      <c r="B81" s="26" t="s">
        <v>333</v>
      </c>
      <c r="C81" s="26" t="s">
        <v>451</v>
      </c>
      <c r="D81" s="50"/>
      <c r="E81" s="51"/>
      <c r="F81" s="50" t="s">
        <v>455</v>
      </c>
      <c r="G81" s="52"/>
      <c r="H81" s="50"/>
      <c r="I81" s="53"/>
      <c r="J81" s="50" t="s">
        <v>455</v>
      </c>
      <c r="K81" s="53"/>
      <c r="L81" s="50"/>
      <c r="M81" s="57"/>
      <c r="N81" s="55" t="s">
        <v>455</v>
      </c>
      <c r="O81" s="57"/>
      <c r="P81" s="57"/>
      <c r="Q81" s="59" t="str">
        <f>IF(MIN(IF(ISBLANK(O81),N81,O81),IF(ISBLANK(N81),O81,N81))=0,"",MIN(IF(ISBLANK(O81),N81,O81),IF(ISBLANK(N81),O81,N81)))</f>
        <v/>
      </c>
      <c r="R81" s="57"/>
      <c r="S81" s="57"/>
      <c r="T81" s="59" t="str">
        <f>IF(MIN(IF(ISBLANK(R81),Q81,R81),IF(ISBLANK(Q81),R81,Q81))=0,"",MIN(IF(ISBLANK(R81),Q81,R81),IF(ISBLANK(Q81),R81,Q81)))</f>
        <v/>
      </c>
      <c r="U81" s="57"/>
      <c r="V81" s="57"/>
      <c r="W81" s="59" t="str">
        <f>IF(MIN(IF(ISBLANK(U81),T81,U81),IF(ISBLANK(T81),U81,T81))=0,"",MIN(IF(ISBLANK(U81),T81,U81),IF(ISBLANK(T81),U81,T81)))</f>
        <v/>
      </c>
      <c r="X81" s="57"/>
      <c r="Y81" s="57"/>
      <c r="Z81" s="59" t="str">
        <f t="shared" si="21"/>
        <v/>
      </c>
      <c r="AA81" s="57"/>
      <c r="AB81" s="57"/>
      <c r="AC81" s="59" t="str">
        <f t="shared" si="22"/>
        <v/>
      </c>
      <c r="AD81" s="57"/>
      <c r="AE81" s="57"/>
      <c r="AF81" s="59"/>
    </row>
    <row r="82" spans="1:32">
      <c r="A82" s="24"/>
      <c r="B82" s="26" t="s">
        <v>632</v>
      </c>
      <c r="C82" s="26"/>
      <c r="D82" s="50"/>
      <c r="E82" s="51"/>
      <c r="F82" s="50"/>
      <c r="G82" s="52"/>
      <c r="H82" s="50"/>
      <c r="I82" s="53"/>
      <c r="J82" s="50"/>
      <c r="K82" s="53"/>
      <c r="L82" s="50"/>
      <c r="M82" s="57"/>
      <c r="N82" s="55"/>
      <c r="O82" s="57"/>
      <c r="P82" s="57"/>
      <c r="Q82" s="59"/>
      <c r="R82" s="57"/>
      <c r="S82" s="57"/>
      <c r="T82" s="59"/>
      <c r="U82" s="57"/>
      <c r="V82" s="57"/>
      <c r="W82" s="59"/>
      <c r="X82" s="57"/>
      <c r="Y82" s="57"/>
      <c r="Z82" s="59" t="str">
        <f t="shared" si="21"/>
        <v/>
      </c>
      <c r="AA82" s="57"/>
      <c r="AB82" s="57"/>
      <c r="AC82" s="59" t="str">
        <f t="shared" si="22"/>
        <v/>
      </c>
      <c r="AD82" s="57"/>
      <c r="AE82" s="57"/>
      <c r="AF82" s="59"/>
    </row>
    <row r="83" spans="1:32">
      <c r="A83" s="24"/>
      <c r="B83" s="26" t="s">
        <v>584</v>
      </c>
      <c r="C83" s="26"/>
      <c r="D83" s="50"/>
      <c r="E83" s="51"/>
      <c r="F83" s="50"/>
      <c r="G83" s="52"/>
      <c r="H83" s="50"/>
      <c r="I83" s="53"/>
      <c r="J83" s="50"/>
      <c r="K83" s="53"/>
      <c r="L83" s="50"/>
      <c r="M83" s="57"/>
      <c r="N83" s="55"/>
      <c r="O83" s="57"/>
      <c r="P83" s="57"/>
      <c r="Q83" s="59"/>
      <c r="R83" s="57"/>
      <c r="S83" s="57"/>
      <c r="T83" s="59" t="str">
        <f t="shared" ref="T83:T93" si="23">IF(MIN(IF(ISBLANK(R83),Q83,R83),IF(ISBLANK(Q83),R83,Q83))=0,"",MIN(IF(ISBLANK(R83),Q83,R83),IF(ISBLANK(Q83),R83,Q83)))</f>
        <v/>
      </c>
      <c r="U83" s="57"/>
      <c r="V83" s="57"/>
      <c r="W83" s="59" t="str">
        <f t="shared" ref="W83:W93" si="24">IF(MIN(IF(ISBLANK(U83),T83,U83),IF(ISBLANK(T83),U83,T83))=0,"",MIN(IF(ISBLANK(U83),T83,U83),IF(ISBLANK(T83),U83,T83)))</f>
        <v/>
      </c>
      <c r="X83" s="57">
        <v>5.7523148148148143E-3</v>
      </c>
      <c r="Y83" s="57"/>
      <c r="Z83" s="59">
        <f t="shared" si="21"/>
        <v>5.7523148148148143E-3</v>
      </c>
      <c r="AA83" s="57"/>
      <c r="AB83" s="57"/>
      <c r="AC83" s="59">
        <f t="shared" si="22"/>
        <v>5.7523148148148143E-3</v>
      </c>
      <c r="AD83" s="57"/>
      <c r="AE83" s="57"/>
      <c r="AF83" s="59"/>
    </row>
    <row r="84" spans="1:32">
      <c r="A84" s="24" t="s">
        <v>326</v>
      </c>
      <c r="B84" s="26" t="s">
        <v>384</v>
      </c>
      <c r="C84" s="26" t="s">
        <v>450</v>
      </c>
      <c r="D84" s="50"/>
      <c r="E84" s="51"/>
      <c r="F84" s="50"/>
      <c r="G84" s="52"/>
      <c r="H84" s="50"/>
      <c r="I84" s="53">
        <v>7.45</v>
      </c>
      <c r="J84" s="50">
        <v>7.45</v>
      </c>
      <c r="K84" s="53"/>
      <c r="L84" s="50">
        <v>7.45</v>
      </c>
      <c r="M84" s="57"/>
      <c r="N84" s="55">
        <v>5.3819444444444453E-3</v>
      </c>
      <c r="O84" s="57"/>
      <c r="P84" s="57"/>
      <c r="Q84" s="59">
        <f t="shared" ref="Q84:Q93" si="25">IF(MIN(IF(ISBLANK(O84),N84,O84),IF(ISBLANK(N84),O84,N84))=0,"",MIN(IF(ISBLANK(O84),N84,O84),IF(ISBLANK(N84),O84,N84)))</f>
        <v>5.3819444444444453E-3</v>
      </c>
      <c r="R84" s="57"/>
      <c r="S84" s="57"/>
      <c r="T84" s="59">
        <f t="shared" si="23"/>
        <v>5.3819444444444453E-3</v>
      </c>
      <c r="U84" s="57"/>
      <c r="V84" s="57"/>
      <c r="W84" s="59">
        <f t="shared" si="24"/>
        <v>5.3819444444444453E-3</v>
      </c>
      <c r="X84" s="57"/>
      <c r="Y84" s="57"/>
      <c r="Z84" s="59">
        <f t="shared" si="21"/>
        <v>5.3819444444444453E-3</v>
      </c>
      <c r="AA84" s="57"/>
      <c r="AB84" s="57"/>
      <c r="AC84" s="59">
        <f t="shared" si="22"/>
        <v>5.3819444444444453E-3</v>
      </c>
      <c r="AD84" s="57">
        <v>6.4699074074074069E-3</v>
      </c>
      <c r="AE84" s="57"/>
      <c r="AF84" s="59"/>
    </row>
    <row r="85" spans="1:32">
      <c r="A85" s="24"/>
      <c r="B85" s="26" t="s">
        <v>385</v>
      </c>
      <c r="C85" s="26" t="s">
        <v>450</v>
      </c>
      <c r="D85" s="50"/>
      <c r="E85" s="51"/>
      <c r="F85" s="50"/>
      <c r="G85" s="52"/>
      <c r="H85" s="50"/>
      <c r="I85" s="53">
        <v>6.39</v>
      </c>
      <c r="J85" s="50">
        <v>6.39</v>
      </c>
      <c r="K85" s="53"/>
      <c r="L85" s="50">
        <v>6.39</v>
      </c>
      <c r="M85" s="57"/>
      <c r="N85" s="55">
        <v>4.6180555555555558E-3</v>
      </c>
      <c r="O85" s="57"/>
      <c r="P85" s="57"/>
      <c r="Q85" s="59">
        <f t="shared" si="25"/>
        <v>4.6180555555555558E-3</v>
      </c>
      <c r="R85" s="57"/>
      <c r="S85" s="57"/>
      <c r="T85" s="59">
        <f t="shared" si="23"/>
        <v>4.6180555555555558E-3</v>
      </c>
      <c r="U85" s="57"/>
      <c r="V85" s="57"/>
      <c r="W85" s="59">
        <f t="shared" si="24"/>
        <v>4.6180555555555558E-3</v>
      </c>
      <c r="X85" s="57"/>
      <c r="Y85" s="57"/>
      <c r="Z85" s="59">
        <f t="shared" si="21"/>
        <v>4.6180555555555558E-3</v>
      </c>
      <c r="AA85" s="57"/>
      <c r="AB85" s="57"/>
      <c r="AC85" s="59">
        <f t="shared" si="22"/>
        <v>4.6180555555555558E-3</v>
      </c>
      <c r="AD85" s="57"/>
      <c r="AE85" s="57"/>
      <c r="AF85" s="59"/>
    </row>
    <row r="86" spans="1:32">
      <c r="A86" s="24"/>
      <c r="B86" s="26" t="s">
        <v>7</v>
      </c>
      <c r="C86" s="26"/>
      <c r="D86" s="50">
        <v>6.32</v>
      </c>
      <c r="E86" s="51"/>
      <c r="F86" s="50">
        <v>6.32</v>
      </c>
      <c r="G86" s="52"/>
      <c r="H86" s="50">
        <v>6.32</v>
      </c>
      <c r="I86" s="53"/>
      <c r="J86" s="50">
        <v>6.32</v>
      </c>
      <c r="K86" s="53"/>
      <c r="L86" s="50">
        <v>6.32</v>
      </c>
      <c r="M86" s="57"/>
      <c r="N86" s="55">
        <v>4.5370370370370365E-3</v>
      </c>
      <c r="O86" s="57"/>
      <c r="P86" s="57"/>
      <c r="Q86" s="59">
        <f t="shared" si="25"/>
        <v>4.5370370370370365E-3</v>
      </c>
      <c r="R86" s="57"/>
      <c r="S86" s="57"/>
      <c r="T86" s="59">
        <f t="shared" si="23"/>
        <v>4.5370370370370365E-3</v>
      </c>
      <c r="U86" s="57"/>
      <c r="V86" s="57"/>
      <c r="W86" s="59">
        <f t="shared" si="24"/>
        <v>4.5370370370370365E-3</v>
      </c>
      <c r="X86" s="57"/>
      <c r="Y86" s="57"/>
      <c r="Z86" s="59">
        <f t="shared" si="21"/>
        <v>4.5370370370370365E-3</v>
      </c>
      <c r="AA86" s="57"/>
      <c r="AB86" s="57"/>
      <c r="AC86" s="59">
        <f t="shared" si="22"/>
        <v>4.5370370370370365E-3</v>
      </c>
      <c r="AD86" s="57"/>
      <c r="AE86" s="57"/>
      <c r="AF86" s="59"/>
    </row>
    <row r="87" spans="1:32">
      <c r="A87" s="24"/>
      <c r="B87" s="26" t="s">
        <v>563</v>
      </c>
      <c r="C87" s="26"/>
      <c r="D87" s="50"/>
      <c r="E87" s="51"/>
      <c r="F87" s="50"/>
      <c r="G87" s="52"/>
      <c r="H87" s="50"/>
      <c r="I87" s="53"/>
      <c r="J87" s="50"/>
      <c r="K87" s="53"/>
      <c r="L87" s="50"/>
      <c r="M87" s="57"/>
      <c r="N87" s="55" t="s">
        <v>455</v>
      </c>
      <c r="O87" s="57">
        <v>5.8101851851851856E-3</v>
      </c>
      <c r="P87" s="57"/>
      <c r="Q87" s="59">
        <f t="shared" si="25"/>
        <v>5.8101851851851856E-3</v>
      </c>
      <c r="R87" s="57"/>
      <c r="S87" s="57"/>
      <c r="T87" s="59">
        <f t="shared" si="23"/>
        <v>5.8101851851851856E-3</v>
      </c>
      <c r="U87" s="57"/>
      <c r="V87" s="57"/>
      <c r="W87" s="59">
        <f t="shared" si="24"/>
        <v>5.8101851851851856E-3</v>
      </c>
      <c r="X87" s="57"/>
      <c r="Y87" s="57"/>
      <c r="Z87" s="59">
        <f t="shared" si="21"/>
        <v>5.8101851851851856E-3</v>
      </c>
      <c r="AA87" s="57"/>
      <c r="AB87" s="57"/>
      <c r="AC87" s="59">
        <f t="shared" si="22"/>
        <v>5.8101851851851856E-3</v>
      </c>
      <c r="AD87" s="57"/>
      <c r="AE87" s="57"/>
      <c r="AF87" s="59"/>
    </row>
    <row r="88" spans="1:32">
      <c r="A88" s="24"/>
      <c r="B88" s="26" t="s">
        <v>463</v>
      </c>
      <c r="C88" s="26" t="s">
        <v>451</v>
      </c>
      <c r="D88" s="50"/>
      <c r="E88" s="51"/>
      <c r="F88" s="50"/>
      <c r="G88" s="52"/>
      <c r="H88" s="50"/>
      <c r="I88" s="53"/>
      <c r="J88" s="50"/>
      <c r="K88" s="53"/>
      <c r="L88" s="50"/>
      <c r="M88" s="57"/>
      <c r="N88" s="55" t="s">
        <v>455</v>
      </c>
      <c r="O88" s="57"/>
      <c r="P88" s="57"/>
      <c r="Q88" s="59" t="str">
        <f t="shared" si="25"/>
        <v/>
      </c>
      <c r="R88" s="57"/>
      <c r="S88" s="57"/>
      <c r="T88" s="59" t="str">
        <f t="shared" si="23"/>
        <v/>
      </c>
      <c r="U88" s="57"/>
      <c r="V88" s="57"/>
      <c r="W88" s="59" t="str">
        <f t="shared" si="24"/>
        <v/>
      </c>
      <c r="X88" s="57"/>
      <c r="Y88" s="57"/>
      <c r="Z88" s="59" t="str">
        <f t="shared" si="21"/>
        <v/>
      </c>
      <c r="AA88" s="57"/>
      <c r="AB88" s="57"/>
      <c r="AC88" s="59" t="str">
        <f t="shared" si="22"/>
        <v/>
      </c>
      <c r="AD88" s="57"/>
      <c r="AE88" s="57"/>
      <c r="AF88" s="59"/>
    </row>
    <row r="89" spans="1:32">
      <c r="A89" s="24"/>
      <c r="B89" s="26" t="s">
        <v>386</v>
      </c>
      <c r="C89" s="26" t="s">
        <v>450</v>
      </c>
      <c r="D89" s="50"/>
      <c r="E89" s="51"/>
      <c r="F89" s="50"/>
      <c r="G89" s="52"/>
      <c r="H89" s="50"/>
      <c r="I89" s="53"/>
      <c r="J89" s="50" t="s">
        <v>455</v>
      </c>
      <c r="K89" s="53"/>
      <c r="L89" s="50"/>
      <c r="M89" s="57"/>
      <c r="N89" s="55" t="s">
        <v>455</v>
      </c>
      <c r="O89" s="57"/>
      <c r="P89" s="57"/>
      <c r="Q89" s="59" t="str">
        <f t="shared" si="25"/>
        <v/>
      </c>
      <c r="R89" s="57"/>
      <c r="S89" s="57"/>
      <c r="T89" s="59" t="str">
        <f t="shared" si="23"/>
        <v/>
      </c>
      <c r="U89" s="57"/>
      <c r="V89" s="57"/>
      <c r="W89" s="59" t="str">
        <f t="shared" si="24"/>
        <v/>
      </c>
      <c r="X89" s="57"/>
      <c r="Y89" s="57"/>
      <c r="Z89" s="59" t="str">
        <f t="shared" si="21"/>
        <v/>
      </c>
      <c r="AA89" s="57"/>
      <c r="AB89" s="57"/>
      <c r="AC89" s="59" t="str">
        <f t="shared" si="22"/>
        <v/>
      </c>
      <c r="AD89" s="57"/>
      <c r="AE89" s="57"/>
      <c r="AF89" s="59"/>
    </row>
    <row r="90" spans="1:32">
      <c r="A90" s="24"/>
      <c r="B90" s="26" t="s">
        <v>13</v>
      </c>
      <c r="C90" s="26" t="s">
        <v>450</v>
      </c>
      <c r="D90" s="50">
        <v>6.59</v>
      </c>
      <c r="E90" s="51"/>
      <c r="F90" s="50">
        <v>6.59</v>
      </c>
      <c r="G90" s="52"/>
      <c r="H90" s="50">
        <v>6.59</v>
      </c>
      <c r="I90" s="53"/>
      <c r="J90" s="50">
        <v>6.59</v>
      </c>
      <c r="K90" s="53"/>
      <c r="L90" s="50">
        <v>6.59</v>
      </c>
      <c r="M90" s="57"/>
      <c r="N90" s="55">
        <v>4.8495370370370368E-3</v>
      </c>
      <c r="O90" s="57"/>
      <c r="P90" s="57"/>
      <c r="Q90" s="59">
        <f t="shared" si="25"/>
        <v>4.8495370370370368E-3</v>
      </c>
      <c r="R90" s="57"/>
      <c r="S90" s="57"/>
      <c r="T90" s="59">
        <f t="shared" si="23"/>
        <v>4.8495370370370368E-3</v>
      </c>
      <c r="U90" s="57"/>
      <c r="V90" s="57"/>
      <c r="W90" s="59">
        <f t="shared" si="24"/>
        <v>4.8495370370370368E-3</v>
      </c>
      <c r="X90" s="57"/>
      <c r="Y90" s="57"/>
      <c r="Z90" s="59">
        <f t="shared" si="21"/>
        <v>4.8495370370370368E-3</v>
      </c>
      <c r="AA90" s="57"/>
      <c r="AB90" s="57"/>
      <c r="AC90" s="59">
        <f t="shared" si="22"/>
        <v>4.8495370370370368E-3</v>
      </c>
      <c r="AD90" s="57"/>
      <c r="AE90" s="57"/>
      <c r="AF90" s="59"/>
    </row>
    <row r="91" spans="1:32">
      <c r="A91" s="24"/>
      <c r="B91" s="26" t="s">
        <v>387</v>
      </c>
      <c r="C91" s="26" t="s">
        <v>450</v>
      </c>
      <c r="D91" s="50"/>
      <c r="E91" s="51"/>
      <c r="F91" s="50"/>
      <c r="G91" s="52"/>
      <c r="H91" s="50"/>
      <c r="I91" s="53"/>
      <c r="J91" s="50" t="s">
        <v>455</v>
      </c>
      <c r="K91" s="53">
        <v>10.51</v>
      </c>
      <c r="L91" s="50">
        <v>10.51</v>
      </c>
      <c r="M91" s="57"/>
      <c r="N91" s="55">
        <v>7.5347222222222213E-3</v>
      </c>
      <c r="O91" s="57"/>
      <c r="P91" s="57"/>
      <c r="Q91" s="59">
        <f t="shared" si="25"/>
        <v>7.5347222222222213E-3</v>
      </c>
      <c r="R91" s="57"/>
      <c r="S91" s="57"/>
      <c r="T91" s="59">
        <f t="shared" si="23"/>
        <v>7.5347222222222213E-3</v>
      </c>
      <c r="U91" s="57"/>
      <c r="V91" s="57"/>
      <c r="W91" s="59">
        <f t="shared" si="24"/>
        <v>7.5347222222222213E-3</v>
      </c>
      <c r="X91" s="57"/>
      <c r="Y91" s="57"/>
      <c r="Z91" s="59">
        <f t="shared" si="21"/>
        <v>7.5347222222222213E-3</v>
      </c>
      <c r="AA91" s="57"/>
      <c r="AB91" s="57"/>
      <c r="AC91" s="59">
        <f t="shared" si="22"/>
        <v>7.5347222222222213E-3</v>
      </c>
      <c r="AD91" s="57"/>
      <c r="AE91" s="57"/>
      <c r="AF91" s="59"/>
    </row>
    <row r="92" spans="1:32">
      <c r="A92" s="24"/>
      <c r="B92" s="26" t="s">
        <v>20</v>
      </c>
      <c r="C92" s="26"/>
      <c r="D92" s="50">
        <v>10.029999999999999</v>
      </c>
      <c r="E92" s="51"/>
      <c r="F92" s="50">
        <v>10.029999999999999</v>
      </c>
      <c r="G92" s="52"/>
      <c r="H92" s="50">
        <v>10.029999999999999</v>
      </c>
      <c r="I92" s="53"/>
      <c r="J92" s="50">
        <v>10.029999999999999</v>
      </c>
      <c r="K92" s="53"/>
      <c r="L92" s="50">
        <v>10.029999999999999</v>
      </c>
      <c r="M92" s="57"/>
      <c r="N92" s="55">
        <v>6.9791666666666674E-3</v>
      </c>
      <c r="O92" s="57"/>
      <c r="P92" s="57"/>
      <c r="Q92" s="59">
        <f t="shared" si="25"/>
        <v>6.9791666666666674E-3</v>
      </c>
      <c r="R92" s="57"/>
      <c r="S92" s="57"/>
      <c r="T92" s="59">
        <f t="shared" si="23"/>
        <v>6.9791666666666674E-3</v>
      </c>
      <c r="U92" s="57"/>
      <c r="V92" s="57"/>
      <c r="W92" s="59">
        <f t="shared" si="24"/>
        <v>6.9791666666666674E-3</v>
      </c>
      <c r="X92" s="57"/>
      <c r="Y92" s="57"/>
      <c r="Z92" s="59">
        <f t="shared" si="21"/>
        <v>6.9791666666666674E-3</v>
      </c>
      <c r="AA92" s="57"/>
      <c r="AB92" s="57"/>
      <c r="AC92" s="59">
        <f t="shared" si="22"/>
        <v>6.9791666666666674E-3</v>
      </c>
      <c r="AD92" s="57"/>
      <c r="AE92" s="57"/>
      <c r="AF92" s="59"/>
    </row>
    <row r="93" spans="1:32">
      <c r="A93" s="24"/>
      <c r="B93" s="26" t="s">
        <v>236</v>
      </c>
      <c r="C93" s="26" t="s">
        <v>451</v>
      </c>
      <c r="D93" s="50"/>
      <c r="E93" s="51"/>
      <c r="F93" s="50" t="s">
        <v>455</v>
      </c>
      <c r="G93" s="52"/>
      <c r="H93" s="50"/>
      <c r="I93" s="53"/>
      <c r="J93" s="50" t="s">
        <v>455</v>
      </c>
      <c r="K93" s="53"/>
      <c r="L93" s="50"/>
      <c r="M93" s="57"/>
      <c r="N93" s="55" t="s">
        <v>455</v>
      </c>
      <c r="O93" s="57"/>
      <c r="P93" s="57"/>
      <c r="Q93" s="59" t="str">
        <f t="shared" si="25"/>
        <v/>
      </c>
      <c r="R93" s="57"/>
      <c r="S93" s="57"/>
      <c r="T93" s="59" t="str">
        <f t="shared" si="23"/>
        <v/>
      </c>
      <c r="U93" s="57"/>
      <c r="V93" s="57"/>
      <c r="W93" s="59" t="str">
        <f t="shared" si="24"/>
        <v/>
      </c>
      <c r="X93" s="57"/>
      <c r="Y93" s="57"/>
      <c r="Z93" s="59" t="str">
        <f t="shared" si="21"/>
        <v/>
      </c>
      <c r="AA93" s="57"/>
      <c r="AB93" s="57"/>
      <c r="AC93" s="59" t="str">
        <f t="shared" si="22"/>
        <v/>
      </c>
      <c r="AD93" s="57"/>
      <c r="AE93" s="57"/>
      <c r="AF93" s="59"/>
    </row>
    <row r="94" spans="1:32">
      <c r="A94" s="24"/>
      <c r="B94" s="26" t="s">
        <v>700</v>
      </c>
      <c r="C94" s="26"/>
      <c r="D94" s="50"/>
      <c r="E94" s="51"/>
      <c r="F94" s="50"/>
      <c r="G94" s="52"/>
      <c r="H94" s="50"/>
      <c r="I94" s="53"/>
      <c r="J94" s="50"/>
      <c r="K94" s="54"/>
      <c r="L94" s="50"/>
      <c r="M94" s="56"/>
      <c r="N94" s="55"/>
      <c r="O94" s="56"/>
      <c r="P94" s="56"/>
      <c r="Q94" s="59"/>
      <c r="R94" s="56"/>
      <c r="S94" s="56"/>
      <c r="T94" s="59"/>
      <c r="U94" s="56"/>
      <c r="V94" s="56"/>
      <c r="W94" s="59"/>
      <c r="X94" s="56"/>
      <c r="Y94" s="56"/>
      <c r="Z94" s="59" t="str">
        <f t="shared" si="21"/>
        <v/>
      </c>
      <c r="AA94" s="56"/>
      <c r="AB94" s="56"/>
      <c r="AC94" s="59" t="str">
        <f t="shared" si="22"/>
        <v/>
      </c>
      <c r="AD94" s="56"/>
      <c r="AE94" s="56"/>
      <c r="AF94" s="59"/>
    </row>
    <row r="95" spans="1:32">
      <c r="A95" s="24"/>
      <c r="B95" s="26" t="s">
        <v>25</v>
      </c>
      <c r="C95" s="26" t="s">
        <v>451</v>
      </c>
      <c r="D95" s="50"/>
      <c r="E95" s="51"/>
      <c r="F95" s="50" t="s">
        <v>455</v>
      </c>
      <c r="G95" s="52"/>
      <c r="H95" s="50"/>
      <c r="I95" s="53"/>
      <c r="J95" s="50" t="s">
        <v>455</v>
      </c>
      <c r="K95" s="53"/>
      <c r="L95" s="50"/>
      <c r="M95" s="57"/>
      <c r="N95" s="55" t="s">
        <v>455</v>
      </c>
      <c r="O95" s="57"/>
      <c r="P95" s="57"/>
      <c r="Q95" s="59" t="str">
        <f>IF(MIN(IF(ISBLANK(O95),N95,O95),IF(ISBLANK(N95),O95,N95))=0,"",MIN(IF(ISBLANK(O95),N95,O95),IF(ISBLANK(N95),O95,N95)))</f>
        <v/>
      </c>
      <c r="R95" s="57"/>
      <c r="S95" s="57"/>
      <c r="T95" s="59" t="str">
        <f>IF(MIN(IF(ISBLANK(R95),Q95,R95),IF(ISBLANK(Q95),R95,Q95))=0,"",MIN(IF(ISBLANK(R95),Q95,R95),IF(ISBLANK(Q95),R95,Q95)))</f>
        <v/>
      </c>
      <c r="U95" s="57"/>
      <c r="V95" s="57"/>
      <c r="W95" s="59" t="str">
        <f t="shared" ref="W95:W104" si="26">IF(MIN(IF(ISBLANK(U95),T95,U95),IF(ISBLANK(T95),U95,T95))=0,"",MIN(IF(ISBLANK(U95),T95,U95),IF(ISBLANK(T95),U95,T95)))</f>
        <v/>
      </c>
      <c r="X95" s="57"/>
      <c r="Y95" s="57"/>
      <c r="Z95" s="59" t="str">
        <f t="shared" si="21"/>
        <v/>
      </c>
      <c r="AA95" s="57"/>
      <c r="AB95" s="57"/>
      <c r="AC95" s="59" t="str">
        <f t="shared" si="22"/>
        <v/>
      </c>
      <c r="AD95" s="57"/>
      <c r="AE95" s="57"/>
      <c r="AF95" s="59"/>
    </row>
    <row r="96" spans="1:32">
      <c r="A96" s="24"/>
      <c r="B96" s="26" t="s">
        <v>30</v>
      </c>
      <c r="C96" s="26" t="s">
        <v>451</v>
      </c>
      <c r="D96" s="50"/>
      <c r="E96" s="51"/>
      <c r="F96" s="50" t="s">
        <v>455</v>
      </c>
      <c r="G96" s="52"/>
      <c r="H96" s="50"/>
      <c r="I96" s="53"/>
      <c r="J96" s="50" t="s">
        <v>455</v>
      </c>
      <c r="K96" s="53"/>
      <c r="L96" s="50"/>
      <c r="M96" s="57"/>
      <c r="N96" s="55" t="s">
        <v>455</v>
      </c>
      <c r="O96" s="57"/>
      <c r="P96" s="57"/>
      <c r="Q96" s="59" t="str">
        <f>IF(MIN(IF(ISBLANK(O96),N96,O96),IF(ISBLANK(N96),O96,N96))=0,"",MIN(IF(ISBLANK(O96),N96,O96),IF(ISBLANK(N96),O96,N96)))</f>
        <v/>
      </c>
      <c r="R96" s="57"/>
      <c r="S96" s="57"/>
      <c r="T96" s="59" t="str">
        <f>IF(MIN(IF(ISBLANK(R96),Q96,R96),IF(ISBLANK(Q96),R96,Q96))=0,"",MIN(IF(ISBLANK(R96),Q96,R96),IF(ISBLANK(Q96),R96,Q96)))</f>
        <v/>
      </c>
      <c r="U96" s="57"/>
      <c r="V96" s="57"/>
      <c r="W96" s="59" t="str">
        <f t="shared" si="26"/>
        <v/>
      </c>
      <c r="X96" s="57"/>
      <c r="Y96" s="57"/>
      <c r="Z96" s="59" t="str">
        <f t="shared" si="21"/>
        <v/>
      </c>
      <c r="AA96" s="57"/>
      <c r="AB96" s="57"/>
      <c r="AC96" s="59" t="str">
        <f t="shared" si="22"/>
        <v/>
      </c>
      <c r="AD96" s="57"/>
      <c r="AE96" s="57"/>
      <c r="AF96" s="59"/>
    </row>
    <row r="97" spans="1:32">
      <c r="A97" s="24"/>
      <c r="B97" s="26" t="s">
        <v>621</v>
      </c>
      <c r="C97" s="26"/>
      <c r="D97" s="50"/>
      <c r="E97" s="51"/>
      <c r="F97" s="50"/>
      <c r="G97" s="52"/>
      <c r="H97" s="50"/>
      <c r="I97" s="53"/>
      <c r="J97" s="50"/>
      <c r="K97" s="53"/>
      <c r="L97" s="50"/>
      <c r="M97" s="57"/>
      <c r="N97" s="55"/>
      <c r="O97" s="57"/>
      <c r="P97" s="57"/>
      <c r="Q97" s="59"/>
      <c r="R97" s="57"/>
      <c r="S97" s="57"/>
      <c r="T97" s="59"/>
      <c r="U97" s="57"/>
      <c r="V97" s="57"/>
      <c r="W97" s="59" t="str">
        <f t="shared" si="26"/>
        <v/>
      </c>
      <c r="X97" s="57"/>
      <c r="Y97" s="57"/>
      <c r="Z97" s="59" t="str">
        <f t="shared" si="21"/>
        <v/>
      </c>
      <c r="AA97" s="57"/>
      <c r="AB97" s="57"/>
      <c r="AC97" s="59" t="str">
        <f t="shared" si="22"/>
        <v/>
      </c>
      <c r="AD97" s="57"/>
      <c r="AE97" s="57"/>
      <c r="AF97" s="59"/>
    </row>
    <row r="98" spans="1:32">
      <c r="A98" s="24"/>
      <c r="B98" s="26" t="s">
        <v>35</v>
      </c>
      <c r="C98" s="26" t="s">
        <v>451</v>
      </c>
      <c r="D98" s="50" t="s">
        <v>225</v>
      </c>
      <c r="E98" s="51"/>
      <c r="F98" s="50">
        <v>11.2</v>
      </c>
      <c r="G98" s="52"/>
      <c r="H98" s="50">
        <v>11.2</v>
      </c>
      <c r="I98" s="53"/>
      <c r="J98" s="50">
        <v>11.2</v>
      </c>
      <c r="K98" s="53"/>
      <c r="L98" s="50" t="s">
        <v>225</v>
      </c>
      <c r="M98" s="57"/>
      <c r="N98" s="55">
        <v>7.8703703703703713E-3</v>
      </c>
      <c r="O98" s="57"/>
      <c r="P98" s="57"/>
      <c r="Q98" s="59">
        <f>IF(MIN(IF(ISBLANK(O98),N98,O98),IF(ISBLANK(N98),O98,N98))=0,"",MIN(IF(ISBLANK(O98),N98,O98),IF(ISBLANK(N98),O98,N98)))</f>
        <v>7.8703703703703713E-3</v>
      </c>
      <c r="R98" s="57"/>
      <c r="S98" s="57"/>
      <c r="T98" s="59">
        <f t="shared" ref="T98:T104" si="27">IF(MIN(IF(ISBLANK(R98),Q98,R98),IF(ISBLANK(Q98),R98,Q98))=0,"",MIN(IF(ISBLANK(R98),Q98,R98),IF(ISBLANK(Q98),R98,Q98)))</f>
        <v>7.8703703703703713E-3</v>
      </c>
      <c r="U98" s="57"/>
      <c r="V98" s="57"/>
      <c r="W98" s="59">
        <f t="shared" si="26"/>
        <v>7.8703703703703713E-3</v>
      </c>
      <c r="X98" s="57"/>
      <c r="Y98" s="57"/>
      <c r="Z98" s="59">
        <f t="shared" si="21"/>
        <v>7.8703703703703713E-3</v>
      </c>
      <c r="AA98" s="57"/>
      <c r="AB98" s="57"/>
      <c r="AC98" s="59">
        <f t="shared" si="22"/>
        <v>7.8703703703703713E-3</v>
      </c>
      <c r="AD98" s="57"/>
      <c r="AE98" s="57"/>
      <c r="AF98" s="59"/>
    </row>
    <row r="99" spans="1:32">
      <c r="A99" s="24"/>
      <c r="B99" s="26" t="s">
        <v>586</v>
      </c>
      <c r="C99" s="26"/>
      <c r="D99" s="50"/>
      <c r="E99" s="51"/>
      <c r="F99" s="50"/>
      <c r="G99" s="52"/>
      <c r="H99" s="50"/>
      <c r="I99" s="53"/>
      <c r="J99" s="50"/>
      <c r="K99" s="53"/>
      <c r="L99" s="50"/>
      <c r="M99" s="57"/>
      <c r="N99" s="55"/>
      <c r="O99" s="57"/>
      <c r="P99" s="57"/>
      <c r="Q99" s="59"/>
      <c r="R99" s="57"/>
      <c r="S99" s="57"/>
      <c r="T99" s="59" t="str">
        <f t="shared" si="27"/>
        <v/>
      </c>
      <c r="U99" s="57"/>
      <c r="V99" s="57"/>
      <c r="W99" s="59" t="str">
        <f t="shared" si="26"/>
        <v/>
      </c>
      <c r="X99" s="57"/>
      <c r="Y99" s="57"/>
      <c r="Z99" s="59" t="str">
        <f t="shared" si="21"/>
        <v/>
      </c>
      <c r="AA99" s="57"/>
      <c r="AB99" s="57"/>
      <c r="AC99" s="59" t="str">
        <f t="shared" si="22"/>
        <v/>
      </c>
      <c r="AD99" s="57"/>
      <c r="AE99" s="57"/>
      <c r="AF99" s="59"/>
    </row>
    <row r="100" spans="1:32">
      <c r="A100" s="24"/>
      <c r="B100" s="26" t="s">
        <v>42</v>
      </c>
      <c r="C100" s="26"/>
      <c r="D100" s="50">
        <v>10.57</v>
      </c>
      <c r="E100" s="51"/>
      <c r="F100" s="50">
        <v>10.57</v>
      </c>
      <c r="G100" s="52"/>
      <c r="H100" s="50">
        <v>10.57</v>
      </c>
      <c r="I100" s="53"/>
      <c r="J100" s="50">
        <v>10.57</v>
      </c>
      <c r="K100" s="53"/>
      <c r="L100" s="50">
        <v>10.57</v>
      </c>
      <c r="M100" s="57"/>
      <c r="N100" s="55">
        <v>7.6041666666666662E-3</v>
      </c>
      <c r="O100" s="57"/>
      <c r="P100" s="57"/>
      <c r="Q100" s="59">
        <f>IF(MIN(IF(ISBLANK(O100),N100,O100),IF(ISBLANK(N100),O100,N100))=0,"",MIN(IF(ISBLANK(O100),N100,O100),IF(ISBLANK(N100),O100,N100)))</f>
        <v>7.6041666666666662E-3</v>
      </c>
      <c r="R100" s="57"/>
      <c r="S100" s="57"/>
      <c r="T100" s="59">
        <f t="shared" si="27"/>
        <v>7.6041666666666662E-3</v>
      </c>
      <c r="U100" s="57"/>
      <c r="V100" s="57"/>
      <c r="W100" s="59">
        <f t="shared" si="26"/>
        <v>7.6041666666666662E-3</v>
      </c>
      <c r="X100" s="57"/>
      <c r="Y100" s="57"/>
      <c r="Z100" s="59">
        <f t="shared" si="21"/>
        <v>7.6041666666666662E-3</v>
      </c>
      <c r="AA100" s="57"/>
      <c r="AB100" s="57"/>
      <c r="AC100" s="59">
        <f t="shared" si="22"/>
        <v>7.6041666666666662E-3</v>
      </c>
      <c r="AD100" s="57"/>
      <c r="AE100" s="57"/>
      <c r="AF100" s="59"/>
    </row>
    <row r="101" spans="1:32">
      <c r="A101" s="24"/>
      <c r="B101" s="26" t="s">
        <v>480</v>
      </c>
      <c r="C101" s="26"/>
      <c r="D101" s="50"/>
      <c r="E101" s="51"/>
      <c r="F101" s="50"/>
      <c r="G101" s="52"/>
      <c r="H101" s="50"/>
      <c r="I101" s="53">
        <v>9.3000000000000007</v>
      </c>
      <c r="J101" s="50" t="s">
        <v>227</v>
      </c>
      <c r="K101" s="53"/>
      <c r="L101" s="50" t="s">
        <v>227</v>
      </c>
      <c r="M101" s="57"/>
      <c r="N101" s="55">
        <v>6.5972222222222222E-3</v>
      </c>
      <c r="O101" s="57"/>
      <c r="P101" s="57"/>
      <c r="Q101" s="59">
        <f>IF(MIN(IF(ISBLANK(O101),N101,O101),IF(ISBLANK(N101),O101,N101))=0,"",MIN(IF(ISBLANK(O101),N101,O101),IF(ISBLANK(N101),O101,N101)))</f>
        <v>6.5972222222222222E-3</v>
      </c>
      <c r="R101" s="57"/>
      <c r="S101" s="57"/>
      <c r="T101" s="59">
        <f t="shared" si="27"/>
        <v>6.5972222222222222E-3</v>
      </c>
      <c r="U101" s="57"/>
      <c r="V101" s="57"/>
      <c r="W101" s="59">
        <f t="shared" si="26"/>
        <v>6.5972222222222222E-3</v>
      </c>
      <c r="X101" s="57"/>
      <c r="Y101" s="57"/>
      <c r="Z101" s="59">
        <f t="shared" si="21"/>
        <v>6.5972222222222222E-3</v>
      </c>
      <c r="AA101" s="57"/>
      <c r="AB101" s="57"/>
      <c r="AC101" s="59">
        <f t="shared" si="22"/>
        <v>6.5972222222222222E-3</v>
      </c>
      <c r="AD101" s="57"/>
      <c r="AE101" s="57"/>
      <c r="AF101" s="59"/>
    </row>
    <row r="102" spans="1:32">
      <c r="A102" s="24"/>
      <c r="B102" s="26" t="s">
        <v>241</v>
      </c>
      <c r="C102" s="26" t="s">
        <v>451</v>
      </c>
      <c r="D102" s="50"/>
      <c r="E102" s="51"/>
      <c r="F102" s="50" t="s">
        <v>455</v>
      </c>
      <c r="G102" s="52"/>
      <c r="H102" s="50"/>
      <c r="I102" s="53"/>
      <c r="J102" s="50" t="s">
        <v>455</v>
      </c>
      <c r="K102" s="53"/>
      <c r="L102" s="50"/>
      <c r="M102" s="57"/>
      <c r="N102" s="55" t="s">
        <v>455</v>
      </c>
      <c r="O102" s="57"/>
      <c r="P102" s="57"/>
      <c r="Q102" s="59" t="str">
        <f>IF(MIN(IF(ISBLANK(O102),N102,O102),IF(ISBLANK(N102),O102,N102))=0,"",MIN(IF(ISBLANK(O102),N102,O102),IF(ISBLANK(N102),O102,N102)))</f>
        <v/>
      </c>
      <c r="R102" s="57"/>
      <c r="S102" s="57"/>
      <c r="T102" s="59" t="str">
        <f t="shared" si="27"/>
        <v/>
      </c>
      <c r="U102" s="57"/>
      <c r="V102" s="57"/>
      <c r="W102" s="59" t="str">
        <f t="shared" si="26"/>
        <v/>
      </c>
      <c r="X102" s="57"/>
      <c r="Y102" s="57"/>
      <c r="Z102" s="59" t="str">
        <f t="shared" si="21"/>
        <v/>
      </c>
      <c r="AA102" s="57"/>
      <c r="AB102" s="57"/>
      <c r="AC102" s="59" t="str">
        <f t="shared" si="22"/>
        <v/>
      </c>
      <c r="AD102" s="57"/>
      <c r="AE102" s="57"/>
      <c r="AF102" s="59"/>
    </row>
    <row r="103" spans="1:32">
      <c r="A103" s="24"/>
      <c r="B103" s="26" t="s">
        <v>611</v>
      </c>
      <c r="C103" s="26"/>
      <c r="D103" s="50"/>
      <c r="E103" s="51"/>
      <c r="F103" s="50"/>
      <c r="G103" s="52"/>
      <c r="H103" s="50"/>
      <c r="I103" s="53"/>
      <c r="J103" s="50"/>
      <c r="K103" s="53"/>
      <c r="L103" s="50"/>
      <c r="M103" s="57"/>
      <c r="N103" s="55"/>
      <c r="O103" s="57"/>
      <c r="P103" s="57"/>
      <c r="Q103" s="59"/>
      <c r="R103" s="57"/>
      <c r="S103" s="57"/>
      <c r="T103" s="59" t="str">
        <f t="shared" si="27"/>
        <v/>
      </c>
      <c r="U103" s="57">
        <v>5.9953703703703697E-3</v>
      </c>
      <c r="V103" s="57"/>
      <c r="W103" s="59">
        <f t="shared" si="26"/>
        <v>5.9953703703703697E-3</v>
      </c>
      <c r="X103" s="57"/>
      <c r="Y103" s="57"/>
      <c r="Z103" s="59">
        <f t="shared" si="21"/>
        <v>5.9953703703703697E-3</v>
      </c>
      <c r="AA103" s="57"/>
      <c r="AB103" s="57"/>
      <c r="AC103" s="59">
        <f t="shared" si="22"/>
        <v>5.9953703703703697E-3</v>
      </c>
      <c r="AD103" s="57"/>
      <c r="AE103" s="57"/>
      <c r="AF103" s="59"/>
    </row>
    <row r="104" spans="1:32">
      <c r="A104" s="24"/>
      <c r="B104" s="26" t="s">
        <v>437</v>
      </c>
      <c r="C104" s="26"/>
      <c r="D104" s="50"/>
      <c r="E104" s="51"/>
      <c r="F104" s="50"/>
      <c r="G104" s="52"/>
      <c r="H104" s="50"/>
      <c r="I104" s="53"/>
      <c r="J104" s="50" t="s">
        <v>455</v>
      </c>
      <c r="K104" s="53"/>
      <c r="L104" s="50"/>
      <c r="M104" s="57"/>
      <c r="N104" s="55" t="s">
        <v>455</v>
      </c>
      <c r="O104" s="57"/>
      <c r="P104" s="57"/>
      <c r="Q104" s="59" t="str">
        <f>IF(MIN(IF(ISBLANK(O104),N104,O104),IF(ISBLANK(N104),O104,N104))=0,"",MIN(IF(ISBLANK(O104),N104,O104),IF(ISBLANK(N104),O104,N104)))</f>
        <v/>
      </c>
      <c r="R104" s="57"/>
      <c r="S104" s="57"/>
      <c r="T104" s="59" t="str">
        <f t="shared" si="27"/>
        <v/>
      </c>
      <c r="U104" s="57"/>
      <c r="V104" s="57"/>
      <c r="W104" s="59" t="str">
        <f t="shared" si="26"/>
        <v/>
      </c>
      <c r="X104" s="57"/>
      <c r="Y104" s="57"/>
      <c r="Z104" s="59" t="str">
        <f t="shared" si="21"/>
        <v/>
      </c>
      <c r="AA104" s="57"/>
      <c r="AB104" s="57"/>
      <c r="AC104" s="59" t="str">
        <f t="shared" si="22"/>
        <v/>
      </c>
      <c r="AD104" s="57"/>
      <c r="AE104" s="57"/>
      <c r="AF104" s="59"/>
    </row>
    <row r="105" spans="1:32">
      <c r="A105" s="24"/>
      <c r="B105" s="26" t="s">
        <v>693</v>
      </c>
      <c r="C105" s="26"/>
      <c r="D105" s="50"/>
      <c r="E105" s="51"/>
      <c r="F105" s="50"/>
      <c r="G105" s="52"/>
      <c r="H105" s="50"/>
      <c r="I105" s="53"/>
      <c r="J105" s="50"/>
      <c r="K105" s="53"/>
      <c r="L105" s="50"/>
      <c r="M105" s="57"/>
      <c r="N105" s="55"/>
      <c r="O105" s="57"/>
      <c r="P105" s="57"/>
      <c r="Q105" s="59"/>
      <c r="R105" s="57"/>
      <c r="S105" s="57"/>
      <c r="T105" s="59"/>
      <c r="U105" s="57"/>
      <c r="V105" s="57"/>
      <c r="W105" s="59"/>
      <c r="X105" s="57">
        <v>7.8703703703703713E-3</v>
      </c>
      <c r="Y105" s="57"/>
      <c r="Z105" s="59">
        <f t="shared" si="21"/>
        <v>7.8703703703703713E-3</v>
      </c>
      <c r="AA105" s="57"/>
      <c r="AB105" s="57"/>
      <c r="AC105" s="59">
        <f t="shared" si="22"/>
        <v>7.8703703703703713E-3</v>
      </c>
      <c r="AD105" s="57"/>
      <c r="AE105" s="57"/>
      <c r="AF105" s="59"/>
    </row>
    <row r="106" spans="1:32">
      <c r="A106" s="24" t="s">
        <v>326</v>
      </c>
      <c r="B106" s="26" t="s">
        <v>740</v>
      </c>
      <c r="C106" s="26"/>
      <c r="D106" s="50"/>
      <c r="E106" s="51"/>
      <c r="F106" s="50"/>
      <c r="G106" s="52"/>
      <c r="H106" s="50"/>
      <c r="I106" s="53"/>
      <c r="J106" s="50"/>
      <c r="K106" s="53"/>
      <c r="L106" s="50"/>
      <c r="M106" s="57"/>
      <c r="N106" s="55"/>
      <c r="O106" s="57"/>
      <c r="P106" s="57"/>
      <c r="Q106" s="59"/>
      <c r="R106" s="57"/>
      <c r="S106" s="57"/>
      <c r="T106" s="59"/>
      <c r="U106" s="57"/>
      <c r="V106" s="57"/>
      <c r="W106" s="59"/>
      <c r="X106" s="57"/>
      <c r="Y106" s="57"/>
      <c r="Z106" s="59"/>
      <c r="AA106" s="57"/>
      <c r="AB106" s="57"/>
      <c r="AC106" s="59"/>
      <c r="AD106" s="57">
        <v>6.5856481481481469E-3</v>
      </c>
      <c r="AE106" s="57"/>
      <c r="AF106" s="59"/>
    </row>
    <row r="107" spans="1:32">
      <c r="A107" s="24" t="s">
        <v>326</v>
      </c>
      <c r="B107" s="26" t="s">
        <v>49</v>
      </c>
      <c r="C107" s="26" t="s">
        <v>450</v>
      </c>
      <c r="D107" s="50" t="s">
        <v>224</v>
      </c>
      <c r="E107" s="51" t="s">
        <v>222</v>
      </c>
      <c r="F107" s="50" t="s">
        <v>224</v>
      </c>
      <c r="G107" s="52"/>
      <c r="H107" s="50" t="s">
        <v>224</v>
      </c>
      <c r="I107" s="53"/>
      <c r="J107" s="50" t="s">
        <v>224</v>
      </c>
      <c r="K107" s="53"/>
      <c r="L107" s="50" t="s">
        <v>224</v>
      </c>
      <c r="M107" s="57">
        <v>6.5740740740740733E-3</v>
      </c>
      <c r="N107" s="55">
        <v>5.208333333333333E-3</v>
      </c>
      <c r="O107" s="57">
        <v>5.8101851851851856E-3</v>
      </c>
      <c r="P107" s="57"/>
      <c r="Q107" s="59">
        <f>IF(MIN(IF(ISBLANK(O107),N107,O107),IF(ISBLANK(N107),O107,N107))=0,"",MIN(IF(ISBLANK(O107),N107,O107),IF(ISBLANK(N107),O107,N107)))</f>
        <v>5.208333333333333E-3</v>
      </c>
      <c r="R107" s="57">
        <v>5.7523148148148143E-3</v>
      </c>
      <c r="S107" s="57"/>
      <c r="T107" s="59">
        <f t="shared" ref="T107:T112" si="28">IF(MIN(IF(ISBLANK(R107),Q107,R107),IF(ISBLANK(Q107),R107,Q107))=0,"",MIN(IF(ISBLANK(R107),Q107,R107),IF(ISBLANK(Q107),R107,Q107)))</f>
        <v>5.208333333333333E-3</v>
      </c>
      <c r="U107" s="57"/>
      <c r="V107" s="57"/>
      <c r="W107" s="59">
        <f t="shared" ref="W107:W112" si="29">IF(MIN(IF(ISBLANK(U107),T107,U107),IF(ISBLANK(T107),U107,T107))=0,"",MIN(IF(ISBLANK(U107),T107,U107),IF(ISBLANK(T107),U107,T107)))</f>
        <v>5.208333333333333E-3</v>
      </c>
      <c r="X107" s="57">
        <v>5.9953703703703697E-3</v>
      </c>
      <c r="Y107" s="57"/>
      <c r="Z107" s="59">
        <f t="shared" si="21"/>
        <v>5.208333333333333E-3</v>
      </c>
      <c r="AA107" s="57">
        <v>5.6481481481481478E-3</v>
      </c>
      <c r="AB107" s="57"/>
      <c r="AC107" s="59">
        <f t="shared" si="22"/>
        <v>5.208333333333333E-3</v>
      </c>
      <c r="AD107" s="57">
        <v>5.6481481481481478E-3</v>
      </c>
      <c r="AE107" s="57"/>
      <c r="AF107" s="59"/>
    </row>
    <row r="108" spans="1:32">
      <c r="A108" s="24"/>
      <c r="B108" s="26" t="s">
        <v>229</v>
      </c>
      <c r="C108" s="26" t="s">
        <v>450</v>
      </c>
      <c r="D108" s="50">
        <v>8.15</v>
      </c>
      <c r="E108" s="51"/>
      <c r="F108" s="50">
        <v>8.15</v>
      </c>
      <c r="G108" s="52">
        <v>8.06</v>
      </c>
      <c r="H108" s="50">
        <v>8.06</v>
      </c>
      <c r="I108" s="53">
        <v>8.0399999999999991</v>
      </c>
      <c r="J108" s="50">
        <v>8.0399999999999991</v>
      </c>
      <c r="K108" s="53">
        <v>7.57</v>
      </c>
      <c r="L108" s="50">
        <v>7.57</v>
      </c>
      <c r="M108" s="57">
        <v>5.7175925925925927E-3</v>
      </c>
      <c r="N108" s="55">
        <v>5.5208333333333333E-3</v>
      </c>
      <c r="O108" s="57">
        <v>5.7060185185185191E-3</v>
      </c>
      <c r="P108" s="57"/>
      <c r="Q108" s="59">
        <f>IF(MIN(IF(ISBLANK(O108),N108,O108),IF(ISBLANK(N108),O108,N108))=0,"",MIN(IF(ISBLANK(O108),N108,O108),IF(ISBLANK(N108),O108,N108)))</f>
        <v>5.5208333333333333E-3</v>
      </c>
      <c r="R108" s="57"/>
      <c r="S108" s="57"/>
      <c r="T108" s="59">
        <f t="shared" si="28"/>
        <v>5.5208333333333333E-3</v>
      </c>
      <c r="U108" s="57"/>
      <c r="V108" s="57"/>
      <c r="W108" s="59">
        <f t="shared" si="29"/>
        <v>5.5208333333333333E-3</v>
      </c>
      <c r="X108" s="57"/>
      <c r="Y108" s="57"/>
      <c r="Z108" s="59">
        <f t="shared" si="21"/>
        <v>5.5208333333333333E-3</v>
      </c>
      <c r="AA108" s="57"/>
      <c r="AB108" s="57"/>
      <c r="AC108" s="59">
        <f t="shared" si="22"/>
        <v>5.5208333333333333E-3</v>
      </c>
      <c r="AD108" s="57"/>
      <c r="AE108" s="57"/>
      <c r="AF108" s="59"/>
    </row>
    <row r="109" spans="1:32">
      <c r="A109" s="24"/>
      <c r="B109" s="26" t="s">
        <v>242</v>
      </c>
      <c r="C109" s="26" t="s">
        <v>450</v>
      </c>
      <c r="D109" s="50"/>
      <c r="E109" s="51"/>
      <c r="F109" s="50" t="s">
        <v>455</v>
      </c>
      <c r="G109" s="52"/>
      <c r="H109" s="50"/>
      <c r="I109" s="53"/>
      <c r="J109" s="50" t="s">
        <v>455</v>
      </c>
      <c r="K109" s="53"/>
      <c r="L109" s="50"/>
      <c r="M109" s="57"/>
      <c r="N109" s="55" t="s">
        <v>455</v>
      </c>
      <c r="O109" s="57"/>
      <c r="P109" s="57"/>
      <c r="Q109" s="59" t="str">
        <f>IF(MIN(IF(ISBLANK(O109),N109,O109),IF(ISBLANK(N109),O109,N109))=0,"",MIN(IF(ISBLANK(O109),N109,O109),IF(ISBLANK(N109),O109,N109)))</f>
        <v/>
      </c>
      <c r="R109" s="57"/>
      <c r="S109" s="57"/>
      <c r="T109" s="59" t="str">
        <f t="shared" si="28"/>
        <v/>
      </c>
      <c r="U109" s="57"/>
      <c r="V109" s="57"/>
      <c r="W109" s="59" t="str">
        <f t="shared" si="29"/>
        <v/>
      </c>
      <c r="X109" s="57"/>
      <c r="Y109" s="57"/>
      <c r="Z109" s="59" t="str">
        <f t="shared" si="21"/>
        <v/>
      </c>
      <c r="AA109" s="57"/>
      <c r="AB109" s="57"/>
      <c r="AC109" s="59" t="str">
        <f t="shared" si="22"/>
        <v/>
      </c>
      <c r="AD109" s="57"/>
      <c r="AE109" s="57"/>
      <c r="AF109" s="59"/>
    </row>
    <row r="110" spans="1:32">
      <c r="A110" s="24"/>
      <c r="B110" s="26" t="s">
        <v>54</v>
      </c>
      <c r="C110" s="26" t="s">
        <v>450</v>
      </c>
      <c r="D110" s="50">
        <v>6.46</v>
      </c>
      <c r="E110" s="51" t="s">
        <v>289</v>
      </c>
      <c r="F110" s="50">
        <v>6.46</v>
      </c>
      <c r="G110" s="52"/>
      <c r="H110" s="50">
        <v>6.46</v>
      </c>
      <c r="I110" s="53"/>
      <c r="J110" s="50">
        <v>6.46</v>
      </c>
      <c r="K110" s="53"/>
      <c r="L110" s="50">
        <v>6.46</v>
      </c>
      <c r="M110" s="57"/>
      <c r="N110" s="55">
        <v>4.6990740740740743E-3</v>
      </c>
      <c r="O110" s="57"/>
      <c r="P110" s="57"/>
      <c r="Q110" s="59">
        <f>IF(MIN(IF(ISBLANK(O110),N110,O110),IF(ISBLANK(N110),O110,N110))=0,"",MIN(IF(ISBLANK(O110),N110,O110),IF(ISBLANK(N110),O110,N110)))</f>
        <v>4.6990740740740743E-3</v>
      </c>
      <c r="R110" s="57"/>
      <c r="S110" s="57"/>
      <c r="T110" s="59">
        <f t="shared" si="28"/>
        <v>4.6990740740740743E-3</v>
      </c>
      <c r="U110" s="57"/>
      <c r="V110" s="57"/>
      <c r="W110" s="59">
        <f t="shared" si="29"/>
        <v>4.6990740740740743E-3</v>
      </c>
      <c r="X110" s="57"/>
      <c r="Y110" s="57"/>
      <c r="Z110" s="59">
        <f t="shared" si="21"/>
        <v>4.6990740740740743E-3</v>
      </c>
      <c r="AA110" s="57"/>
      <c r="AB110" s="57"/>
      <c r="AC110" s="59">
        <f t="shared" si="22"/>
        <v>4.6990740740740743E-3</v>
      </c>
      <c r="AD110" s="57"/>
      <c r="AE110" s="57"/>
      <c r="AF110" s="59"/>
    </row>
    <row r="111" spans="1:32">
      <c r="A111" s="24"/>
      <c r="B111" s="26" t="s">
        <v>506</v>
      </c>
      <c r="C111" s="26" t="s">
        <v>450</v>
      </c>
      <c r="D111" s="50"/>
      <c r="E111" s="51"/>
      <c r="F111" s="50"/>
      <c r="G111" s="52"/>
      <c r="H111" s="50"/>
      <c r="I111" s="53"/>
      <c r="J111" s="50"/>
      <c r="K111" s="53"/>
      <c r="L111" s="50"/>
      <c r="M111" s="57"/>
      <c r="N111" s="55" t="s">
        <v>455</v>
      </c>
      <c r="O111" s="57"/>
      <c r="P111" s="57"/>
      <c r="Q111" s="59" t="str">
        <f>IF(MIN(IF(ISBLANK(O111),N111,O111),IF(ISBLANK(N111),O111,N111))=0,"",MIN(IF(ISBLANK(O111),N111,O111),IF(ISBLANK(N111),O111,N111)))</f>
        <v/>
      </c>
      <c r="R111" s="57">
        <v>6.1805555555555563E-3</v>
      </c>
      <c r="S111" s="57"/>
      <c r="T111" s="59">
        <f t="shared" si="28"/>
        <v>6.1805555555555563E-3</v>
      </c>
      <c r="U111" s="57"/>
      <c r="V111" s="57"/>
      <c r="W111" s="59">
        <f t="shared" si="29"/>
        <v>6.1805555555555563E-3</v>
      </c>
      <c r="X111" s="57"/>
      <c r="Y111" s="57"/>
      <c r="Z111" s="59">
        <f t="shared" si="21"/>
        <v>6.1805555555555563E-3</v>
      </c>
      <c r="AA111" s="57"/>
      <c r="AB111" s="57"/>
      <c r="AC111" s="59">
        <f t="shared" si="22"/>
        <v>6.1805555555555563E-3</v>
      </c>
      <c r="AD111" s="57"/>
      <c r="AE111" s="57"/>
      <c r="AF111" s="59"/>
    </row>
    <row r="112" spans="1:32">
      <c r="A112" s="24"/>
      <c r="B112" s="26" t="s">
        <v>622</v>
      </c>
      <c r="C112" s="26"/>
      <c r="D112" s="50"/>
      <c r="E112" s="51"/>
      <c r="F112" s="50"/>
      <c r="G112" s="52"/>
      <c r="H112" s="50"/>
      <c r="I112" s="53"/>
      <c r="J112" s="50"/>
      <c r="K112" s="53"/>
      <c r="L112" s="50"/>
      <c r="M112" s="57"/>
      <c r="N112" s="55"/>
      <c r="O112" s="57"/>
      <c r="P112" s="57"/>
      <c r="Q112" s="59"/>
      <c r="R112" s="57"/>
      <c r="S112" s="57"/>
      <c r="T112" s="59" t="str">
        <f t="shared" si="28"/>
        <v/>
      </c>
      <c r="U112" s="57">
        <v>1.0763888888888891E-2</v>
      </c>
      <c r="V112" s="57"/>
      <c r="W112" s="59">
        <f t="shared" si="29"/>
        <v>1.0763888888888891E-2</v>
      </c>
      <c r="X112" s="57"/>
      <c r="Y112" s="57"/>
      <c r="Z112" s="59">
        <f t="shared" si="21"/>
        <v>1.0763888888888891E-2</v>
      </c>
      <c r="AA112" s="57"/>
      <c r="AB112" s="57"/>
      <c r="AC112" s="59">
        <f t="shared" si="22"/>
        <v>1.0763888888888891E-2</v>
      </c>
      <c r="AD112" s="57"/>
      <c r="AE112" s="57"/>
      <c r="AF112" s="59"/>
    </row>
    <row r="113" spans="1:32">
      <c r="A113" s="24"/>
      <c r="B113" s="26" t="s">
        <v>720</v>
      </c>
      <c r="C113" s="26"/>
      <c r="D113" s="50"/>
      <c r="E113" s="51"/>
      <c r="F113" s="50"/>
      <c r="G113" s="52"/>
      <c r="H113" s="50"/>
      <c r="I113" s="53"/>
      <c r="J113" s="50"/>
      <c r="K113" s="53"/>
      <c r="L113" s="50"/>
      <c r="M113" s="57"/>
      <c r="N113" s="55"/>
      <c r="O113" s="57"/>
      <c r="P113" s="57"/>
      <c r="Q113" s="59"/>
      <c r="R113" s="57"/>
      <c r="S113" s="57"/>
      <c r="T113" s="59"/>
      <c r="U113" s="57"/>
      <c r="V113" s="57"/>
      <c r="W113" s="59"/>
      <c r="X113" s="57"/>
      <c r="Y113" s="57"/>
      <c r="Z113" s="59"/>
      <c r="AA113" s="57">
        <v>5.5555555555555558E-3</v>
      </c>
      <c r="AB113" s="57"/>
      <c r="AC113" s="59">
        <f t="shared" ref="AC113:AC144" si="30">IF(MIN(IF(ISBLANK(Z113),AA113,Z113),IF(ISBLANK(AA113),Z113,AA113))=0,"",MIN(IF(ISBLANK(Z113),AA113,Z113),IF(ISBLANK(AA113),Z113,AA113)))</f>
        <v>5.5555555555555558E-3</v>
      </c>
      <c r="AD113" s="57"/>
      <c r="AE113" s="57"/>
      <c r="AF113" s="59"/>
    </row>
    <row r="114" spans="1:32">
      <c r="A114" s="24"/>
      <c r="B114" s="26" t="s">
        <v>507</v>
      </c>
      <c r="C114" s="26" t="s">
        <v>450</v>
      </c>
      <c r="D114" s="50"/>
      <c r="E114" s="51"/>
      <c r="F114" s="50"/>
      <c r="G114" s="52"/>
      <c r="H114" s="50"/>
      <c r="I114" s="53"/>
      <c r="J114" s="50"/>
      <c r="K114" s="53"/>
      <c r="L114" s="50"/>
      <c r="M114" s="57"/>
      <c r="N114" s="55" t="s">
        <v>455</v>
      </c>
      <c r="O114" s="57">
        <v>6.6319444444444446E-3</v>
      </c>
      <c r="P114" s="57"/>
      <c r="Q114" s="59">
        <f>IF(MIN(IF(ISBLANK(O114),N114,O114),IF(ISBLANK(N114),O114,N114))=0,"",MIN(IF(ISBLANK(O114),N114,O114),IF(ISBLANK(N114),O114,N114)))</f>
        <v>6.6319444444444446E-3</v>
      </c>
      <c r="R114" s="57"/>
      <c r="S114" s="57"/>
      <c r="T114" s="59">
        <f>IF(MIN(IF(ISBLANK(R114),Q114,R114),IF(ISBLANK(Q114),R114,Q114))=0,"",MIN(IF(ISBLANK(R114),Q114,R114),IF(ISBLANK(Q114),R114,Q114)))</f>
        <v>6.6319444444444446E-3</v>
      </c>
      <c r="U114" s="57"/>
      <c r="V114" s="57"/>
      <c r="W114" s="59">
        <f>IF(MIN(IF(ISBLANK(U114),T114,U114),IF(ISBLANK(T114),U114,T114))=0,"",MIN(IF(ISBLANK(U114),T114,U114),IF(ISBLANK(T114),U114,T114)))</f>
        <v>6.6319444444444446E-3</v>
      </c>
      <c r="X114" s="57"/>
      <c r="Y114" s="57"/>
      <c r="Z114" s="59">
        <f t="shared" ref="Z114:Z131" si="31">IF(MIN(IF(ISBLANK(X114),W114,X114),IF(ISBLANK(W114),X114,W114))=0,"",MIN(IF(ISBLANK(X114),W114,X114),IF(ISBLANK(W114),X114,W114)))</f>
        <v>6.6319444444444446E-3</v>
      </c>
      <c r="AA114" s="57"/>
      <c r="AB114" s="57"/>
      <c r="AC114" s="59">
        <f t="shared" si="30"/>
        <v>6.6319444444444446E-3</v>
      </c>
      <c r="AD114" s="57"/>
      <c r="AE114" s="57"/>
      <c r="AF114" s="59"/>
    </row>
    <row r="115" spans="1:32">
      <c r="A115" s="24" t="s">
        <v>326</v>
      </c>
      <c r="B115" s="26" t="s">
        <v>633</v>
      </c>
      <c r="C115" s="26"/>
      <c r="D115" s="50"/>
      <c r="E115" s="51"/>
      <c r="F115" s="50"/>
      <c r="G115" s="52"/>
      <c r="H115" s="50"/>
      <c r="I115" s="53"/>
      <c r="J115" s="50"/>
      <c r="K115" s="53"/>
      <c r="L115" s="50"/>
      <c r="M115" s="57"/>
      <c r="N115" s="55"/>
      <c r="O115" s="57"/>
      <c r="P115" s="57"/>
      <c r="Q115" s="59"/>
      <c r="R115" s="57"/>
      <c r="S115" s="57"/>
      <c r="T115" s="59"/>
      <c r="U115" s="57"/>
      <c r="V115" s="57"/>
      <c r="W115" s="59"/>
      <c r="X115" s="57">
        <v>6.238425925925925E-3</v>
      </c>
      <c r="Y115" s="57"/>
      <c r="Z115" s="59">
        <f t="shared" si="31"/>
        <v>6.238425925925925E-3</v>
      </c>
      <c r="AA115" s="57">
        <v>5.7870370370370376E-3</v>
      </c>
      <c r="AB115" s="57"/>
      <c r="AC115" s="59">
        <f t="shared" si="30"/>
        <v>5.7870370370370376E-3</v>
      </c>
      <c r="AD115" s="57"/>
      <c r="AE115" s="57"/>
      <c r="AF115" s="59"/>
    </row>
    <row r="116" spans="1:32">
      <c r="A116" s="24"/>
      <c r="B116" s="26" t="s">
        <v>60</v>
      </c>
      <c r="C116" s="26" t="s">
        <v>451</v>
      </c>
      <c r="D116" s="50"/>
      <c r="E116" s="51"/>
      <c r="F116" s="50" t="s">
        <v>455</v>
      </c>
      <c r="G116" s="52"/>
      <c r="H116" s="50"/>
      <c r="I116" s="53"/>
      <c r="J116" s="50" t="s">
        <v>455</v>
      </c>
      <c r="K116" s="53"/>
      <c r="L116" s="50"/>
      <c r="M116" s="57"/>
      <c r="N116" s="55" t="s">
        <v>455</v>
      </c>
      <c r="O116" s="57"/>
      <c r="P116" s="57"/>
      <c r="Q116" s="59" t="str">
        <f t="shared" ref="Q116:Q126" si="32">IF(MIN(IF(ISBLANK(O116),N116,O116),IF(ISBLANK(N116),O116,N116))=0,"",MIN(IF(ISBLANK(O116),N116,O116),IF(ISBLANK(N116),O116,N116)))</f>
        <v/>
      </c>
      <c r="R116" s="57"/>
      <c r="S116" s="57"/>
      <c r="T116" s="59" t="str">
        <f t="shared" ref="T116:T131" si="33">IF(MIN(IF(ISBLANK(R116),Q116,R116),IF(ISBLANK(Q116),R116,Q116))=0,"",MIN(IF(ISBLANK(R116),Q116,R116),IF(ISBLANK(Q116),R116,Q116)))</f>
        <v/>
      </c>
      <c r="U116" s="57"/>
      <c r="V116" s="57"/>
      <c r="W116" s="59" t="str">
        <f t="shared" ref="W116:W131" si="34">IF(MIN(IF(ISBLANK(U116),T116,U116),IF(ISBLANK(T116),U116,T116))=0,"",MIN(IF(ISBLANK(U116),T116,U116),IF(ISBLANK(T116),U116,T116)))</f>
        <v/>
      </c>
      <c r="X116" s="57"/>
      <c r="Y116" s="57"/>
      <c r="Z116" s="59" t="str">
        <f t="shared" si="31"/>
        <v/>
      </c>
      <c r="AA116" s="57"/>
      <c r="AB116" s="57"/>
      <c r="AC116" s="59" t="str">
        <f t="shared" si="30"/>
        <v/>
      </c>
      <c r="AD116" s="57"/>
      <c r="AE116" s="57"/>
      <c r="AF116" s="59"/>
    </row>
    <row r="117" spans="1:32">
      <c r="A117" s="24"/>
      <c r="B117" s="26" t="s">
        <v>345</v>
      </c>
      <c r="C117" s="26" t="s">
        <v>451</v>
      </c>
      <c r="D117" s="50"/>
      <c r="E117" s="51"/>
      <c r="F117" s="50" t="s">
        <v>455</v>
      </c>
      <c r="G117" s="52"/>
      <c r="H117" s="50"/>
      <c r="I117" s="53"/>
      <c r="J117" s="50" t="s">
        <v>455</v>
      </c>
      <c r="K117" s="53">
        <v>9.08</v>
      </c>
      <c r="L117" s="50">
        <v>9.08</v>
      </c>
      <c r="M117" s="57">
        <v>6.3541666666666668E-3</v>
      </c>
      <c r="N117" s="55">
        <v>6.3425925925925915E-3</v>
      </c>
      <c r="O117" s="57"/>
      <c r="P117" s="57"/>
      <c r="Q117" s="59">
        <f t="shared" si="32"/>
        <v>6.3425925925925915E-3</v>
      </c>
      <c r="R117" s="57"/>
      <c r="S117" s="57"/>
      <c r="T117" s="59">
        <f t="shared" si="33"/>
        <v>6.3425925925925915E-3</v>
      </c>
      <c r="U117" s="57"/>
      <c r="V117" s="57"/>
      <c r="W117" s="59">
        <f t="shared" si="34"/>
        <v>6.3425925925925915E-3</v>
      </c>
      <c r="X117" s="57"/>
      <c r="Y117" s="57"/>
      <c r="Z117" s="59">
        <f t="shared" si="31"/>
        <v>6.3425925925925915E-3</v>
      </c>
      <c r="AA117" s="57"/>
      <c r="AB117" s="57"/>
      <c r="AC117" s="59">
        <f t="shared" si="30"/>
        <v>6.3425925925925915E-3</v>
      </c>
      <c r="AD117" s="57"/>
      <c r="AE117" s="57"/>
      <c r="AF117" s="59"/>
    </row>
    <row r="118" spans="1:32">
      <c r="A118" s="24" t="s">
        <v>326</v>
      </c>
      <c r="B118" s="26" t="s">
        <v>64</v>
      </c>
      <c r="C118" s="26" t="s">
        <v>451</v>
      </c>
      <c r="D118" s="50">
        <v>7.42</v>
      </c>
      <c r="E118" s="51" t="s">
        <v>290</v>
      </c>
      <c r="F118" s="50">
        <v>7.42</v>
      </c>
      <c r="G118" s="52">
        <v>7.49</v>
      </c>
      <c r="H118" s="50">
        <v>7.42</v>
      </c>
      <c r="I118" s="53">
        <v>7.31</v>
      </c>
      <c r="J118" s="50">
        <v>7.31</v>
      </c>
      <c r="K118" s="53"/>
      <c r="L118" s="50">
        <v>7.31</v>
      </c>
      <c r="M118" s="57">
        <v>5.6018518518518518E-3</v>
      </c>
      <c r="N118" s="55">
        <v>5.2199074074074066E-3</v>
      </c>
      <c r="O118" s="57"/>
      <c r="P118" s="57"/>
      <c r="Q118" s="59">
        <f t="shared" si="32"/>
        <v>5.2199074074074066E-3</v>
      </c>
      <c r="R118" s="57"/>
      <c r="S118" s="57"/>
      <c r="T118" s="59">
        <f t="shared" si="33"/>
        <v>5.2199074074074066E-3</v>
      </c>
      <c r="U118" s="57"/>
      <c r="V118" s="57"/>
      <c r="W118" s="59">
        <f t="shared" si="34"/>
        <v>5.2199074074074066E-3</v>
      </c>
      <c r="X118" s="57">
        <v>5.0925925925925921E-3</v>
      </c>
      <c r="Y118" s="57"/>
      <c r="Z118" s="59">
        <f t="shared" si="31"/>
        <v>5.0925925925925921E-3</v>
      </c>
      <c r="AA118" s="57"/>
      <c r="AB118" s="57"/>
      <c r="AC118" s="59">
        <f t="shared" si="30"/>
        <v>5.0925925925925921E-3</v>
      </c>
      <c r="AD118" s="57"/>
      <c r="AE118" s="57"/>
      <c r="AF118" s="59"/>
    </row>
    <row r="119" spans="1:32">
      <c r="A119" s="24"/>
      <c r="B119" s="26" t="s">
        <v>76</v>
      </c>
      <c r="C119" s="26" t="s">
        <v>451</v>
      </c>
      <c r="D119" s="50">
        <v>8.48</v>
      </c>
      <c r="E119" s="51"/>
      <c r="F119" s="50">
        <v>8.48</v>
      </c>
      <c r="G119" s="52"/>
      <c r="H119" s="50">
        <v>8.48</v>
      </c>
      <c r="I119" s="53"/>
      <c r="J119" s="50">
        <v>8.48</v>
      </c>
      <c r="K119" s="53"/>
      <c r="L119" s="50">
        <v>8.48</v>
      </c>
      <c r="M119" s="57"/>
      <c r="N119" s="55">
        <v>6.1111111111111114E-3</v>
      </c>
      <c r="O119" s="57"/>
      <c r="P119" s="57"/>
      <c r="Q119" s="59">
        <f t="shared" si="32"/>
        <v>6.1111111111111114E-3</v>
      </c>
      <c r="R119" s="57"/>
      <c r="S119" s="57"/>
      <c r="T119" s="59">
        <f t="shared" si="33"/>
        <v>6.1111111111111114E-3</v>
      </c>
      <c r="U119" s="57"/>
      <c r="V119" s="57"/>
      <c r="W119" s="59">
        <f t="shared" si="34"/>
        <v>6.1111111111111114E-3</v>
      </c>
      <c r="X119" s="57"/>
      <c r="Y119" s="57"/>
      <c r="Z119" s="59">
        <f t="shared" si="31"/>
        <v>6.1111111111111114E-3</v>
      </c>
      <c r="AA119" s="57"/>
      <c r="AB119" s="57"/>
      <c r="AC119" s="59">
        <f t="shared" si="30"/>
        <v>6.1111111111111114E-3</v>
      </c>
      <c r="AD119" s="57"/>
      <c r="AE119" s="57"/>
      <c r="AF119" s="59"/>
    </row>
    <row r="120" spans="1:32">
      <c r="A120" s="24"/>
      <c r="B120" s="26" t="s">
        <v>267</v>
      </c>
      <c r="C120" s="26"/>
      <c r="D120" s="50">
        <v>7.02</v>
      </c>
      <c r="E120" s="51"/>
      <c r="F120" s="50">
        <v>7.02</v>
      </c>
      <c r="G120" s="52"/>
      <c r="H120" s="50">
        <v>7.02</v>
      </c>
      <c r="I120" s="53"/>
      <c r="J120" s="50">
        <v>7.02</v>
      </c>
      <c r="K120" s="53"/>
      <c r="L120" s="50">
        <v>7.02</v>
      </c>
      <c r="M120" s="57"/>
      <c r="N120" s="55">
        <v>4.8842592592592592E-3</v>
      </c>
      <c r="O120" s="57"/>
      <c r="P120" s="57"/>
      <c r="Q120" s="59">
        <f t="shared" si="32"/>
        <v>4.8842592592592592E-3</v>
      </c>
      <c r="R120" s="57"/>
      <c r="S120" s="57"/>
      <c r="T120" s="59">
        <f t="shared" si="33"/>
        <v>4.8842592592592592E-3</v>
      </c>
      <c r="U120" s="57"/>
      <c r="V120" s="57"/>
      <c r="W120" s="59">
        <f t="shared" si="34"/>
        <v>4.8842592592592592E-3</v>
      </c>
      <c r="X120" s="57"/>
      <c r="Y120" s="57"/>
      <c r="Z120" s="59">
        <f t="shared" si="31"/>
        <v>4.8842592592592592E-3</v>
      </c>
      <c r="AA120" s="57"/>
      <c r="AB120" s="57"/>
      <c r="AC120" s="59">
        <f t="shared" si="30"/>
        <v>4.8842592592592592E-3</v>
      </c>
      <c r="AD120" s="57"/>
      <c r="AE120" s="57"/>
      <c r="AF120" s="59"/>
    </row>
    <row r="121" spans="1:32">
      <c r="A121" s="24"/>
      <c r="B121" s="26" t="s">
        <v>82</v>
      </c>
      <c r="C121" s="26"/>
      <c r="D121" s="50"/>
      <c r="E121" s="51"/>
      <c r="F121" s="50" t="s">
        <v>455</v>
      </c>
      <c r="G121" s="52"/>
      <c r="H121" s="50"/>
      <c r="I121" s="53"/>
      <c r="J121" s="50" t="s">
        <v>455</v>
      </c>
      <c r="K121" s="53"/>
      <c r="L121" s="50"/>
      <c r="M121" s="57"/>
      <c r="N121" s="55" t="s">
        <v>455</v>
      </c>
      <c r="O121" s="57"/>
      <c r="P121" s="57"/>
      <c r="Q121" s="59" t="str">
        <f t="shared" si="32"/>
        <v/>
      </c>
      <c r="R121" s="57"/>
      <c r="S121" s="57"/>
      <c r="T121" s="59" t="str">
        <f t="shared" si="33"/>
        <v/>
      </c>
      <c r="U121" s="57"/>
      <c r="V121" s="57"/>
      <c r="W121" s="59" t="str">
        <f t="shared" si="34"/>
        <v/>
      </c>
      <c r="X121" s="57"/>
      <c r="Y121" s="57"/>
      <c r="Z121" s="59" t="str">
        <f t="shared" si="31"/>
        <v/>
      </c>
      <c r="AA121" s="57"/>
      <c r="AB121" s="57"/>
      <c r="AC121" s="59" t="str">
        <f t="shared" si="30"/>
        <v/>
      </c>
      <c r="AD121" s="57"/>
      <c r="AE121" s="57"/>
      <c r="AF121" s="59"/>
    </row>
    <row r="122" spans="1:32">
      <c r="A122" s="24"/>
      <c r="B122" s="26" t="s">
        <v>228</v>
      </c>
      <c r="C122" s="26" t="s">
        <v>450</v>
      </c>
      <c r="D122" s="50">
        <v>9.15</v>
      </c>
      <c r="E122" s="51"/>
      <c r="F122" s="50">
        <v>9.15</v>
      </c>
      <c r="G122" s="52"/>
      <c r="H122" s="50">
        <v>9.15</v>
      </c>
      <c r="I122" s="53"/>
      <c r="J122" s="50">
        <v>9.15</v>
      </c>
      <c r="K122" s="53"/>
      <c r="L122" s="50">
        <v>9.15</v>
      </c>
      <c r="M122" s="57"/>
      <c r="N122" s="55">
        <v>6.4236111111111117E-3</v>
      </c>
      <c r="O122" s="57"/>
      <c r="P122" s="57"/>
      <c r="Q122" s="59">
        <f t="shared" si="32"/>
        <v>6.4236111111111117E-3</v>
      </c>
      <c r="R122" s="57"/>
      <c r="S122" s="57"/>
      <c r="T122" s="59">
        <f t="shared" si="33"/>
        <v>6.4236111111111117E-3</v>
      </c>
      <c r="U122" s="57"/>
      <c r="V122" s="57"/>
      <c r="W122" s="59">
        <f t="shared" si="34"/>
        <v>6.4236111111111117E-3</v>
      </c>
      <c r="X122" s="57"/>
      <c r="Y122" s="57"/>
      <c r="Z122" s="59">
        <f t="shared" si="31"/>
        <v>6.4236111111111117E-3</v>
      </c>
      <c r="AA122" s="57"/>
      <c r="AB122" s="57"/>
      <c r="AC122" s="59">
        <f t="shared" si="30"/>
        <v>6.4236111111111117E-3</v>
      </c>
      <c r="AD122" s="57"/>
      <c r="AE122" s="57"/>
      <c r="AF122" s="59"/>
    </row>
    <row r="123" spans="1:32">
      <c r="A123" s="24" t="s">
        <v>326</v>
      </c>
      <c r="B123" s="26" t="s">
        <v>87</v>
      </c>
      <c r="C123" s="26" t="s">
        <v>450</v>
      </c>
      <c r="D123" s="50">
        <v>8.15</v>
      </c>
      <c r="E123" s="51"/>
      <c r="F123" s="50">
        <v>8.15</v>
      </c>
      <c r="G123" s="52">
        <v>8.36</v>
      </c>
      <c r="H123" s="50">
        <v>8.15</v>
      </c>
      <c r="I123" s="53"/>
      <c r="J123" s="50">
        <v>8.15</v>
      </c>
      <c r="K123" s="53"/>
      <c r="L123" s="50">
        <v>8.15</v>
      </c>
      <c r="M123" s="57"/>
      <c r="N123" s="55">
        <v>5.7291666666666671E-3</v>
      </c>
      <c r="O123" s="57"/>
      <c r="P123" s="57"/>
      <c r="Q123" s="59">
        <f t="shared" si="32"/>
        <v>5.7291666666666671E-3</v>
      </c>
      <c r="R123" s="57"/>
      <c r="S123" s="57"/>
      <c r="T123" s="59">
        <f t="shared" si="33"/>
        <v>5.7291666666666671E-3</v>
      </c>
      <c r="U123" s="57"/>
      <c r="V123" s="57"/>
      <c r="W123" s="59">
        <f t="shared" si="34"/>
        <v>5.7291666666666671E-3</v>
      </c>
      <c r="X123" s="57"/>
      <c r="Y123" s="57"/>
      <c r="Z123" s="59">
        <f t="shared" si="31"/>
        <v>5.7291666666666671E-3</v>
      </c>
      <c r="AA123" s="57"/>
      <c r="AB123" s="57"/>
      <c r="AC123" s="59">
        <f t="shared" si="30"/>
        <v>5.7291666666666671E-3</v>
      </c>
      <c r="AD123" s="57"/>
      <c r="AE123" s="57"/>
      <c r="AF123" s="59"/>
    </row>
    <row r="124" spans="1:32">
      <c r="A124" s="24"/>
      <c r="B124" s="26" t="s">
        <v>388</v>
      </c>
      <c r="C124" s="26" t="s">
        <v>450</v>
      </c>
      <c r="D124" s="50"/>
      <c r="E124" s="51"/>
      <c r="F124" s="50"/>
      <c r="G124" s="52"/>
      <c r="H124" s="50"/>
      <c r="I124" s="53"/>
      <c r="J124" s="50" t="s">
        <v>455</v>
      </c>
      <c r="K124" s="53"/>
      <c r="L124" s="50"/>
      <c r="M124" s="57"/>
      <c r="N124" s="55" t="s">
        <v>455</v>
      </c>
      <c r="O124" s="57"/>
      <c r="P124" s="57"/>
      <c r="Q124" s="59" t="str">
        <f t="shared" si="32"/>
        <v/>
      </c>
      <c r="R124" s="57"/>
      <c r="S124" s="57"/>
      <c r="T124" s="59" t="str">
        <f t="shared" si="33"/>
        <v/>
      </c>
      <c r="U124" s="57"/>
      <c r="V124" s="57"/>
      <c r="W124" s="59" t="str">
        <f t="shared" si="34"/>
        <v/>
      </c>
      <c r="X124" s="57"/>
      <c r="Y124" s="57"/>
      <c r="Z124" s="59" t="str">
        <f t="shared" si="31"/>
        <v/>
      </c>
      <c r="AA124" s="57"/>
      <c r="AB124" s="57"/>
      <c r="AC124" s="59" t="str">
        <f t="shared" si="30"/>
        <v/>
      </c>
      <c r="AD124" s="57"/>
      <c r="AE124" s="57"/>
      <c r="AF124" s="59"/>
    </row>
    <row r="125" spans="1:32">
      <c r="A125" s="24"/>
      <c r="B125" s="26" t="s">
        <v>528</v>
      </c>
      <c r="C125" s="26" t="s">
        <v>450</v>
      </c>
      <c r="D125" s="50"/>
      <c r="E125" s="51"/>
      <c r="F125" s="50"/>
      <c r="G125" s="52"/>
      <c r="H125" s="50"/>
      <c r="I125" s="53"/>
      <c r="J125" s="50"/>
      <c r="K125" s="53"/>
      <c r="L125" s="50"/>
      <c r="M125" s="57">
        <v>6.0185185185185177E-3</v>
      </c>
      <c r="N125" s="55">
        <v>6.0185185185185177E-3</v>
      </c>
      <c r="O125" s="57"/>
      <c r="P125" s="57"/>
      <c r="Q125" s="59">
        <f t="shared" si="32"/>
        <v>6.0185185185185177E-3</v>
      </c>
      <c r="R125" s="57"/>
      <c r="S125" s="57"/>
      <c r="T125" s="59">
        <f t="shared" si="33"/>
        <v>6.0185185185185177E-3</v>
      </c>
      <c r="U125" s="57"/>
      <c r="V125" s="57"/>
      <c r="W125" s="59">
        <f t="shared" si="34"/>
        <v>6.0185185185185177E-3</v>
      </c>
      <c r="X125" s="57"/>
      <c r="Y125" s="57"/>
      <c r="Z125" s="59">
        <f t="shared" si="31"/>
        <v>6.0185185185185177E-3</v>
      </c>
      <c r="AA125" s="57"/>
      <c r="AB125" s="57"/>
      <c r="AC125" s="59">
        <f t="shared" si="30"/>
        <v>6.0185185185185177E-3</v>
      </c>
      <c r="AD125" s="57"/>
      <c r="AE125" s="57"/>
      <c r="AF125" s="59"/>
    </row>
    <row r="126" spans="1:32">
      <c r="A126" s="24"/>
      <c r="B126" s="26" t="s">
        <v>252</v>
      </c>
      <c r="C126" s="26" t="s">
        <v>451</v>
      </c>
      <c r="D126" s="50">
        <v>9.0500000000000007</v>
      </c>
      <c r="E126" s="51"/>
      <c r="F126" s="50">
        <v>9.0500000000000007</v>
      </c>
      <c r="G126" s="52"/>
      <c r="H126" s="50">
        <v>9.0500000000000007</v>
      </c>
      <c r="I126" s="53"/>
      <c r="J126" s="50">
        <v>9.0500000000000007</v>
      </c>
      <c r="K126" s="53"/>
      <c r="L126" s="50">
        <v>9.0500000000000007</v>
      </c>
      <c r="M126" s="57"/>
      <c r="N126" s="55">
        <v>6.3078703703703708E-3</v>
      </c>
      <c r="O126" s="57"/>
      <c r="P126" s="57"/>
      <c r="Q126" s="59">
        <f t="shared" si="32"/>
        <v>6.3078703703703708E-3</v>
      </c>
      <c r="R126" s="57"/>
      <c r="S126" s="57"/>
      <c r="T126" s="59">
        <f t="shared" si="33"/>
        <v>6.3078703703703708E-3</v>
      </c>
      <c r="U126" s="57"/>
      <c r="V126" s="57"/>
      <c r="W126" s="59">
        <f t="shared" si="34"/>
        <v>6.3078703703703708E-3</v>
      </c>
      <c r="X126" s="57"/>
      <c r="Y126" s="57"/>
      <c r="Z126" s="59">
        <f t="shared" si="31"/>
        <v>6.3078703703703708E-3</v>
      </c>
      <c r="AA126" s="57"/>
      <c r="AB126" s="57"/>
      <c r="AC126" s="59">
        <f t="shared" si="30"/>
        <v>6.3078703703703708E-3</v>
      </c>
      <c r="AD126" s="57"/>
      <c r="AE126" s="57"/>
      <c r="AF126" s="59"/>
    </row>
    <row r="127" spans="1:32">
      <c r="A127" s="24"/>
      <c r="B127" s="26" t="s">
        <v>617</v>
      </c>
      <c r="C127" s="26"/>
      <c r="D127" s="50"/>
      <c r="E127" s="51"/>
      <c r="F127" s="50"/>
      <c r="G127" s="52"/>
      <c r="H127" s="50"/>
      <c r="I127" s="53"/>
      <c r="J127" s="50"/>
      <c r="K127" s="53"/>
      <c r="L127" s="50"/>
      <c r="M127" s="57"/>
      <c r="N127" s="55"/>
      <c r="O127" s="57"/>
      <c r="P127" s="57"/>
      <c r="Q127" s="59"/>
      <c r="R127" s="57"/>
      <c r="S127" s="57"/>
      <c r="T127" s="59" t="str">
        <f t="shared" si="33"/>
        <v/>
      </c>
      <c r="U127" s="57"/>
      <c r="V127" s="57"/>
      <c r="W127" s="59" t="str">
        <f t="shared" si="34"/>
        <v/>
      </c>
      <c r="X127" s="57"/>
      <c r="Y127" s="57"/>
      <c r="Z127" s="59" t="str">
        <f t="shared" si="31"/>
        <v/>
      </c>
      <c r="AA127" s="57"/>
      <c r="AB127" s="57"/>
      <c r="AC127" s="59" t="str">
        <f t="shared" si="30"/>
        <v/>
      </c>
      <c r="AD127" s="57"/>
      <c r="AE127" s="57"/>
      <c r="AF127" s="59"/>
    </row>
    <row r="128" spans="1:32">
      <c r="A128" s="24" t="s">
        <v>326</v>
      </c>
      <c r="B128" s="26" t="s">
        <v>389</v>
      </c>
      <c r="C128" s="26" t="s">
        <v>451</v>
      </c>
      <c r="D128" s="50"/>
      <c r="E128" s="51"/>
      <c r="F128" s="50"/>
      <c r="G128" s="52"/>
      <c r="H128" s="50"/>
      <c r="I128" s="53">
        <v>7.34</v>
      </c>
      <c r="J128" s="50">
        <v>7.34</v>
      </c>
      <c r="K128" s="53">
        <v>7.16</v>
      </c>
      <c r="L128" s="50">
        <v>7.16</v>
      </c>
      <c r="M128" s="57"/>
      <c r="N128" s="55">
        <v>5.0462962962962961E-3</v>
      </c>
      <c r="O128" s="57">
        <v>5.1967592592592595E-3</v>
      </c>
      <c r="P128" s="57"/>
      <c r="Q128" s="59">
        <f>IF(MIN(IF(ISBLANK(O128),N128,O128),IF(ISBLANK(N128),O128,N128))=0,"",MIN(IF(ISBLANK(O128),N128,O128),IF(ISBLANK(N128),O128,N128)))</f>
        <v>5.0462962962962961E-3</v>
      </c>
      <c r="R128" s="57"/>
      <c r="S128" s="57"/>
      <c r="T128" s="59">
        <f t="shared" si="33"/>
        <v>5.0462962962962961E-3</v>
      </c>
      <c r="U128" s="57"/>
      <c r="V128" s="57"/>
      <c r="W128" s="59">
        <f t="shared" si="34"/>
        <v>5.0462962962962961E-3</v>
      </c>
      <c r="X128" s="57">
        <v>5.0578703703703706E-3</v>
      </c>
      <c r="Y128" s="57"/>
      <c r="Z128" s="59">
        <f t="shared" si="31"/>
        <v>5.0462962962962961E-3</v>
      </c>
      <c r="AA128" s="57">
        <v>5.162037037037037E-3</v>
      </c>
      <c r="AB128" s="57"/>
      <c r="AC128" s="59">
        <f t="shared" si="30"/>
        <v>5.0462962962962961E-3</v>
      </c>
      <c r="AD128" s="57"/>
      <c r="AE128" s="57"/>
      <c r="AF128" s="59"/>
    </row>
    <row r="129" spans="1:32">
      <c r="A129" s="24"/>
      <c r="B129" s="26" t="s">
        <v>534</v>
      </c>
      <c r="C129" s="26"/>
      <c r="D129" s="50"/>
      <c r="E129" s="51"/>
      <c r="F129" s="50"/>
      <c r="G129" s="52"/>
      <c r="H129" s="50"/>
      <c r="I129" s="53"/>
      <c r="J129" s="50"/>
      <c r="K129" s="53"/>
      <c r="L129" s="50"/>
      <c r="M129" s="57"/>
      <c r="N129" s="55" t="s">
        <v>455</v>
      </c>
      <c r="O129" s="57">
        <v>5.9606481481481489E-3</v>
      </c>
      <c r="P129" s="57"/>
      <c r="Q129" s="59">
        <f>IF(MIN(IF(ISBLANK(O129),N129,O129),IF(ISBLANK(N129),O129,N129))=0,"",MIN(IF(ISBLANK(O129),N129,O129),IF(ISBLANK(N129),O129,N129)))</f>
        <v>5.9606481481481489E-3</v>
      </c>
      <c r="R129" s="57"/>
      <c r="S129" s="57"/>
      <c r="T129" s="59">
        <f t="shared" si="33"/>
        <v>5.9606481481481489E-3</v>
      </c>
      <c r="U129" s="57"/>
      <c r="V129" s="57"/>
      <c r="W129" s="59">
        <f t="shared" si="34"/>
        <v>5.9606481481481489E-3</v>
      </c>
      <c r="X129" s="57"/>
      <c r="Y129" s="57"/>
      <c r="Z129" s="59">
        <f t="shared" si="31"/>
        <v>5.9606481481481489E-3</v>
      </c>
      <c r="AA129" s="57"/>
      <c r="AB129" s="57"/>
      <c r="AC129" s="59">
        <f t="shared" si="30"/>
        <v>5.9606481481481489E-3</v>
      </c>
      <c r="AD129" s="57"/>
      <c r="AE129" s="57"/>
      <c r="AF129" s="59"/>
    </row>
    <row r="130" spans="1:32">
      <c r="A130" s="24"/>
      <c r="B130" s="26" t="s">
        <v>561</v>
      </c>
      <c r="C130" s="26"/>
      <c r="D130" s="50"/>
      <c r="E130" s="51"/>
      <c r="F130" s="50"/>
      <c r="G130" s="52"/>
      <c r="H130" s="50"/>
      <c r="I130" s="53"/>
      <c r="J130" s="50"/>
      <c r="K130" s="53"/>
      <c r="L130" s="50"/>
      <c r="M130" s="57"/>
      <c r="N130" s="55" t="s">
        <v>455</v>
      </c>
      <c r="O130" s="57"/>
      <c r="P130" s="57"/>
      <c r="Q130" s="59" t="str">
        <f>IF(MIN(IF(ISBLANK(O130),N130,O130),IF(ISBLANK(N130),O130,N130))=0,"",MIN(IF(ISBLANK(O130),N130,O130),IF(ISBLANK(N130),O130,N130)))</f>
        <v/>
      </c>
      <c r="R130" s="57"/>
      <c r="S130" s="57"/>
      <c r="T130" s="59" t="str">
        <f t="shared" si="33"/>
        <v/>
      </c>
      <c r="U130" s="57"/>
      <c r="V130" s="57"/>
      <c r="W130" s="59" t="str">
        <f t="shared" si="34"/>
        <v/>
      </c>
      <c r="X130" s="57"/>
      <c r="Y130" s="57"/>
      <c r="Z130" s="59" t="str">
        <f t="shared" si="31"/>
        <v/>
      </c>
      <c r="AA130" s="57"/>
      <c r="AB130" s="57"/>
      <c r="AC130" s="59" t="str">
        <f t="shared" si="30"/>
        <v/>
      </c>
      <c r="AD130" s="57"/>
      <c r="AE130" s="57"/>
      <c r="AF130" s="59"/>
    </row>
    <row r="131" spans="1:32">
      <c r="A131" s="24" t="s">
        <v>326</v>
      </c>
      <c r="B131" s="26" t="s">
        <v>104</v>
      </c>
      <c r="C131" s="26" t="s">
        <v>450</v>
      </c>
      <c r="D131" s="50">
        <v>8.31</v>
      </c>
      <c r="E131" s="51" t="s">
        <v>291</v>
      </c>
      <c r="F131" s="50">
        <v>8.31</v>
      </c>
      <c r="G131" s="52">
        <v>9.15</v>
      </c>
      <c r="H131" s="50">
        <v>8.31</v>
      </c>
      <c r="I131" s="53">
        <v>8.56</v>
      </c>
      <c r="J131" s="50">
        <v>8.31</v>
      </c>
      <c r="K131" s="53">
        <v>9.07</v>
      </c>
      <c r="L131" s="50">
        <v>8.31</v>
      </c>
      <c r="M131" s="57"/>
      <c r="N131" s="55">
        <v>5.9143518518518521E-3</v>
      </c>
      <c r="O131" s="57">
        <v>6.6435185185185182E-3</v>
      </c>
      <c r="P131" s="57"/>
      <c r="Q131" s="59">
        <f>IF(MIN(IF(ISBLANK(O131),N131,O131),IF(ISBLANK(N131),O131,N131))=0,"",MIN(IF(ISBLANK(O131),N131,O131),IF(ISBLANK(N131),O131,N131)))</f>
        <v>5.9143518518518521E-3</v>
      </c>
      <c r="R131" s="57">
        <v>6.3888888888888884E-3</v>
      </c>
      <c r="S131" s="57"/>
      <c r="T131" s="59">
        <f t="shared" si="33"/>
        <v>5.9143518518518521E-3</v>
      </c>
      <c r="U131" s="57">
        <v>6.2731481481481484E-3</v>
      </c>
      <c r="V131" s="57"/>
      <c r="W131" s="59">
        <f t="shared" si="34"/>
        <v>5.9143518518518521E-3</v>
      </c>
      <c r="X131" s="57">
        <v>6.7476851851851856E-3</v>
      </c>
      <c r="Y131" s="57"/>
      <c r="Z131" s="59">
        <f t="shared" si="31"/>
        <v>5.9143518518518521E-3</v>
      </c>
      <c r="AA131" s="57">
        <v>6.4583333333333333E-3</v>
      </c>
      <c r="AB131" s="57"/>
      <c r="AC131" s="59">
        <f t="shared" si="30"/>
        <v>5.9143518518518521E-3</v>
      </c>
      <c r="AD131" s="57"/>
      <c r="AE131" s="57"/>
      <c r="AF131" s="59"/>
    </row>
    <row r="132" spans="1:32">
      <c r="A132" s="24"/>
      <c r="B132" s="26" t="s">
        <v>706</v>
      </c>
      <c r="C132" s="26"/>
      <c r="D132" s="50"/>
      <c r="E132" s="51"/>
      <c r="F132" s="50"/>
      <c r="G132" s="52"/>
      <c r="H132" s="50"/>
      <c r="I132" s="53"/>
      <c r="J132" s="50"/>
      <c r="K132" s="54"/>
      <c r="L132" s="50"/>
      <c r="M132" s="56"/>
      <c r="N132" s="55"/>
      <c r="O132" s="56"/>
      <c r="P132" s="56"/>
      <c r="Q132" s="59"/>
      <c r="R132" s="56"/>
      <c r="S132" s="56"/>
      <c r="T132" s="59"/>
      <c r="U132" s="56"/>
      <c r="V132" s="56"/>
      <c r="W132" s="59"/>
      <c r="X132" s="56"/>
      <c r="Y132" s="56"/>
      <c r="Z132" s="59"/>
      <c r="AA132" s="56"/>
      <c r="AB132" s="56"/>
      <c r="AC132" s="59" t="str">
        <f t="shared" si="30"/>
        <v/>
      </c>
      <c r="AD132" s="56"/>
      <c r="AE132" s="56"/>
      <c r="AF132" s="59"/>
    </row>
    <row r="133" spans="1:32">
      <c r="A133" s="24"/>
      <c r="B133" s="26" t="s">
        <v>111</v>
      </c>
      <c r="C133" s="26" t="s">
        <v>450</v>
      </c>
      <c r="D133" s="50">
        <v>9.07</v>
      </c>
      <c r="E133" s="51"/>
      <c r="F133" s="50">
        <v>9.07</v>
      </c>
      <c r="G133" s="52"/>
      <c r="H133" s="50">
        <v>9.07</v>
      </c>
      <c r="I133" s="53"/>
      <c r="J133" s="50">
        <v>9.07</v>
      </c>
      <c r="K133" s="53"/>
      <c r="L133" s="50">
        <v>9.07</v>
      </c>
      <c r="M133" s="57"/>
      <c r="N133" s="55">
        <v>6.3310185185185197E-3</v>
      </c>
      <c r="O133" s="57"/>
      <c r="P133" s="57"/>
      <c r="Q133" s="59">
        <f t="shared" ref="Q133:Q138" si="35">IF(MIN(IF(ISBLANK(O133),N133,O133),IF(ISBLANK(N133),O133,N133))=0,"",MIN(IF(ISBLANK(O133),N133,O133),IF(ISBLANK(N133),O133,N133)))</f>
        <v>6.3310185185185197E-3</v>
      </c>
      <c r="R133" s="57"/>
      <c r="S133" s="57"/>
      <c r="T133" s="59">
        <f t="shared" ref="T133:T142" si="36">IF(MIN(IF(ISBLANK(R133),Q133,R133),IF(ISBLANK(Q133),R133,Q133))=0,"",MIN(IF(ISBLANK(R133),Q133,R133),IF(ISBLANK(Q133),R133,Q133)))</f>
        <v>6.3310185185185197E-3</v>
      </c>
      <c r="U133" s="57"/>
      <c r="V133" s="57"/>
      <c r="W133" s="59">
        <f t="shared" ref="W133:W142" si="37">IF(MIN(IF(ISBLANK(U133),T133,U133),IF(ISBLANK(T133),U133,T133))=0,"",MIN(IF(ISBLANK(U133),T133,U133),IF(ISBLANK(T133),U133,T133)))</f>
        <v>6.3310185185185197E-3</v>
      </c>
      <c r="X133" s="57"/>
      <c r="Y133" s="57"/>
      <c r="Z133" s="59">
        <f t="shared" ref="Z133:Z164" si="38">IF(MIN(IF(ISBLANK(X133),W133,X133),IF(ISBLANK(W133),X133,W133))=0,"",MIN(IF(ISBLANK(X133),W133,X133),IF(ISBLANK(W133),X133,W133)))</f>
        <v>6.3310185185185197E-3</v>
      </c>
      <c r="AA133" s="57"/>
      <c r="AB133" s="57"/>
      <c r="AC133" s="59">
        <f t="shared" si="30"/>
        <v>6.3310185185185197E-3</v>
      </c>
      <c r="AD133" s="57"/>
      <c r="AE133" s="57"/>
      <c r="AF133" s="59"/>
    </row>
    <row r="134" spans="1:32">
      <c r="A134" s="24"/>
      <c r="B134" s="26" t="s">
        <v>117</v>
      </c>
      <c r="C134" s="26" t="s">
        <v>450</v>
      </c>
      <c r="D134" s="50">
        <v>6.55</v>
      </c>
      <c r="E134" s="51"/>
      <c r="F134" s="50">
        <v>6.55</v>
      </c>
      <c r="G134" s="52"/>
      <c r="H134" s="50">
        <v>6.55</v>
      </c>
      <c r="I134" s="53">
        <v>6.55</v>
      </c>
      <c r="J134" s="50">
        <v>6.55</v>
      </c>
      <c r="K134" s="53"/>
      <c r="L134" s="50">
        <v>6.55</v>
      </c>
      <c r="M134" s="57"/>
      <c r="N134" s="55">
        <v>4.8032407407407407E-3</v>
      </c>
      <c r="O134" s="57">
        <v>4.8495370370370368E-3</v>
      </c>
      <c r="P134" s="57"/>
      <c r="Q134" s="59">
        <f t="shared" si="35"/>
        <v>4.8032407407407407E-3</v>
      </c>
      <c r="R134" s="57"/>
      <c r="S134" s="57"/>
      <c r="T134" s="59">
        <f t="shared" si="36"/>
        <v>4.8032407407407407E-3</v>
      </c>
      <c r="U134" s="57"/>
      <c r="V134" s="57"/>
      <c r="W134" s="59">
        <f t="shared" si="37"/>
        <v>4.8032407407407407E-3</v>
      </c>
      <c r="X134" s="57"/>
      <c r="Y134" s="57"/>
      <c r="Z134" s="59">
        <f t="shared" si="38"/>
        <v>4.8032407407407407E-3</v>
      </c>
      <c r="AA134" s="57"/>
      <c r="AB134" s="57"/>
      <c r="AC134" s="59">
        <f t="shared" si="30"/>
        <v>4.8032407407407407E-3</v>
      </c>
      <c r="AD134" s="57"/>
      <c r="AE134" s="57"/>
      <c r="AF134" s="59"/>
    </row>
    <row r="135" spans="1:32">
      <c r="A135" s="24" t="s">
        <v>326</v>
      </c>
      <c r="B135" s="26" t="s">
        <v>128</v>
      </c>
      <c r="C135" s="26" t="s">
        <v>450</v>
      </c>
      <c r="D135" s="50">
        <v>7.39</v>
      </c>
      <c r="E135" s="51" t="s">
        <v>288</v>
      </c>
      <c r="F135" s="50">
        <v>7.39</v>
      </c>
      <c r="G135" s="52"/>
      <c r="H135" s="50">
        <v>7.39</v>
      </c>
      <c r="I135" s="53"/>
      <c r="J135" s="50">
        <v>7.39</v>
      </c>
      <c r="K135" s="53"/>
      <c r="L135" s="50">
        <v>7.39</v>
      </c>
      <c r="M135" s="57"/>
      <c r="N135" s="55">
        <v>5.3125000000000004E-3</v>
      </c>
      <c r="O135" s="57"/>
      <c r="P135" s="57"/>
      <c r="Q135" s="59">
        <f t="shared" si="35"/>
        <v>5.3125000000000004E-3</v>
      </c>
      <c r="R135" s="57"/>
      <c r="S135" s="57"/>
      <c r="T135" s="59">
        <f t="shared" si="36"/>
        <v>5.3125000000000004E-3</v>
      </c>
      <c r="U135" s="57"/>
      <c r="V135" s="57"/>
      <c r="W135" s="59">
        <f t="shared" si="37"/>
        <v>5.3125000000000004E-3</v>
      </c>
      <c r="X135" s="57"/>
      <c r="Y135" s="57"/>
      <c r="Z135" s="59">
        <f t="shared" si="38"/>
        <v>5.3125000000000004E-3</v>
      </c>
      <c r="AA135" s="57"/>
      <c r="AB135" s="57"/>
      <c r="AC135" s="59">
        <f t="shared" si="30"/>
        <v>5.3125000000000004E-3</v>
      </c>
      <c r="AD135" s="57">
        <v>6.238425925925925E-3</v>
      </c>
      <c r="AE135" s="57"/>
      <c r="AF135" s="59"/>
    </row>
    <row r="136" spans="1:32">
      <c r="A136" s="24" t="s">
        <v>326</v>
      </c>
      <c r="B136" s="26" t="s">
        <v>134</v>
      </c>
      <c r="C136" s="26" t="s">
        <v>450</v>
      </c>
      <c r="D136" s="50">
        <v>10.25</v>
      </c>
      <c r="E136" s="51"/>
      <c r="F136" s="50">
        <v>10.25</v>
      </c>
      <c r="G136" s="52">
        <v>12.37</v>
      </c>
      <c r="H136" s="50">
        <v>10.25</v>
      </c>
      <c r="I136" s="53"/>
      <c r="J136" s="50">
        <v>10.25</v>
      </c>
      <c r="K136" s="53">
        <v>12.32</v>
      </c>
      <c r="L136" s="50">
        <v>10.25</v>
      </c>
      <c r="M136" s="57"/>
      <c r="N136" s="55">
        <v>7.2337962962962963E-3</v>
      </c>
      <c r="O136" s="57">
        <v>8.6689814814814806E-3</v>
      </c>
      <c r="P136" s="57"/>
      <c r="Q136" s="59">
        <f t="shared" si="35"/>
        <v>7.2337962962962963E-3</v>
      </c>
      <c r="R136" s="57"/>
      <c r="S136" s="57"/>
      <c r="T136" s="59">
        <f t="shared" si="36"/>
        <v>7.2337962962962963E-3</v>
      </c>
      <c r="U136" s="57"/>
      <c r="V136" s="57"/>
      <c r="W136" s="59">
        <f t="shared" si="37"/>
        <v>7.2337962962962963E-3</v>
      </c>
      <c r="X136" s="57"/>
      <c r="Y136" s="57"/>
      <c r="Z136" s="59">
        <f t="shared" si="38"/>
        <v>7.2337962962962963E-3</v>
      </c>
      <c r="AA136" s="57"/>
      <c r="AB136" s="57"/>
      <c r="AC136" s="59">
        <f t="shared" si="30"/>
        <v>7.2337962962962963E-3</v>
      </c>
      <c r="AD136" s="57">
        <v>9.6759259259259264E-3</v>
      </c>
      <c r="AE136" s="57"/>
      <c r="AF136" s="59"/>
    </row>
    <row r="137" spans="1:32">
      <c r="A137" s="24"/>
      <c r="B137" s="26" t="s">
        <v>147</v>
      </c>
      <c r="C137" s="26" t="s">
        <v>450</v>
      </c>
      <c r="D137" s="50">
        <v>10.55</v>
      </c>
      <c r="E137" s="51"/>
      <c r="F137" s="50">
        <v>10.55</v>
      </c>
      <c r="G137" s="52"/>
      <c r="H137" s="50">
        <v>10.55</v>
      </c>
      <c r="I137" s="53"/>
      <c r="J137" s="50">
        <v>10.55</v>
      </c>
      <c r="K137" s="53"/>
      <c r="L137" s="50">
        <v>10.55</v>
      </c>
      <c r="M137" s="57"/>
      <c r="N137" s="55">
        <v>7.5810185185185182E-3</v>
      </c>
      <c r="O137" s="57"/>
      <c r="P137" s="57"/>
      <c r="Q137" s="59">
        <f t="shared" si="35"/>
        <v>7.5810185185185182E-3</v>
      </c>
      <c r="R137" s="57"/>
      <c r="S137" s="57"/>
      <c r="T137" s="59">
        <f t="shared" si="36"/>
        <v>7.5810185185185182E-3</v>
      </c>
      <c r="U137" s="57"/>
      <c r="V137" s="57"/>
      <c r="W137" s="59">
        <f t="shared" si="37"/>
        <v>7.5810185185185182E-3</v>
      </c>
      <c r="X137" s="57"/>
      <c r="Y137" s="57"/>
      <c r="Z137" s="59">
        <f t="shared" si="38"/>
        <v>7.5810185185185182E-3</v>
      </c>
      <c r="AA137" s="57"/>
      <c r="AB137" s="57"/>
      <c r="AC137" s="59">
        <f t="shared" si="30"/>
        <v>7.5810185185185182E-3</v>
      </c>
      <c r="AD137" s="57"/>
      <c r="AE137" s="57"/>
      <c r="AF137" s="59"/>
    </row>
    <row r="138" spans="1:32">
      <c r="A138" s="24"/>
      <c r="B138" s="26" t="s">
        <v>140</v>
      </c>
      <c r="C138" s="26" t="s">
        <v>450</v>
      </c>
      <c r="D138" s="50"/>
      <c r="E138" s="51"/>
      <c r="F138" s="50" t="s">
        <v>455</v>
      </c>
      <c r="G138" s="52"/>
      <c r="H138" s="50"/>
      <c r="I138" s="53"/>
      <c r="J138" s="50" t="s">
        <v>455</v>
      </c>
      <c r="K138" s="53"/>
      <c r="L138" s="50"/>
      <c r="M138" s="57"/>
      <c r="N138" s="55" t="s">
        <v>455</v>
      </c>
      <c r="O138" s="57"/>
      <c r="P138" s="57"/>
      <c r="Q138" s="59" t="str">
        <f t="shared" si="35"/>
        <v/>
      </c>
      <c r="R138" s="57"/>
      <c r="S138" s="57"/>
      <c r="T138" s="59" t="str">
        <f t="shared" si="36"/>
        <v/>
      </c>
      <c r="U138" s="57"/>
      <c r="V138" s="57"/>
      <c r="W138" s="59" t="str">
        <f t="shared" si="37"/>
        <v/>
      </c>
      <c r="X138" s="57"/>
      <c r="Y138" s="57"/>
      <c r="Z138" s="59" t="str">
        <f t="shared" si="38"/>
        <v/>
      </c>
      <c r="AA138" s="57"/>
      <c r="AB138" s="57"/>
      <c r="AC138" s="59" t="str">
        <f t="shared" si="30"/>
        <v/>
      </c>
      <c r="AD138" s="57"/>
      <c r="AE138" s="57"/>
      <c r="AF138" s="59"/>
    </row>
    <row r="139" spans="1:32">
      <c r="A139" s="24"/>
      <c r="B139" s="26" t="s">
        <v>604</v>
      </c>
      <c r="C139" s="26" t="s">
        <v>450</v>
      </c>
      <c r="D139" s="50"/>
      <c r="E139" s="51"/>
      <c r="F139" s="50"/>
      <c r="G139" s="52"/>
      <c r="H139" s="50"/>
      <c r="I139" s="53"/>
      <c r="J139" s="50"/>
      <c r="K139" s="53"/>
      <c r="L139" s="50"/>
      <c r="M139" s="57"/>
      <c r="N139" s="55"/>
      <c r="O139" s="57"/>
      <c r="P139" s="57"/>
      <c r="Q139" s="59"/>
      <c r="R139" s="57">
        <v>5.2199074074074066E-3</v>
      </c>
      <c r="S139" s="57"/>
      <c r="T139" s="59">
        <f t="shared" si="36"/>
        <v>5.2199074074074066E-3</v>
      </c>
      <c r="U139" s="57"/>
      <c r="V139" s="57"/>
      <c r="W139" s="59">
        <f t="shared" si="37"/>
        <v>5.2199074074074066E-3</v>
      </c>
      <c r="X139" s="57"/>
      <c r="Y139" s="57"/>
      <c r="Z139" s="59">
        <f t="shared" si="38"/>
        <v>5.2199074074074066E-3</v>
      </c>
      <c r="AA139" s="57"/>
      <c r="AB139" s="57"/>
      <c r="AC139" s="59">
        <f t="shared" si="30"/>
        <v>5.2199074074074066E-3</v>
      </c>
      <c r="AD139" s="57"/>
      <c r="AE139" s="57"/>
      <c r="AF139" s="59"/>
    </row>
    <row r="140" spans="1:32">
      <c r="A140" s="24"/>
      <c r="B140" s="26" t="s">
        <v>508</v>
      </c>
      <c r="C140" s="26" t="s">
        <v>450</v>
      </c>
      <c r="D140" s="50"/>
      <c r="E140" s="51"/>
      <c r="F140" s="50"/>
      <c r="G140" s="52"/>
      <c r="H140" s="50"/>
      <c r="I140" s="53"/>
      <c r="J140" s="50"/>
      <c r="K140" s="53"/>
      <c r="L140" s="50"/>
      <c r="M140" s="57"/>
      <c r="N140" s="55" t="s">
        <v>455</v>
      </c>
      <c r="O140" s="57"/>
      <c r="P140" s="57"/>
      <c r="Q140" s="59" t="str">
        <f>IF(MIN(IF(ISBLANK(O140),N140,O140),IF(ISBLANK(N140),O140,N140))=0,"",MIN(IF(ISBLANK(O140),N140,O140),IF(ISBLANK(N140),O140,N140)))</f>
        <v/>
      </c>
      <c r="R140" s="57"/>
      <c r="S140" s="57"/>
      <c r="T140" s="59" t="str">
        <f t="shared" si="36"/>
        <v/>
      </c>
      <c r="U140" s="57"/>
      <c r="V140" s="57"/>
      <c r="W140" s="59" t="str">
        <f t="shared" si="37"/>
        <v/>
      </c>
      <c r="X140" s="57"/>
      <c r="Y140" s="57"/>
      <c r="Z140" s="59" t="str">
        <f t="shared" si="38"/>
        <v/>
      </c>
      <c r="AA140" s="57"/>
      <c r="AB140" s="57"/>
      <c r="AC140" s="59" t="str">
        <f t="shared" si="30"/>
        <v/>
      </c>
      <c r="AD140" s="57"/>
      <c r="AE140" s="57"/>
      <c r="AF140" s="59"/>
    </row>
    <row r="141" spans="1:32">
      <c r="A141" s="24" t="s">
        <v>326</v>
      </c>
      <c r="B141" s="26" t="s">
        <v>152</v>
      </c>
      <c r="C141" s="26" t="s">
        <v>450</v>
      </c>
      <c r="D141" s="50">
        <v>8.16</v>
      </c>
      <c r="E141" s="51" t="s">
        <v>292</v>
      </c>
      <c r="F141" s="50">
        <v>8.16</v>
      </c>
      <c r="G141" s="52">
        <v>8.3699999999999992</v>
      </c>
      <c r="H141" s="50">
        <v>8.16</v>
      </c>
      <c r="I141" s="53">
        <v>8.25</v>
      </c>
      <c r="J141" s="50">
        <v>8.16</v>
      </c>
      <c r="K141" s="53">
        <v>8.23</v>
      </c>
      <c r="L141" s="50">
        <v>8.16</v>
      </c>
      <c r="M141" s="57"/>
      <c r="N141" s="55">
        <v>5.7407407407407416E-3</v>
      </c>
      <c r="O141" s="57">
        <v>5.9606481481481489E-3</v>
      </c>
      <c r="P141" s="57"/>
      <c r="Q141" s="59">
        <f>IF(MIN(IF(ISBLANK(O141),N141,O141),IF(ISBLANK(N141),O141,N141))=0,"",MIN(IF(ISBLANK(O141),N141,O141),IF(ISBLANK(N141),O141,N141)))</f>
        <v>5.7407407407407416E-3</v>
      </c>
      <c r="R141" s="57"/>
      <c r="S141" s="57" t="s">
        <v>603</v>
      </c>
      <c r="T141" s="59">
        <f t="shared" si="36"/>
        <v>5.7407407407407416E-3</v>
      </c>
      <c r="U141" s="57"/>
      <c r="V141" s="57"/>
      <c r="W141" s="59">
        <f t="shared" si="37"/>
        <v>5.7407407407407416E-3</v>
      </c>
      <c r="X141" s="57"/>
      <c r="Y141" s="57"/>
      <c r="Z141" s="59">
        <f t="shared" si="38"/>
        <v>5.7407407407407416E-3</v>
      </c>
      <c r="AA141" s="57"/>
      <c r="AB141" s="57"/>
      <c r="AC141" s="59">
        <f t="shared" si="30"/>
        <v>5.7407407407407416E-3</v>
      </c>
      <c r="AD141" s="57">
        <v>6.1342592592592594E-3</v>
      </c>
      <c r="AE141" s="57"/>
      <c r="AF141" s="59"/>
    </row>
    <row r="142" spans="1:32">
      <c r="A142" s="24"/>
      <c r="B142" s="26" t="s">
        <v>537</v>
      </c>
      <c r="C142" s="26"/>
      <c r="D142" s="50"/>
      <c r="E142" s="51"/>
      <c r="F142" s="50"/>
      <c r="G142" s="52"/>
      <c r="H142" s="50"/>
      <c r="I142" s="53"/>
      <c r="J142" s="50"/>
      <c r="K142" s="53"/>
      <c r="L142" s="50"/>
      <c r="M142" s="57"/>
      <c r="N142" s="55" t="s">
        <v>455</v>
      </c>
      <c r="O142" s="57"/>
      <c r="P142" s="57"/>
      <c r="Q142" s="59" t="str">
        <f>IF(MIN(IF(ISBLANK(O142),N142,O142),IF(ISBLANK(N142),O142,N142))=0,"",MIN(IF(ISBLANK(O142),N142,O142),IF(ISBLANK(N142),O142,N142)))</f>
        <v/>
      </c>
      <c r="R142" s="57"/>
      <c r="S142" s="57"/>
      <c r="T142" s="59" t="str">
        <f t="shared" si="36"/>
        <v/>
      </c>
      <c r="U142" s="57"/>
      <c r="V142" s="57"/>
      <c r="W142" s="59" t="str">
        <f t="shared" si="37"/>
        <v/>
      </c>
      <c r="X142" s="57"/>
      <c r="Y142" s="57"/>
      <c r="Z142" s="59" t="str">
        <f t="shared" si="38"/>
        <v/>
      </c>
      <c r="AA142" s="57"/>
      <c r="AB142" s="57"/>
      <c r="AC142" s="59" t="str">
        <f t="shared" si="30"/>
        <v/>
      </c>
      <c r="AD142" s="57"/>
      <c r="AE142" s="57"/>
      <c r="AF142" s="59"/>
    </row>
    <row r="143" spans="1:32">
      <c r="A143" s="24"/>
      <c r="B143" s="26" t="s">
        <v>634</v>
      </c>
      <c r="C143" s="26"/>
      <c r="D143" s="50"/>
      <c r="E143" s="51"/>
      <c r="F143" s="50"/>
      <c r="G143" s="52"/>
      <c r="H143" s="50"/>
      <c r="I143" s="53"/>
      <c r="J143" s="50"/>
      <c r="K143" s="53"/>
      <c r="L143" s="50"/>
      <c r="M143" s="57"/>
      <c r="N143" s="55"/>
      <c r="O143" s="57"/>
      <c r="P143" s="57"/>
      <c r="Q143" s="59"/>
      <c r="R143" s="57"/>
      <c r="S143" s="57"/>
      <c r="T143" s="59"/>
      <c r="U143" s="57"/>
      <c r="V143" s="57"/>
      <c r="W143" s="59"/>
      <c r="X143" s="57">
        <v>5.7754629629629623E-3</v>
      </c>
      <c r="Y143" s="57"/>
      <c r="Z143" s="59">
        <f t="shared" si="38"/>
        <v>5.7754629629629623E-3</v>
      </c>
      <c r="AA143" s="57"/>
      <c r="AB143" s="57"/>
      <c r="AC143" s="59">
        <f t="shared" si="30"/>
        <v>5.7754629629629623E-3</v>
      </c>
      <c r="AD143" s="57"/>
      <c r="AE143" s="57"/>
      <c r="AF143" s="59"/>
    </row>
    <row r="144" spans="1:32">
      <c r="A144" s="24"/>
      <c r="B144" s="26" t="s">
        <v>485</v>
      </c>
      <c r="C144" s="26" t="s">
        <v>450</v>
      </c>
      <c r="D144" s="50"/>
      <c r="E144" s="51"/>
      <c r="F144" s="50"/>
      <c r="G144" s="52"/>
      <c r="H144" s="50"/>
      <c r="I144" s="53"/>
      <c r="J144" s="50"/>
      <c r="K144" s="53">
        <v>9.31</v>
      </c>
      <c r="L144" s="50">
        <v>9.31</v>
      </c>
      <c r="M144" s="57"/>
      <c r="N144" s="55">
        <v>6.6087962962962966E-3</v>
      </c>
      <c r="O144" s="57"/>
      <c r="P144" s="57"/>
      <c r="Q144" s="59">
        <f t="shared" ref="Q144:Q158" si="39">IF(MIN(IF(ISBLANK(O144),N144,O144),IF(ISBLANK(N144),O144,N144))=0,"",MIN(IF(ISBLANK(O144),N144,O144),IF(ISBLANK(N144),O144,N144)))</f>
        <v>6.6087962962962966E-3</v>
      </c>
      <c r="R144" s="57">
        <v>6.2037037037037043E-3</v>
      </c>
      <c r="S144" s="57"/>
      <c r="T144" s="59">
        <f t="shared" ref="T144:T158" si="40">IF(MIN(IF(ISBLANK(R144),Q144,R144),IF(ISBLANK(Q144),R144,Q144))=0,"",MIN(IF(ISBLANK(R144),Q144,R144),IF(ISBLANK(Q144),R144,Q144)))</f>
        <v>6.2037037037037043E-3</v>
      </c>
      <c r="U144" s="57"/>
      <c r="V144" s="57"/>
      <c r="W144" s="59">
        <f t="shared" ref="W144:W158" si="41">IF(MIN(IF(ISBLANK(U144),T144,U144),IF(ISBLANK(T144),U144,T144))=0,"",MIN(IF(ISBLANK(U144),T144,U144),IF(ISBLANK(T144),U144,T144)))</f>
        <v>6.2037037037037043E-3</v>
      </c>
      <c r="X144" s="57"/>
      <c r="Y144" s="57"/>
      <c r="Z144" s="59">
        <f t="shared" si="38"/>
        <v>6.2037037037037043E-3</v>
      </c>
      <c r="AA144" s="57"/>
      <c r="AB144" s="57"/>
      <c r="AC144" s="59">
        <f t="shared" si="30"/>
        <v>6.2037037037037043E-3</v>
      </c>
      <c r="AD144" s="57"/>
      <c r="AE144" s="57"/>
      <c r="AF144" s="59"/>
    </row>
    <row r="145" spans="1:32">
      <c r="A145" s="24" t="s">
        <v>326</v>
      </c>
      <c r="B145" s="26" t="s">
        <v>271</v>
      </c>
      <c r="C145" s="26" t="s">
        <v>451</v>
      </c>
      <c r="D145" s="50"/>
      <c r="E145" s="51"/>
      <c r="F145" s="50" t="s">
        <v>455</v>
      </c>
      <c r="G145" s="52"/>
      <c r="H145" s="50"/>
      <c r="I145" s="53"/>
      <c r="J145" s="50" t="s">
        <v>455</v>
      </c>
      <c r="K145" s="53"/>
      <c r="L145" s="50"/>
      <c r="M145" s="57"/>
      <c r="N145" s="55" t="s">
        <v>455</v>
      </c>
      <c r="O145" s="57">
        <v>7.4768518518518526E-3</v>
      </c>
      <c r="P145" s="57"/>
      <c r="Q145" s="59">
        <f t="shared" si="39"/>
        <v>7.4768518518518526E-3</v>
      </c>
      <c r="R145" s="57"/>
      <c r="S145" s="57" t="s">
        <v>601</v>
      </c>
      <c r="T145" s="59">
        <f t="shared" si="40"/>
        <v>7.4768518518518526E-3</v>
      </c>
      <c r="U145" s="57"/>
      <c r="V145" s="57"/>
      <c r="W145" s="59">
        <f t="shared" si="41"/>
        <v>7.4768518518518526E-3</v>
      </c>
      <c r="X145" s="57">
        <v>7.2916666666666659E-3</v>
      </c>
      <c r="Y145" s="57"/>
      <c r="Z145" s="59">
        <f t="shared" si="38"/>
        <v>7.2916666666666659E-3</v>
      </c>
      <c r="AA145" s="57">
        <v>7.4421296296296293E-3</v>
      </c>
      <c r="AB145" s="57"/>
      <c r="AC145" s="59">
        <f t="shared" ref="AC145:AC176" si="42">IF(MIN(IF(ISBLANK(Z145),AA145,Z145),IF(ISBLANK(AA145),Z145,AA145))=0,"",MIN(IF(ISBLANK(Z145),AA145,Z145),IF(ISBLANK(AA145),Z145,AA145)))</f>
        <v>7.2916666666666659E-3</v>
      </c>
      <c r="AD145" s="57"/>
      <c r="AE145" s="57"/>
      <c r="AF145" s="59"/>
    </row>
    <row r="146" spans="1:32">
      <c r="A146" s="24"/>
      <c r="B146" s="26" t="s">
        <v>476</v>
      </c>
      <c r="C146" s="26" t="s">
        <v>450</v>
      </c>
      <c r="D146" s="50"/>
      <c r="E146" s="51"/>
      <c r="F146" s="50"/>
      <c r="G146" s="52"/>
      <c r="H146" s="50"/>
      <c r="I146" s="53"/>
      <c r="J146" s="50"/>
      <c r="K146" s="53"/>
      <c r="L146" s="50"/>
      <c r="M146" s="57"/>
      <c r="N146" s="55" t="s">
        <v>455</v>
      </c>
      <c r="O146" s="57"/>
      <c r="P146" s="57"/>
      <c r="Q146" s="59" t="str">
        <f t="shared" si="39"/>
        <v/>
      </c>
      <c r="R146" s="57"/>
      <c r="S146" s="57"/>
      <c r="T146" s="59" t="str">
        <f t="shared" si="40"/>
        <v/>
      </c>
      <c r="U146" s="57"/>
      <c r="V146" s="57"/>
      <c r="W146" s="59" t="str">
        <f t="shared" si="41"/>
        <v/>
      </c>
      <c r="X146" s="57"/>
      <c r="Y146" s="57"/>
      <c r="Z146" s="59" t="str">
        <f t="shared" si="38"/>
        <v/>
      </c>
      <c r="AA146" s="57"/>
      <c r="AB146" s="57"/>
      <c r="AC146" s="59" t="str">
        <f t="shared" si="42"/>
        <v/>
      </c>
      <c r="AD146" s="57"/>
      <c r="AE146" s="57"/>
      <c r="AF146" s="59"/>
    </row>
    <row r="147" spans="1:32">
      <c r="A147" s="24" t="s">
        <v>326</v>
      </c>
      <c r="B147" s="26" t="s">
        <v>165</v>
      </c>
      <c r="C147" s="26" t="s">
        <v>450</v>
      </c>
      <c r="D147" s="55">
        <v>5.4629629629629637E-3</v>
      </c>
      <c r="E147" s="57">
        <v>5.8564814814814825E-3</v>
      </c>
      <c r="F147" s="55">
        <v>5.4629629629629637E-3</v>
      </c>
      <c r="G147" s="57">
        <v>5.6134259259259271E-3</v>
      </c>
      <c r="H147" s="55">
        <v>5.4629629629629637E-3</v>
      </c>
      <c r="I147" s="57">
        <v>5.4513888888888884E-3</v>
      </c>
      <c r="J147" s="55">
        <v>5.4513888888888884E-3</v>
      </c>
      <c r="K147" s="57">
        <v>5.6134259259259271E-3</v>
      </c>
      <c r="L147" s="55">
        <v>5.4513888888888884E-3</v>
      </c>
      <c r="M147" s="57">
        <v>5.9143518518518521E-3</v>
      </c>
      <c r="N147" s="55">
        <v>5.4513888888888884E-3</v>
      </c>
      <c r="O147" s="57">
        <v>5.6712962962962958E-3</v>
      </c>
      <c r="P147" s="57"/>
      <c r="Q147" s="59">
        <f t="shared" si="39"/>
        <v>5.4513888888888884E-3</v>
      </c>
      <c r="R147" s="57">
        <v>5.6134259259259271E-3</v>
      </c>
      <c r="S147" s="57"/>
      <c r="T147" s="59">
        <f t="shared" si="40"/>
        <v>5.4513888888888884E-3</v>
      </c>
      <c r="U147" s="57">
        <v>5.7754629629629623E-3</v>
      </c>
      <c r="V147" s="57"/>
      <c r="W147" s="59">
        <f t="shared" si="41"/>
        <v>5.4513888888888884E-3</v>
      </c>
      <c r="X147" s="57">
        <v>5.6712962962962958E-3</v>
      </c>
      <c r="Y147" s="57"/>
      <c r="Z147" s="59">
        <f t="shared" si="38"/>
        <v>5.4513888888888884E-3</v>
      </c>
      <c r="AA147" s="57">
        <v>5.8680555555555543E-3</v>
      </c>
      <c r="AB147" s="57"/>
      <c r="AC147" s="59">
        <f t="shared" si="42"/>
        <v>5.4513888888888884E-3</v>
      </c>
      <c r="AD147" s="57">
        <v>5.9375000000000009E-3</v>
      </c>
      <c r="AE147" s="57"/>
      <c r="AF147" s="59"/>
    </row>
    <row r="148" spans="1:32">
      <c r="A148" s="24" t="s">
        <v>326</v>
      </c>
      <c r="B148" s="26" t="s">
        <v>390</v>
      </c>
      <c r="C148" s="26" t="s">
        <v>450</v>
      </c>
      <c r="D148" s="50"/>
      <c r="E148" s="51"/>
      <c r="F148" s="50"/>
      <c r="G148" s="52"/>
      <c r="H148" s="50"/>
      <c r="I148" s="53">
        <v>6.08</v>
      </c>
      <c r="J148" s="50">
        <v>6.08</v>
      </c>
      <c r="K148" s="53"/>
      <c r="L148" s="50">
        <v>6.08</v>
      </c>
      <c r="M148" s="57"/>
      <c r="N148" s="55">
        <v>4.2592592592592595E-3</v>
      </c>
      <c r="O148" s="57"/>
      <c r="P148" s="57"/>
      <c r="Q148" s="59">
        <f t="shared" si="39"/>
        <v>4.2592592592592595E-3</v>
      </c>
      <c r="R148" s="57"/>
      <c r="S148" s="57"/>
      <c r="T148" s="59">
        <f t="shared" si="40"/>
        <v>4.2592592592592595E-3</v>
      </c>
      <c r="U148" s="57"/>
      <c r="V148" s="57"/>
      <c r="W148" s="59">
        <f t="shared" si="41"/>
        <v>4.2592592592592595E-3</v>
      </c>
      <c r="X148" s="57">
        <v>4.4560185185185189E-3</v>
      </c>
      <c r="Y148" s="57"/>
      <c r="Z148" s="59">
        <f t="shared" si="38"/>
        <v>4.2592592592592595E-3</v>
      </c>
      <c r="AA148" s="57">
        <v>4.340277777777778E-3</v>
      </c>
      <c r="AB148" s="57"/>
      <c r="AC148" s="59">
        <f t="shared" si="42"/>
        <v>4.2592592592592595E-3</v>
      </c>
      <c r="AD148" s="57"/>
      <c r="AE148" s="57"/>
      <c r="AF148" s="59"/>
    </row>
    <row r="149" spans="1:32">
      <c r="A149" s="24"/>
      <c r="B149" s="26" t="s">
        <v>444</v>
      </c>
      <c r="C149" s="26" t="s">
        <v>451</v>
      </c>
      <c r="D149" s="50"/>
      <c r="E149" s="51"/>
      <c r="F149" s="50"/>
      <c r="G149" s="52"/>
      <c r="H149" s="50"/>
      <c r="I149" s="53">
        <v>11.21</v>
      </c>
      <c r="J149" s="50">
        <v>11.21</v>
      </c>
      <c r="K149" s="53">
        <v>12.12</v>
      </c>
      <c r="L149" s="50" t="s">
        <v>487</v>
      </c>
      <c r="M149" s="57"/>
      <c r="N149" s="55">
        <v>7.8819444444444432E-3</v>
      </c>
      <c r="O149" s="57"/>
      <c r="P149" s="57"/>
      <c r="Q149" s="59">
        <f t="shared" si="39"/>
        <v>7.8819444444444432E-3</v>
      </c>
      <c r="R149" s="57"/>
      <c r="S149" s="57"/>
      <c r="T149" s="59">
        <f t="shared" si="40"/>
        <v>7.8819444444444432E-3</v>
      </c>
      <c r="U149" s="57"/>
      <c r="V149" s="57"/>
      <c r="W149" s="59">
        <f t="shared" si="41"/>
        <v>7.8819444444444432E-3</v>
      </c>
      <c r="X149" s="57"/>
      <c r="Y149" s="57"/>
      <c r="Z149" s="59">
        <f t="shared" si="38"/>
        <v>7.8819444444444432E-3</v>
      </c>
      <c r="AA149" s="57"/>
      <c r="AB149" s="57"/>
      <c r="AC149" s="59">
        <f t="shared" si="42"/>
        <v>7.8819444444444432E-3</v>
      </c>
      <c r="AD149" s="57"/>
      <c r="AE149" s="57"/>
      <c r="AF149" s="59"/>
    </row>
    <row r="150" spans="1:32">
      <c r="A150" s="24"/>
      <c r="B150" s="26" t="s">
        <v>238</v>
      </c>
      <c r="C150" s="26" t="s">
        <v>451</v>
      </c>
      <c r="D150" s="50"/>
      <c r="E150" s="51"/>
      <c r="F150" s="50" t="s">
        <v>455</v>
      </c>
      <c r="G150" s="52"/>
      <c r="H150" s="50"/>
      <c r="I150" s="53"/>
      <c r="J150" s="50" t="s">
        <v>455</v>
      </c>
      <c r="K150" s="53"/>
      <c r="L150" s="50"/>
      <c r="M150" s="57"/>
      <c r="N150" s="55" t="s">
        <v>455</v>
      </c>
      <c r="O150" s="57"/>
      <c r="P150" s="57"/>
      <c r="Q150" s="59" t="str">
        <f t="shared" si="39"/>
        <v/>
      </c>
      <c r="R150" s="57"/>
      <c r="S150" s="57"/>
      <c r="T150" s="59" t="str">
        <f t="shared" si="40"/>
        <v/>
      </c>
      <c r="U150" s="57"/>
      <c r="V150" s="57"/>
      <c r="W150" s="59" t="str">
        <f t="shared" si="41"/>
        <v/>
      </c>
      <c r="X150" s="57"/>
      <c r="Y150" s="57"/>
      <c r="Z150" s="59" t="str">
        <f t="shared" si="38"/>
        <v/>
      </c>
      <c r="AA150" s="57"/>
      <c r="AB150" s="57"/>
      <c r="AC150" s="59" t="str">
        <f t="shared" si="42"/>
        <v/>
      </c>
      <c r="AD150" s="57"/>
      <c r="AE150" s="57"/>
      <c r="AF150" s="59"/>
    </row>
    <row r="151" spans="1:32">
      <c r="A151" s="24"/>
      <c r="B151" s="26" t="s">
        <v>522</v>
      </c>
      <c r="C151" s="26" t="s">
        <v>451</v>
      </c>
      <c r="D151" s="50"/>
      <c r="E151" s="51"/>
      <c r="F151" s="50"/>
      <c r="G151" s="52"/>
      <c r="H151" s="50"/>
      <c r="I151" s="53"/>
      <c r="J151" s="50"/>
      <c r="K151" s="53"/>
      <c r="L151" s="50"/>
      <c r="M151" s="57"/>
      <c r="N151" s="55" t="s">
        <v>455</v>
      </c>
      <c r="O151" s="57"/>
      <c r="P151" s="57"/>
      <c r="Q151" s="59" t="str">
        <f t="shared" si="39"/>
        <v/>
      </c>
      <c r="R151" s="57"/>
      <c r="S151" s="57"/>
      <c r="T151" s="59" t="str">
        <f t="shared" si="40"/>
        <v/>
      </c>
      <c r="U151" s="57"/>
      <c r="V151" s="57"/>
      <c r="W151" s="59" t="str">
        <f t="shared" si="41"/>
        <v/>
      </c>
      <c r="X151" s="57"/>
      <c r="Y151" s="57"/>
      <c r="Z151" s="59" t="str">
        <f t="shared" si="38"/>
        <v/>
      </c>
      <c r="AA151" s="57"/>
      <c r="AB151" s="57"/>
      <c r="AC151" s="59" t="str">
        <f t="shared" si="42"/>
        <v/>
      </c>
      <c r="AD151" s="57"/>
      <c r="AE151" s="57"/>
      <c r="AF151" s="59"/>
    </row>
    <row r="152" spans="1:32">
      <c r="A152" s="24"/>
      <c r="B152" s="26" t="s">
        <v>158</v>
      </c>
      <c r="C152" s="26"/>
      <c r="D152" s="50"/>
      <c r="E152" s="51"/>
      <c r="F152" s="50" t="s">
        <v>455</v>
      </c>
      <c r="G152" s="52"/>
      <c r="H152" s="50"/>
      <c r="I152" s="53"/>
      <c r="J152" s="50" t="s">
        <v>455</v>
      </c>
      <c r="K152" s="53"/>
      <c r="L152" s="50"/>
      <c r="M152" s="57"/>
      <c r="N152" s="55" t="s">
        <v>455</v>
      </c>
      <c r="O152" s="57"/>
      <c r="P152" s="57"/>
      <c r="Q152" s="59" t="str">
        <f t="shared" si="39"/>
        <v/>
      </c>
      <c r="R152" s="57"/>
      <c r="S152" s="57"/>
      <c r="T152" s="59" t="str">
        <f t="shared" si="40"/>
        <v/>
      </c>
      <c r="U152" s="57"/>
      <c r="V152" s="57"/>
      <c r="W152" s="59" t="str">
        <f t="shared" si="41"/>
        <v/>
      </c>
      <c r="X152" s="57"/>
      <c r="Y152" s="57"/>
      <c r="Z152" s="59" t="str">
        <f t="shared" si="38"/>
        <v/>
      </c>
      <c r="AA152" s="57"/>
      <c r="AB152" s="57"/>
      <c r="AC152" s="59" t="str">
        <f t="shared" si="42"/>
        <v/>
      </c>
      <c r="AD152" s="57"/>
      <c r="AE152" s="57"/>
      <c r="AF152" s="59"/>
    </row>
    <row r="153" spans="1:32">
      <c r="A153" s="24" t="s">
        <v>326</v>
      </c>
      <c r="B153" s="26" t="s">
        <v>391</v>
      </c>
      <c r="C153" s="26" t="s">
        <v>450</v>
      </c>
      <c r="D153" s="50"/>
      <c r="E153" s="51"/>
      <c r="F153" s="50"/>
      <c r="G153" s="52"/>
      <c r="H153" s="50"/>
      <c r="I153" s="53">
        <v>9.3000000000000007</v>
      </c>
      <c r="J153" s="50" t="s">
        <v>227</v>
      </c>
      <c r="K153" s="53"/>
      <c r="L153" s="50" t="s">
        <v>227</v>
      </c>
      <c r="M153" s="57"/>
      <c r="N153" s="55">
        <v>6.5972222222222222E-3</v>
      </c>
      <c r="O153" s="57">
        <v>6.5856481481481469E-3</v>
      </c>
      <c r="P153" s="57"/>
      <c r="Q153" s="59">
        <f t="shared" si="39"/>
        <v>6.5856481481481469E-3</v>
      </c>
      <c r="R153" s="57">
        <v>6.4699074074074069E-3</v>
      </c>
      <c r="S153" s="57"/>
      <c r="T153" s="59">
        <f t="shared" si="40"/>
        <v>6.4699074074074069E-3</v>
      </c>
      <c r="U153" s="57"/>
      <c r="V153" s="57"/>
      <c r="W153" s="59">
        <f t="shared" si="41"/>
        <v>6.4699074074074069E-3</v>
      </c>
      <c r="X153" s="57">
        <v>6.168981481481481E-3</v>
      </c>
      <c r="Y153" s="57"/>
      <c r="Z153" s="59">
        <f t="shared" si="38"/>
        <v>6.168981481481481E-3</v>
      </c>
      <c r="AA153" s="57"/>
      <c r="AB153" s="57"/>
      <c r="AC153" s="59">
        <f t="shared" si="42"/>
        <v>6.168981481481481E-3</v>
      </c>
      <c r="AD153" s="57"/>
      <c r="AE153" s="57"/>
      <c r="AF153" s="59"/>
    </row>
    <row r="154" spans="1:32">
      <c r="A154" s="24"/>
      <c r="B154" s="26" t="s">
        <v>172</v>
      </c>
      <c r="C154" s="26"/>
      <c r="D154" s="50">
        <v>10.35</v>
      </c>
      <c r="E154" s="51"/>
      <c r="F154" s="50">
        <v>10.35</v>
      </c>
      <c r="G154" s="52"/>
      <c r="H154" s="50">
        <v>10.35</v>
      </c>
      <c r="I154" s="53"/>
      <c r="J154" s="50">
        <v>10.35</v>
      </c>
      <c r="K154" s="53"/>
      <c r="L154" s="50">
        <v>10.35</v>
      </c>
      <c r="M154" s="57"/>
      <c r="N154" s="55">
        <v>7.3495370370370372E-3</v>
      </c>
      <c r="O154" s="57"/>
      <c r="P154" s="57"/>
      <c r="Q154" s="59">
        <f t="shared" si="39"/>
        <v>7.3495370370370372E-3</v>
      </c>
      <c r="R154" s="57"/>
      <c r="S154" s="57"/>
      <c r="T154" s="59">
        <f t="shared" si="40"/>
        <v>7.3495370370370372E-3</v>
      </c>
      <c r="U154" s="57"/>
      <c r="V154" s="57"/>
      <c r="W154" s="59">
        <f t="shared" si="41"/>
        <v>7.3495370370370372E-3</v>
      </c>
      <c r="X154" s="57"/>
      <c r="Y154" s="57"/>
      <c r="Z154" s="59">
        <f t="shared" si="38"/>
        <v>7.3495370370370372E-3</v>
      </c>
      <c r="AA154" s="57"/>
      <c r="AB154" s="57"/>
      <c r="AC154" s="59">
        <f t="shared" si="42"/>
        <v>7.3495370370370372E-3</v>
      </c>
      <c r="AD154" s="57"/>
      <c r="AE154" s="57"/>
      <c r="AF154" s="59"/>
    </row>
    <row r="155" spans="1:32">
      <c r="A155" s="24" t="s">
        <v>326</v>
      </c>
      <c r="B155" s="26" t="s">
        <v>545</v>
      </c>
      <c r="C155" s="26"/>
      <c r="D155" s="50"/>
      <c r="E155" s="51"/>
      <c r="F155" s="50"/>
      <c r="G155" s="52"/>
      <c r="H155" s="50"/>
      <c r="I155" s="53"/>
      <c r="J155" s="50"/>
      <c r="K155" s="53"/>
      <c r="L155" s="50"/>
      <c r="M155" s="57"/>
      <c r="N155" s="55" t="s">
        <v>455</v>
      </c>
      <c r="O155" s="57"/>
      <c r="P155" s="57"/>
      <c r="Q155" s="59" t="str">
        <f t="shared" si="39"/>
        <v/>
      </c>
      <c r="R155" s="57"/>
      <c r="S155" s="57"/>
      <c r="T155" s="59" t="str">
        <f t="shared" si="40"/>
        <v/>
      </c>
      <c r="U155" s="57"/>
      <c r="V155" s="57"/>
      <c r="W155" s="59" t="str">
        <f t="shared" si="41"/>
        <v/>
      </c>
      <c r="X155" s="57"/>
      <c r="Y155" s="57"/>
      <c r="Z155" s="59" t="str">
        <f t="shared" si="38"/>
        <v/>
      </c>
      <c r="AA155" s="57"/>
      <c r="AB155" s="57"/>
      <c r="AC155" s="59" t="str">
        <f t="shared" si="42"/>
        <v/>
      </c>
      <c r="AD155" s="57">
        <v>6.3078703703703708E-3</v>
      </c>
      <c r="AE155" s="57"/>
      <c r="AF155" s="59"/>
    </row>
    <row r="156" spans="1:32">
      <c r="A156" s="24"/>
      <c r="B156" s="26" t="s">
        <v>179</v>
      </c>
      <c r="C156" s="26" t="s">
        <v>450</v>
      </c>
      <c r="D156" s="50"/>
      <c r="E156" s="51"/>
      <c r="F156" s="50" t="s">
        <v>455</v>
      </c>
      <c r="G156" s="52"/>
      <c r="H156" s="50"/>
      <c r="I156" s="53"/>
      <c r="J156" s="50" t="s">
        <v>455</v>
      </c>
      <c r="K156" s="53"/>
      <c r="L156" s="50"/>
      <c r="M156" s="57"/>
      <c r="N156" s="55" t="s">
        <v>455</v>
      </c>
      <c r="O156" s="57"/>
      <c r="P156" s="57"/>
      <c r="Q156" s="59" t="str">
        <f t="shared" si="39"/>
        <v/>
      </c>
      <c r="R156" s="57"/>
      <c r="S156" s="57"/>
      <c r="T156" s="59" t="str">
        <f t="shared" si="40"/>
        <v/>
      </c>
      <c r="U156" s="57"/>
      <c r="V156" s="57"/>
      <c r="W156" s="59" t="str">
        <f t="shared" si="41"/>
        <v/>
      </c>
      <c r="X156" s="57"/>
      <c r="Y156" s="57"/>
      <c r="Z156" s="59" t="str">
        <f t="shared" si="38"/>
        <v/>
      </c>
      <c r="AA156" s="57"/>
      <c r="AB156" s="57"/>
      <c r="AC156" s="59" t="str">
        <f t="shared" si="42"/>
        <v/>
      </c>
      <c r="AD156" s="57"/>
      <c r="AE156" s="57"/>
      <c r="AF156" s="59"/>
    </row>
    <row r="157" spans="1:32">
      <c r="A157" s="24"/>
      <c r="B157" s="26" t="s">
        <v>184</v>
      </c>
      <c r="C157" s="26"/>
      <c r="D157" s="50"/>
      <c r="E157" s="51"/>
      <c r="F157" s="50" t="s">
        <v>455</v>
      </c>
      <c r="G157" s="52"/>
      <c r="H157" s="50"/>
      <c r="I157" s="53"/>
      <c r="J157" s="50" t="s">
        <v>455</v>
      </c>
      <c r="K157" s="53"/>
      <c r="L157" s="50"/>
      <c r="M157" s="57"/>
      <c r="N157" s="55" t="s">
        <v>455</v>
      </c>
      <c r="O157" s="57"/>
      <c r="P157" s="57"/>
      <c r="Q157" s="59" t="str">
        <f t="shared" si="39"/>
        <v/>
      </c>
      <c r="R157" s="57"/>
      <c r="S157" s="57"/>
      <c r="T157" s="59" t="str">
        <f t="shared" si="40"/>
        <v/>
      </c>
      <c r="U157" s="57"/>
      <c r="V157" s="57"/>
      <c r="W157" s="59" t="str">
        <f t="shared" si="41"/>
        <v/>
      </c>
      <c r="X157" s="57"/>
      <c r="Y157" s="57"/>
      <c r="Z157" s="59" t="str">
        <f t="shared" si="38"/>
        <v/>
      </c>
      <c r="AA157" s="57"/>
      <c r="AB157" s="57"/>
      <c r="AC157" s="59" t="str">
        <f t="shared" si="42"/>
        <v/>
      </c>
      <c r="AD157" s="57"/>
      <c r="AE157" s="57"/>
      <c r="AF157" s="59"/>
    </row>
    <row r="158" spans="1:32">
      <c r="A158" s="24"/>
      <c r="B158" s="26" t="s">
        <v>253</v>
      </c>
      <c r="C158" s="26" t="s">
        <v>450</v>
      </c>
      <c r="D158" s="50"/>
      <c r="E158" s="51"/>
      <c r="F158" s="50" t="s">
        <v>455</v>
      </c>
      <c r="G158" s="52"/>
      <c r="H158" s="50"/>
      <c r="I158" s="53"/>
      <c r="J158" s="50" t="s">
        <v>455</v>
      </c>
      <c r="K158" s="53"/>
      <c r="L158" s="50"/>
      <c r="M158" s="57"/>
      <c r="N158" s="55" t="s">
        <v>455</v>
      </c>
      <c r="O158" s="57"/>
      <c r="P158" s="57"/>
      <c r="Q158" s="59" t="str">
        <f t="shared" si="39"/>
        <v/>
      </c>
      <c r="R158" s="57"/>
      <c r="S158" s="57"/>
      <c r="T158" s="59" t="str">
        <f t="shared" si="40"/>
        <v/>
      </c>
      <c r="U158" s="57"/>
      <c r="V158" s="57"/>
      <c r="W158" s="59" t="str">
        <f t="shared" si="41"/>
        <v/>
      </c>
      <c r="X158" s="57"/>
      <c r="Y158" s="57"/>
      <c r="Z158" s="59" t="str">
        <f t="shared" si="38"/>
        <v/>
      </c>
      <c r="AA158" s="57"/>
      <c r="AB158" s="57"/>
      <c r="AC158" s="59" t="str">
        <f t="shared" si="42"/>
        <v/>
      </c>
      <c r="AD158" s="57"/>
      <c r="AE158" s="57"/>
      <c r="AF158" s="59"/>
    </row>
    <row r="159" spans="1:32">
      <c r="A159" s="24"/>
      <c r="B159" s="26" t="s">
        <v>635</v>
      </c>
      <c r="C159" s="26"/>
      <c r="D159" s="50"/>
      <c r="E159" s="51"/>
      <c r="F159" s="50"/>
      <c r="G159" s="52"/>
      <c r="H159" s="50"/>
      <c r="I159" s="53"/>
      <c r="J159" s="50"/>
      <c r="K159" s="53"/>
      <c r="L159" s="50"/>
      <c r="M159" s="57"/>
      <c r="N159" s="55"/>
      <c r="O159" s="57"/>
      <c r="P159" s="57"/>
      <c r="Q159" s="59"/>
      <c r="R159" s="57"/>
      <c r="S159" s="57"/>
      <c r="T159" s="59"/>
      <c r="U159" s="57"/>
      <c r="V159" s="57"/>
      <c r="W159" s="59"/>
      <c r="X159" s="57"/>
      <c r="Y159" s="57"/>
      <c r="Z159" s="59" t="str">
        <f t="shared" si="38"/>
        <v/>
      </c>
      <c r="AA159" s="57"/>
      <c r="AB159" s="57"/>
      <c r="AC159" s="59" t="str">
        <f t="shared" si="42"/>
        <v/>
      </c>
      <c r="AD159" s="57"/>
      <c r="AE159" s="57"/>
      <c r="AF159" s="59"/>
    </row>
    <row r="160" spans="1:32">
      <c r="A160" s="24" t="s">
        <v>326</v>
      </c>
      <c r="B160" s="26" t="s">
        <v>190</v>
      </c>
      <c r="C160" s="26" t="s">
        <v>450</v>
      </c>
      <c r="D160" s="50">
        <v>6.58</v>
      </c>
      <c r="E160" s="51" t="s">
        <v>293</v>
      </c>
      <c r="F160" s="50">
        <v>6.58</v>
      </c>
      <c r="G160" s="52"/>
      <c r="H160" s="50">
        <v>6.58</v>
      </c>
      <c r="I160" s="53"/>
      <c r="J160" s="50">
        <v>6.58</v>
      </c>
      <c r="K160" s="53"/>
      <c r="L160" s="50">
        <v>6.58</v>
      </c>
      <c r="M160" s="57"/>
      <c r="N160" s="55">
        <v>4.8379629629629632E-3</v>
      </c>
      <c r="O160" s="57"/>
      <c r="P160" s="57"/>
      <c r="Q160" s="59">
        <f t="shared" ref="Q160:Q167" si="43">IF(MIN(IF(ISBLANK(O160),N160,O160),IF(ISBLANK(N160),O160,N160))=0,"",MIN(IF(ISBLANK(O160),N160,O160),IF(ISBLANK(N160),O160,N160)))</f>
        <v>4.8379629629629632E-3</v>
      </c>
      <c r="R160" s="57"/>
      <c r="S160" s="57"/>
      <c r="T160" s="59">
        <f t="shared" ref="T160:T167" si="44">IF(MIN(IF(ISBLANK(R160),Q160,R160),IF(ISBLANK(Q160),R160,Q160))=0,"",MIN(IF(ISBLANK(R160),Q160,R160),IF(ISBLANK(Q160),R160,Q160)))</f>
        <v>4.8379629629629632E-3</v>
      </c>
      <c r="U160" s="57">
        <v>5.3240740740740748E-3</v>
      </c>
      <c r="V160" s="57"/>
      <c r="W160" s="59">
        <f t="shared" ref="W160:W167" si="45">IF(MIN(IF(ISBLANK(U160),T160,U160),IF(ISBLANK(T160),U160,T160))=0,"",MIN(IF(ISBLANK(U160),T160,U160),IF(ISBLANK(T160),U160,T160)))</f>
        <v>4.8379629629629632E-3</v>
      </c>
      <c r="X160" s="57">
        <v>5.3240740740740748E-3</v>
      </c>
      <c r="Y160" s="57"/>
      <c r="Z160" s="59">
        <f t="shared" si="38"/>
        <v>4.8379629629629632E-3</v>
      </c>
      <c r="AA160" s="57"/>
      <c r="AB160" s="57"/>
      <c r="AC160" s="59">
        <f t="shared" si="42"/>
        <v>4.8379629629629632E-3</v>
      </c>
      <c r="AD160" s="57">
        <v>5.3009259259259251E-3</v>
      </c>
      <c r="AE160" s="57"/>
      <c r="AF160" s="59"/>
    </row>
    <row r="161" spans="1:32">
      <c r="A161" s="24"/>
      <c r="B161" s="26" t="s">
        <v>509</v>
      </c>
      <c r="C161" s="26"/>
      <c r="D161" s="50"/>
      <c r="E161" s="51"/>
      <c r="F161" s="50"/>
      <c r="G161" s="52"/>
      <c r="H161" s="50"/>
      <c r="I161" s="53"/>
      <c r="J161" s="50"/>
      <c r="K161" s="53"/>
      <c r="L161" s="50"/>
      <c r="M161" s="57"/>
      <c r="N161" s="55" t="s">
        <v>455</v>
      </c>
      <c r="O161" s="57"/>
      <c r="P161" s="57"/>
      <c r="Q161" s="59" t="str">
        <f t="shared" si="43"/>
        <v/>
      </c>
      <c r="R161" s="57"/>
      <c r="S161" s="57"/>
      <c r="T161" s="59" t="str">
        <f t="shared" si="44"/>
        <v/>
      </c>
      <c r="U161" s="57"/>
      <c r="V161" s="57"/>
      <c r="W161" s="59" t="str">
        <f t="shared" si="45"/>
        <v/>
      </c>
      <c r="X161" s="57"/>
      <c r="Y161" s="57"/>
      <c r="Z161" s="59" t="str">
        <f t="shared" si="38"/>
        <v/>
      </c>
      <c r="AA161" s="57"/>
      <c r="AB161" s="57"/>
      <c r="AC161" s="59" t="str">
        <f t="shared" si="42"/>
        <v/>
      </c>
      <c r="AD161" s="57"/>
      <c r="AE161" s="57"/>
      <c r="AF161" s="59"/>
    </row>
    <row r="162" spans="1:32">
      <c r="A162" s="24"/>
      <c r="B162" s="26" t="s">
        <v>276</v>
      </c>
      <c r="C162" s="26" t="s">
        <v>450</v>
      </c>
      <c r="D162" s="50"/>
      <c r="E162" s="51"/>
      <c r="F162" s="50" t="s">
        <v>455</v>
      </c>
      <c r="G162" s="52"/>
      <c r="H162" s="50"/>
      <c r="I162" s="53"/>
      <c r="J162" s="50" t="s">
        <v>455</v>
      </c>
      <c r="K162" s="53"/>
      <c r="L162" s="50"/>
      <c r="M162" s="57"/>
      <c r="N162" s="55" t="s">
        <v>455</v>
      </c>
      <c r="O162" s="57"/>
      <c r="P162" s="57"/>
      <c r="Q162" s="59" t="str">
        <f t="shared" si="43"/>
        <v/>
      </c>
      <c r="R162" s="57"/>
      <c r="S162" s="57"/>
      <c r="T162" s="59" t="str">
        <f t="shared" si="44"/>
        <v/>
      </c>
      <c r="U162" s="57"/>
      <c r="V162" s="57"/>
      <c r="W162" s="59" t="str">
        <f t="shared" si="45"/>
        <v/>
      </c>
      <c r="X162" s="57"/>
      <c r="Y162" s="57"/>
      <c r="Z162" s="59" t="str">
        <f t="shared" si="38"/>
        <v/>
      </c>
      <c r="AA162" s="57"/>
      <c r="AB162" s="57"/>
      <c r="AC162" s="59" t="str">
        <f t="shared" si="42"/>
        <v/>
      </c>
      <c r="AD162" s="57"/>
      <c r="AE162" s="57"/>
      <c r="AF162" s="59"/>
    </row>
    <row r="163" spans="1:32">
      <c r="A163" s="24"/>
      <c r="B163" s="26" t="s">
        <v>197</v>
      </c>
      <c r="C163" s="26" t="s">
        <v>450</v>
      </c>
      <c r="D163" s="50">
        <v>8.09</v>
      </c>
      <c r="E163" s="51"/>
      <c r="F163" s="50">
        <v>8.09</v>
      </c>
      <c r="G163" s="52"/>
      <c r="H163" s="50">
        <v>8.09</v>
      </c>
      <c r="I163" s="53"/>
      <c r="J163" s="50">
        <v>8.09</v>
      </c>
      <c r="K163" s="53"/>
      <c r="L163" s="50">
        <v>8.09</v>
      </c>
      <c r="M163" s="57"/>
      <c r="N163" s="55">
        <v>5.6597222222222222E-3</v>
      </c>
      <c r="O163" s="57"/>
      <c r="P163" s="57"/>
      <c r="Q163" s="59">
        <f t="shared" si="43"/>
        <v>5.6597222222222222E-3</v>
      </c>
      <c r="R163" s="57"/>
      <c r="S163" s="57"/>
      <c r="T163" s="59">
        <f t="shared" si="44"/>
        <v>5.6597222222222222E-3</v>
      </c>
      <c r="U163" s="57"/>
      <c r="V163" s="57"/>
      <c r="W163" s="59">
        <f t="shared" si="45"/>
        <v>5.6597222222222222E-3</v>
      </c>
      <c r="X163" s="57"/>
      <c r="Y163" s="57"/>
      <c r="Z163" s="59">
        <f t="shared" si="38"/>
        <v>5.6597222222222222E-3</v>
      </c>
      <c r="AA163" s="57"/>
      <c r="AB163" s="57"/>
      <c r="AC163" s="59">
        <f t="shared" si="42"/>
        <v>5.6597222222222222E-3</v>
      </c>
      <c r="AD163" s="57"/>
      <c r="AE163" s="57"/>
      <c r="AF163" s="59"/>
    </row>
    <row r="164" spans="1:32">
      <c r="A164" s="24"/>
      <c r="B164" s="26" t="s">
        <v>248</v>
      </c>
      <c r="C164" s="26" t="s">
        <v>450</v>
      </c>
      <c r="D164" s="50"/>
      <c r="E164" s="51"/>
      <c r="F164" s="50" t="s">
        <v>455</v>
      </c>
      <c r="G164" s="52"/>
      <c r="H164" s="50"/>
      <c r="I164" s="53"/>
      <c r="J164" s="50" t="s">
        <v>455</v>
      </c>
      <c r="K164" s="53"/>
      <c r="L164" s="50"/>
      <c r="M164" s="57"/>
      <c r="N164" s="55" t="s">
        <v>455</v>
      </c>
      <c r="O164" s="57"/>
      <c r="P164" s="57"/>
      <c r="Q164" s="59" t="str">
        <f t="shared" si="43"/>
        <v/>
      </c>
      <c r="R164" s="57"/>
      <c r="S164" s="57"/>
      <c r="T164" s="59" t="str">
        <f t="shared" si="44"/>
        <v/>
      </c>
      <c r="U164" s="57"/>
      <c r="V164" s="57"/>
      <c r="W164" s="59" t="str">
        <f t="shared" si="45"/>
        <v/>
      </c>
      <c r="X164" s="57"/>
      <c r="Y164" s="57"/>
      <c r="Z164" s="59" t="str">
        <f t="shared" si="38"/>
        <v/>
      </c>
      <c r="AA164" s="57"/>
      <c r="AB164" s="57"/>
      <c r="AC164" s="59" t="str">
        <f t="shared" si="42"/>
        <v/>
      </c>
      <c r="AD164" s="57"/>
      <c r="AE164" s="57"/>
      <c r="AF164" s="59"/>
    </row>
    <row r="165" spans="1:32">
      <c r="A165" s="24"/>
      <c r="B165" s="26" t="s">
        <v>248</v>
      </c>
      <c r="C165" s="26" t="s">
        <v>450</v>
      </c>
      <c r="D165" s="50"/>
      <c r="E165" s="51"/>
      <c r="F165" s="50"/>
      <c r="G165" s="52"/>
      <c r="H165" s="50"/>
      <c r="I165" s="53"/>
      <c r="J165" s="50"/>
      <c r="K165" s="53"/>
      <c r="L165" s="50"/>
      <c r="M165" s="57">
        <v>5.6944444444444438E-3</v>
      </c>
      <c r="N165" s="55">
        <v>5.6944444444444438E-3</v>
      </c>
      <c r="O165" s="57"/>
      <c r="P165" s="57"/>
      <c r="Q165" s="59">
        <f t="shared" si="43"/>
        <v>5.6944444444444438E-3</v>
      </c>
      <c r="R165" s="57"/>
      <c r="S165" s="57"/>
      <c r="T165" s="59">
        <f t="shared" si="44"/>
        <v>5.6944444444444438E-3</v>
      </c>
      <c r="U165" s="57"/>
      <c r="V165" s="57"/>
      <c r="W165" s="59">
        <f t="shared" si="45"/>
        <v>5.6944444444444438E-3</v>
      </c>
      <c r="X165" s="57"/>
      <c r="Y165" s="57"/>
      <c r="Z165" s="59">
        <f t="shared" ref="Z165:Z184" si="46">IF(MIN(IF(ISBLANK(X165),W165,X165),IF(ISBLANK(W165),X165,W165))=0,"",MIN(IF(ISBLANK(X165),W165,X165),IF(ISBLANK(W165),X165,W165)))</f>
        <v>5.6944444444444438E-3</v>
      </c>
      <c r="AA165" s="57"/>
      <c r="AB165" s="57"/>
      <c r="AC165" s="59">
        <f t="shared" si="42"/>
        <v>5.6944444444444438E-3</v>
      </c>
      <c r="AD165" s="57"/>
      <c r="AE165" s="57"/>
      <c r="AF165" s="59"/>
    </row>
    <row r="166" spans="1:32">
      <c r="A166" s="24"/>
      <c r="B166" s="26" t="s">
        <v>202</v>
      </c>
      <c r="C166" s="26" t="s">
        <v>451</v>
      </c>
      <c r="D166" s="50">
        <v>8.43</v>
      </c>
      <c r="E166" s="51" t="s">
        <v>295</v>
      </c>
      <c r="F166" s="50">
        <v>8.32</v>
      </c>
      <c r="G166" s="52"/>
      <c r="H166" s="50">
        <v>8.32</v>
      </c>
      <c r="I166" s="53">
        <v>8.0399999999999991</v>
      </c>
      <c r="J166" s="50">
        <v>8.0399999999999991</v>
      </c>
      <c r="K166" s="53"/>
      <c r="L166" s="50">
        <v>8.0399999999999991</v>
      </c>
      <c r="M166" s="57"/>
      <c r="N166" s="55">
        <v>5.6018518518518518E-3</v>
      </c>
      <c r="O166" s="57"/>
      <c r="P166" s="57"/>
      <c r="Q166" s="59">
        <f t="shared" si="43"/>
        <v>5.6018518518518518E-3</v>
      </c>
      <c r="R166" s="57"/>
      <c r="S166" s="57"/>
      <c r="T166" s="59">
        <f t="shared" si="44"/>
        <v>5.6018518518518518E-3</v>
      </c>
      <c r="U166" s="57"/>
      <c r="V166" s="57"/>
      <c r="W166" s="59">
        <f t="shared" si="45"/>
        <v>5.6018518518518518E-3</v>
      </c>
      <c r="X166" s="57"/>
      <c r="Y166" s="57"/>
      <c r="Z166" s="59">
        <f t="shared" si="46"/>
        <v>5.6018518518518518E-3</v>
      </c>
      <c r="AA166" s="57"/>
      <c r="AB166" s="57"/>
      <c r="AC166" s="59">
        <f t="shared" si="42"/>
        <v>5.6018518518518518E-3</v>
      </c>
      <c r="AD166" s="57"/>
      <c r="AE166" s="57"/>
      <c r="AF166" s="59"/>
    </row>
    <row r="167" spans="1:32">
      <c r="A167" s="24"/>
      <c r="B167" s="26" t="s">
        <v>392</v>
      </c>
      <c r="C167" s="26" t="s">
        <v>451</v>
      </c>
      <c r="D167" s="50"/>
      <c r="E167" s="51"/>
      <c r="F167" s="50"/>
      <c r="G167" s="52"/>
      <c r="H167" s="50"/>
      <c r="I167" s="53"/>
      <c r="J167" s="50" t="s">
        <v>455</v>
      </c>
      <c r="K167" s="53"/>
      <c r="L167" s="50"/>
      <c r="M167" s="57"/>
      <c r="N167" s="55" t="s">
        <v>455</v>
      </c>
      <c r="O167" s="57"/>
      <c r="P167" s="57"/>
      <c r="Q167" s="59" t="str">
        <f t="shared" si="43"/>
        <v/>
      </c>
      <c r="R167" s="57"/>
      <c r="S167" s="57"/>
      <c r="T167" s="59" t="str">
        <f t="shared" si="44"/>
        <v/>
      </c>
      <c r="U167" s="57"/>
      <c r="V167" s="57"/>
      <c r="W167" s="59" t="str">
        <f t="shared" si="45"/>
        <v/>
      </c>
      <c r="X167" s="57"/>
      <c r="Y167" s="57"/>
      <c r="Z167" s="59" t="str">
        <f t="shared" si="46"/>
        <v/>
      </c>
      <c r="AA167" s="57"/>
      <c r="AB167" s="57"/>
      <c r="AC167" s="59" t="str">
        <f t="shared" si="42"/>
        <v/>
      </c>
      <c r="AD167" s="57"/>
      <c r="AE167" s="57"/>
      <c r="AF167" s="59"/>
    </row>
    <row r="168" spans="1:32">
      <c r="A168" s="24" t="s">
        <v>326</v>
      </c>
      <c r="B168" s="26" t="s">
        <v>636</v>
      </c>
      <c r="C168" s="26"/>
      <c r="D168" s="50"/>
      <c r="E168" s="51"/>
      <c r="F168" s="50"/>
      <c r="G168" s="52"/>
      <c r="H168" s="50"/>
      <c r="I168" s="53"/>
      <c r="J168" s="50"/>
      <c r="K168" s="53"/>
      <c r="L168" s="50"/>
      <c r="M168" s="57"/>
      <c r="N168" s="55"/>
      <c r="O168" s="57"/>
      <c r="P168" s="57"/>
      <c r="Q168" s="59"/>
      <c r="R168" s="57"/>
      <c r="S168" s="57"/>
      <c r="T168" s="59"/>
      <c r="U168" s="57"/>
      <c r="V168" s="57"/>
      <c r="W168" s="59"/>
      <c r="X168" s="57">
        <v>6.2037037037037043E-3</v>
      </c>
      <c r="Y168" s="57"/>
      <c r="Z168" s="59">
        <f t="shared" si="46"/>
        <v>6.2037037037037043E-3</v>
      </c>
      <c r="AA168" s="57">
        <v>6.2731481481481484E-3</v>
      </c>
      <c r="AB168" s="57"/>
      <c r="AC168" s="59">
        <f t="shared" si="42"/>
        <v>6.2037037037037043E-3</v>
      </c>
      <c r="AD168" s="57">
        <v>6.3425925925925915E-3</v>
      </c>
      <c r="AE168" s="57"/>
      <c r="AF168" s="59"/>
    </row>
    <row r="169" spans="1:32">
      <c r="A169" s="24"/>
      <c r="B169" s="26" t="s">
        <v>440</v>
      </c>
      <c r="C169" s="26" t="s">
        <v>451</v>
      </c>
      <c r="D169" s="50"/>
      <c r="E169" s="51"/>
      <c r="F169" s="50"/>
      <c r="G169" s="52"/>
      <c r="H169" s="50"/>
      <c r="I169" s="53">
        <v>9.5299999999999994</v>
      </c>
      <c r="J169" s="50">
        <v>9.5299999999999994</v>
      </c>
      <c r="K169" s="53">
        <v>9.1999999999999993</v>
      </c>
      <c r="L169" s="50" t="s">
        <v>498</v>
      </c>
      <c r="M169" s="57"/>
      <c r="N169" s="55">
        <v>6.4814814814814813E-3</v>
      </c>
      <c r="O169" s="57"/>
      <c r="P169" s="57"/>
      <c r="Q169" s="59">
        <f>IF(MIN(IF(ISBLANK(O169),N169,O169),IF(ISBLANK(N169),O169,N169))=0,"",MIN(IF(ISBLANK(O169),N169,O169),IF(ISBLANK(N169),O169,N169)))</f>
        <v>6.4814814814814813E-3</v>
      </c>
      <c r="R169" s="57"/>
      <c r="S169" s="57"/>
      <c r="T169" s="59">
        <f>IF(MIN(IF(ISBLANK(R169),Q169,R169),IF(ISBLANK(Q169),R169,Q169))=0,"",MIN(IF(ISBLANK(R169),Q169,R169),IF(ISBLANK(Q169),R169,Q169)))</f>
        <v>6.4814814814814813E-3</v>
      </c>
      <c r="U169" s="57"/>
      <c r="V169" s="57"/>
      <c r="W169" s="59">
        <f>IF(MIN(IF(ISBLANK(U169),T169,U169),IF(ISBLANK(T169),U169,T169))=0,"",MIN(IF(ISBLANK(U169),T169,U169),IF(ISBLANK(T169),U169,T169)))</f>
        <v>6.4814814814814813E-3</v>
      </c>
      <c r="X169" s="57"/>
      <c r="Y169" s="57"/>
      <c r="Z169" s="59">
        <f t="shared" si="46"/>
        <v>6.4814814814814813E-3</v>
      </c>
      <c r="AA169" s="57"/>
      <c r="AB169" s="57"/>
      <c r="AC169" s="59">
        <f t="shared" si="42"/>
        <v>6.4814814814814813E-3</v>
      </c>
      <c r="AD169" s="57"/>
      <c r="AE169" s="57"/>
      <c r="AF169" s="59"/>
    </row>
    <row r="170" spans="1:32">
      <c r="A170" s="24" t="s">
        <v>326</v>
      </c>
      <c r="B170" s="26" t="s">
        <v>637</v>
      </c>
      <c r="C170" s="26"/>
      <c r="D170" s="50"/>
      <c r="E170" s="51"/>
      <c r="F170" s="50"/>
      <c r="G170" s="52"/>
      <c r="H170" s="50"/>
      <c r="I170" s="53"/>
      <c r="J170" s="50"/>
      <c r="K170" s="53"/>
      <c r="L170" s="50"/>
      <c r="M170" s="57"/>
      <c r="N170" s="55"/>
      <c r="O170" s="57"/>
      <c r="P170" s="57"/>
      <c r="Q170" s="59"/>
      <c r="R170" s="57"/>
      <c r="S170" s="57"/>
      <c r="T170" s="59"/>
      <c r="U170" s="57"/>
      <c r="V170" s="57"/>
      <c r="W170" s="59"/>
      <c r="X170" s="57">
        <v>6.1921296296296299E-3</v>
      </c>
      <c r="Y170" s="57"/>
      <c r="Z170" s="59">
        <f t="shared" si="46"/>
        <v>6.1921296296296299E-3</v>
      </c>
      <c r="AA170" s="57"/>
      <c r="AB170" s="57"/>
      <c r="AC170" s="59">
        <f t="shared" si="42"/>
        <v>6.1921296296296299E-3</v>
      </c>
      <c r="AD170" s="57"/>
      <c r="AE170" s="57"/>
      <c r="AF170" s="59"/>
    </row>
    <row r="171" spans="1:32">
      <c r="A171" s="24"/>
      <c r="B171" s="26" t="s">
        <v>213</v>
      </c>
      <c r="C171" s="26" t="s">
        <v>451</v>
      </c>
      <c r="D171" s="50">
        <v>12.02</v>
      </c>
      <c r="E171" s="51"/>
      <c r="F171" s="50">
        <v>12.02</v>
      </c>
      <c r="G171" s="52"/>
      <c r="H171" s="50">
        <v>12.02</v>
      </c>
      <c r="I171" s="53"/>
      <c r="J171" s="50">
        <v>12.02</v>
      </c>
      <c r="K171" s="53"/>
      <c r="L171" s="50">
        <v>12.02</v>
      </c>
      <c r="M171" s="57"/>
      <c r="N171" s="55">
        <v>8.3564814814814804E-3</v>
      </c>
      <c r="O171" s="57"/>
      <c r="P171" s="57"/>
      <c r="Q171" s="59">
        <f t="shared" ref="Q171:Q177" si="47">IF(MIN(IF(ISBLANK(O171),N171,O171),IF(ISBLANK(N171),O171,N171))=0,"",MIN(IF(ISBLANK(O171),N171,O171),IF(ISBLANK(N171),O171,N171)))</f>
        <v>8.3564814814814804E-3</v>
      </c>
      <c r="R171" s="57"/>
      <c r="S171" s="57"/>
      <c r="T171" s="59">
        <f t="shared" ref="T171:T177" si="48">IF(MIN(IF(ISBLANK(R171),Q171,R171),IF(ISBLANK(Q171),R171,Q171))=0,"",MIN(IF(ISBLANK(R171),Q171,R171),IF(ISBLANK(Q171),R171,Q171)))</f>
        <v>8.3564814814814804E-3</v>
      </c>
      <c r="U171" s="57"/>
      <c r="V171" s="57"/>
      <c r="W171" s="59">
        <f t="shared" ref="W171:W177" si="49">IF(MIN(IF(ISBLANK(U171),T171,U171),IF(ISBLANK(T171),U171,T171))=0,"",MIN(IF(ISBLANK(U171),T171,U171),IF(ISBLANK(T171),U171,T171)))</f>
        <v>8.3564814814814804E-3</v>
      </c>
      <c r="X171" s="57"/>
      <c r="Y171" s="57"/>
      <c r="Z171" s="59">
        <f t="shared" si="46"/>
        <v>8.3564814814814804E-3</v>
      </c>
      <c r="AA171" s="57"/>
      <c r="AB171" s="57"/>
      <c r="AC171" s="59">
        <f t="shared" si="42"/>
        <v>8.3564814814814804E-3</v>
      </c>
      <c r="AD171" s="57"/>
      <c r="AE171" s="57"/>
      <c r="AF171" s="59"/>
    </row>
    <row r="172" spans="1:32">
      <c r="A172" s="24"/>
      <c r="B172" s="26" t="s">
        <v>393</v>
      </c>
      <c r="C172" s="26" t="s">
        <v>450</v>
      </c>
      <c r="D172" s="50"/>
      <c r="E172" s="51"/>
      <c r="F172" s="50"/>
      <c r="G172" s="52"/>
      <c r="H172" s="50"/>
      <c r="I172" s="53"/>
      <c r="J172" s="50" t="s">
        <v>455</v>
      </c>
      <c r="K172" s="53"/>
      <c r="L172" s="50"/>
      <c r="M172" s="57"/>
      <c r="N172" s="55" t="s">
        <v>455</v>
      </c>
      <c r="O172" s="57"/>
      <c r="P172" s="57"/>
      <c r="Q172" s="59" t="str">
        <f t="shared" si="47"/>
        <v/>
      </c>
      <c r="R172" s="57"/>
      <c r="S172" s="57"/>
      <c r="T172" s="59" t="str">
        <f t="shared" si="48"/>
        <v/>
      </c>
      <c r="U172" s="57"/>
      <c r="V172" s="57"/>
      <c r="W172" s="59" t="str">
        <f t="shared" si="49"/>
        <v/>
      </c>
      <c r="X172" s="57"/>
      <c r="Y172" s="57"/>
      <c r="Z172" s="59" t="str">
        <f t="shared" si="46"/>
        <v/>
      </c>
      <c r="AA172" s="57"/>
      <c r="AB172" s="57"/>
      <c r="AC172" s="59" t="str">
        <f t="shared" si="42"/>
        <v/>
      </c>
      <c r="AD172" s="57"/>
      <c r="AE172" s="57"/>
      <c r="AF172" s="59"/>
    </row>
    <row r="173" spans="1:32">
      <c r="A173" s="24"/>
      <c r="B173" s="26" t="s">
        <v>525</v>
      </c>
      <c r="C173" s="26"/>
      <c r="D173" s="50"/>
      <c r="E173" s="51"/>
      <c r="F173" s="50"/>
      <c r="G173" s="52"/>
      <c r="H173" s="50"/>
      <c r="I173" s="53"/>
      <c r="J173" s="50"/>
      <c r="K173" s="53"/>
      <c r="L173" s="50"/>
      <c r="M173" s="57">
        <v>5.8912037037037032E-3</v>
      </c>
      <c r="N173" s="55">
        <v>5.8912037037037032E-3</v>
      </c>
      <c r="O173" s="57">
        <v>5.5555555555555558E-3</v>
      </c>
      <c r="P173" s="57"/>
      <c r="Q173" s="59">
        <f t="shared" si="47"/>
        <v>5.5555555555555558E-3</v>
      </c>
      <c r="R173" s="57"/>
      <c r="S173" s="57"/>
      <c r="T173" s="59">
        <f t="shared" si="48"/>
        <v>5.5555555555555558E-3</v>
      </c>
      <c r="U173" s="57"/>
      <c r="V173" s="57"/>
      <c r="W173" s="59">
        <f t="shared" si="49"/>
        <v>5.5555555555555558E-3</v>
      </c>
      <c r="X173" s="57"/>
      <c r="Y173" s="57"/>
      <c r="Z173" s="59">
        <f t="shared" si="46"/>
        <v>5.5555555555555558E-3</v>
      </c>
      <c r="AA173" s="57"/>
      <c r="AB173" s="57"/>
      <c r="AC173" s="59">
        <f t="shared" si="42"/>
        <v>5.5555555555555558E-3</v>
      </c>
      <c r="AD173" s="57"/>
      <c r="AE173" s="57"/>
      <c r="AF173" s="59"/>
    </row>
    <row r="174" spans="1:32">
      <c r="A174" s="24" t="s">
        <v>326</v>
      </c>
      <c r="B174" s="26" t="s">
        <v>394</v>
      </c>
      <c r="C174" s="26" t="s">
        <v>451</v>
      </c>
      <c r="D174" s="50"/>
      <c r="E174" s="51"/>
      <c r="F174" s="50"/>
      <c r="G174" s="52"/>
      <c r="H174" s="50"/>
      <c r="I174" s="53">
        <v>6.51</v>
      </c>
      <c r="J174" s="50">
        <v>6.51</v>
      </c>
      <c r="K174" s="53"/>
      <c r="L174" s="50">
        <v>6.51</v>
      </c>
      <c r="M174" s="57"/>
      <c r="N174" s="55">
        <v>4.7569444444444447E-3</v>
      </c>
      <c r="O174" s="57"/>
      <c r="P174" s="57"/>
      <c r="Q174" s="59">
        <f t="shared" si="47"/>
        <v>4.7569444444444447E-3</v>
      </c>
      <c r="R174" s="57">
        <v>4.9074074074074072E-3</v>
      </c>
      <c r="S174" s="57"/>
      <c r="T174" s="59">
        <f t="shared" si="48"/>
        <v>4.7569444444444447E-3</v>
      </c>
      <c r="U174" s="57"/>
      <c r="V174" s="57"/>
      <c r="W174" s="59">
        <f t="shared" si="49"/>
        <v>4.7569444444444447E-3</v>
      </c>
      <c r="X174" s="57"/>
      <c r="Y174" s="57"/>
      <c r="Z174" s="59">
        <f t="shared" si="46"/>
        <v>4.7569444444444447E-3</v>
      </c>
      <c r="AA174" s="57"/>
      <c r="AB174" s="57"/>
      <c r="AC174" s="59">
        <f t="shared" si="42"/>
        <v>4.7569444444444447E-3</v>
      </c>
      <c r="AD174" s="57">
        <v>4.7685185185185183E-3</v>
      </c>
      <c r="AE174" s="57"/>
      <c r="AF174" s="59"/>
    </row>
    <row r="175" spans="1:32">
      <c r="A175" s="24"/>
      <c r="B175" s="26" t="s">
        <v>216</v>
      </c>
      <c r="C175" s="26" t="s">
        <v>451</v>
      </c>
      <c r="D175" s="50"/>
      <c r="E175" s="51"/>
      <c r="F175" s="50" t="s">
        <v>455</v>
      </c>
      <c r="G175" s="52"/>
      <c r="H175" s="50"/>
      <c r="I175" s="53"/>
      <c r="J175" s="50" t="s">
        <v>455</v>
      </c>
      <c r="K175" s="53">
        <v>7.38</v>
      </c>
      <c r="L175" s="50">
        <v>7.38</v>
      </c>
      <c r="M175" s="57"/>
      <c r="N175" s="55">
        <v>5.3009259259259251E-3</v>
      </c>
      <c r="O175" s="57"/>
      <c r="P175" s="57"/>
      <c r="Q175" s="59">
        <f t="shared" si="47"/>
        <v>5.3009259259259251E-3</v>
      </c>
      <c r="R175" s="57"/>
      <c r="S175" s="57"/>
      <c r="T175" s="59">
        <f t="shared" si="48"/>
        <v>5.3009259259259251E-3</v>
      </c>
      <c r="U175" s="57"/>
      <c r="V175" s="57"/>
      <c r="W175" s="59">
        <f t="shared" si="49"/>
        <v>5.3009259259259251E-3</v>
      </c>
      <c r="X175" s="57"/>
      <c r="Y175" s="57"/>
      <c r="Z175" s="59">
        <f t="shared" si="46"/>
        <v>5.3009259259259251E-3</v>
      </c>
      <c r="AA175" s="57"/>
      <c r="AB175" s="57"/>
      <c r="AC175" s="59">
        <f t="shared" si="42"/>
        <v>5.3009259259259251E-3</v>
      </c>
      <c r="AD175" s="57"/>
      <c r="AE175" s="57"/>
      <c r="AF175" s="59"/>
    </row>
    <row r="176" spans="1:32">
      <c r="A176" s="24"/>
      <c r="B176" s="26" t="s">
        <v>3</v>
      </c>
      <c r="C176" s="26" t="s">
        <v>451</v>
      </c>
      <c r="D176" s="50">
        <v>9.25</v>
      </c>
      <c r="E176" s="51"/>
      <c r="F176" s="50">
        <v>9.25</v>
      </c>
      <c r="G176" s="52"/>
      <c r="H176" s="50">
        <v>9.25</v>
      </c>
      <c r="I176" s="53"/>
      <c r="J176" s="50">
        <v>9.25</v>
      </c>
      <c r="K176" s="53"/>
      <c r="L176" s="50">
        <v>9.25</v>
      </c>
      <c r="M176" s="57"/>
      <c r="N176" s="55">
        <v>6.5393518518518517E-3</v>
      </c>
      <c r="O176" s="57"/>
      <c r="P176" s="57"/>
      <c r="Q176" s="59">
        <f t="shared" si="47"/>
        <v>6.5393518518518517E-3</v>
      </c>
      <c r="R176" s="57"/>
      <c r="S176" s="57"/>
      <c r="T176" s="59">
        <f t="shared" si="48"/>
        <v>6.5393518518518517E-3</v>
      </c>
      <c r="U176" s="57"/>
      <c r="V176" s="57"/>
      <c r="W176" s="59">
        <f t="shared" si="49"/>
        <v>6.5393518518518517E-3</v>
      </c>
      <c r="X176" s="57"/>
      <c r="Y176" s="57"/>
      <c r="Z176" s="59">
        <f t="shared" si="46"/>
        <v>6.5393518518518517E-3</v>
      </c>
      <c r="AA176" s="57"/>
      <c r="AB176" s="57"/>
      <c r="AC176" s="59">
        <f t="shared" si="42"/>
        <v>6.5393518518518517E-3</v>
      </c>
      <c r="AD176" s="57"/>
      <c r="AE176" s="57"/>
      <c r="AF176" s="59"/>
    </row>
    <row r="177" spans="1:32">
      <c r="A177" s="24"/>
      <c r="B177" s="26" t="s">
        <v>438</v>
      </c>
      <c r="C177" s="26" t="s">
        <v>451</v>
      </c>
      <c r="D177" s="50"/>
      <c r="E177" s="51"/>
      <c r="F177" s="50"/>
      <c r="G177" s="52"/>
      <c r="H177" s="50"/>
      <c r="I177" s="53"/>
      <c r="J177" s="50" t="s">
        <v>455</v>
      </c>
      <c r="K177" s="53">
        <v>8.25</v>
      </c>
      <c r="L177" s="50">
        <v>8.25</v>
      </c>
      <c r="M177" s="57">
        <v>6.076388888888889E-3</v>
      </c>
      <c r="N177" s="55">
        <v>5.8449074074074072E-3</v>
      </c>
      <c r="O177" s="57"/>
      <c r="P177" s="57"/>
      <c r="Q177" s="59">
        <f t="shared" si="47"/>
        <v>5.8449074074074072E-3</v>
      </c>
      <c r="R177" s="57"/>
      <c r="S177" s="57"/>
      <c r="T177" s="59">
        <f t="shared" si="48"/>
        <v>5.8449074074074072E-3</v>
      </c>
      <c r="U177" s="57"/>
      <c r="V177" s="57"/>
      <c r="W177" s="59">
        <f t="shared" si="49"/>
        <v>5.8449074074074072E-3</v>
      </c>
      <c r="X177" s="57"/>
      <c r="Y177" s="57"/>
      <c r="Z177" s="59">
        <f t="shared" si="46"/>
        <v>5.8449074074074072E-3</v>
      </c>
      <c r="AA177" s="57"/>
      <c r="AB177" s="57"/>
      <c r="AC177" s="59">
        <f t="shared" ref="AC177:AC184" si="50">IF(MIN(IF(ISBLANK(Z177),AA177,Z177),IF(ISBLANK(AA177),Z177,AA177))=0,"",MIN(IF(ISBLANK(Z177),AA177,Z177),IF(ISBLANK(AA177),Z177,AA177)))</f>
        <v>5.8449074074074072E-3</v>
      </c>
      <c r="AD177" s="57"/>
      <c r="AE177" s="57"/>
      <c r="AF177" s="59"/>
    </row>
    <row r="178" spans="1:32">
      <c r="A178" s="24" t="s">
        <v>326</v>
      </c>
      <c r="B178" s="26" t="s">
        <v>638</v>
      </c>
      <c r="C178" s="26"/>
      <c r="D178" s="50"/>
      <c r="E178" s="51"/>
      <c r="F178" s="50"/>
      <c r="G178" s="52"/>
      <c r="H178" s="50"/>
      <c r="I178" s="53"/>
      <c r="J178" s="50"/>
      <c r="K178" s="53"/>
      <c r="L178" s="50"/>
      <c r="M178" s="57"/>
      <c r="N178" s="55"/>
      <c r="O178" s="57"/>
      <c r="P178" s="57"/>
      <c r="Q178" s="59"/>
      <c r="R178" s="57"/>
      <c r="S178" s="57"/>
      <c r="T178" s="59"/>
      <c r="U178" s="57"/>
      <c r="V178" s="57"/>
      <c r="W178" s="59"/>
      <c r="X178" s="57">
        <v>5.8333333333333336E-3</v>
      </c>
      <c r="Y178" s="57"/>
      <c r="Z178" s="59">
        <f t="shared" si="46"/>
        <v>5.8333333333333336E-3</v>
      </c>
      <c r="AA178" s="57"/>
      <c r="AB178" s="57"/>
      <c r="AC178" s="59">
        <f t="shared" si="50"/>
        <v>5.8333333333333336E-3</v>
      </c>
      <c r="AD178" s="57"/>
      <c r="AE178" s="57"/>
      <c r="AF178" s="59"/>
    </row>
    <row r="179" spans="1:32">
      <c r="A179" s="24"/>
      <c r="B179" s="26" t="s">
        <v>8</v>
      </c>
      <c r="C179" s="26" t="s">
        <v>451</v>
      </c>
      <c r="D179" s="50"/>
      <c r="E179" s="51"/>
      <c r="F179" s="50" t="s">
        <v>455</v>
      </c>
      <c r="G179" s="52"/>
      <c r="H179" s="50"/>
      <c r="I179" s="53"/>
      <c r="J179" s="50" t="s">
        <v>455</v>
      </c>
      <c r="K179" s="53"/>
      <c r="L179" s="50"/>
      <c r="M179" s="57"/>
      <c r="N179" s="55" t="s">
        <v>455</v>
      </c>
      <c r="O179" s="57"/>
      <c r="P179" s="57"/>
      <c r="Q179" s="59" t="str">
        <f>IF(MIN(IF(ISBLANK(O179),N179,O179),IF(ISBLANK(N179),O179,N179))=0,"",MIN(IF(ISBLANK(O179),N179,O179),IF(ISBLANK(N179),O179,N179)))</f>
        <v/>
      </c>
      <c r="R179" s="57"/>
      <c r="S179" s="57"/>
      <c r="T179" s="59" t="str">
        <f>IF(MIN(IF(ISBLANK(R179),Q179,R179),IF(ISBLANK(Q179),R179,Q179))=0,"",MIN(IF(ISBLANK(R179),Q179,R179),IF(ISBLANK(Q179),R179,Q179)))</f>
        <v/>
      </c>
      <c r="U179" s="57"/>
      <c r="V179" s="57"/>
      <c r="W179" s="59" t="str">
        <f>IF(MIN(IF(ISBLANK(U179),T179,U179),IF(ISBLANK(T179),U179,T179))=0,"",MIN(IF(ISBLANK(U179),T179,U179),IF(ISBLANK(T179),U179,T179)))</f>
        <v/>
      </c>
      <c r="X179" s="57"/>
      <c r="Y179" s="57"/>
      <c r="Z179" s="59" t="str">
        <f t="shared" si="46"/>
        <v/>
      </c>
      <c r="AA179" s="57"/>
      <c r="AB179" s="57"/>
      <c r="AC179" s="59" t="str">
        <f t="shared" si="50"/>
        <v/>
      </c>
      <c r="AD179" s="57"/>
      <c r="AE179" s="57"/>
      <c r="AF179" s="59"/>
    </row>
    <row r="180" spans="1:32">
      <c r="A180" s="24"/>
      <c r="B180" s="26" t="s">
        <v>639</v>
      </c>
      <c r="C180" s="26"/>
      <c r="D180" s="50"/>
      <c r="E180" s="51"/>
      <c r="F180" s="50"/>
      <c r="G180" s="52"/>
      <c r="H180" s="50"/>
      <c r="I180" s="53"/>
      <c r="J180" s="50"/>
      <c r="K180" s="53"/>
      <c r="L180" s="50"/>
      <c r="M180" s="57"/>
      <c r="N180" s="55"/>
      <c r="O180" s="57"/>
      <c r="P180" s="57"/>
      <c r="Q180" s="59"/>
      <c r="R180" s="57"/>
      <c r="S180" s="57"/>
      <c r="T180" s="59"/>
      <c r="U180" s="57"/>
      <c r="V180" s="57"/>
      <c r="W180" s="59"/>
      <c r="X180" s="57">
        <v>5.5324074074074069E-3</v>
      </c>
      <c r="Y180" s="57"/>
      <c r="Z180" s="59">
        <f t="shared" si="46"/>
        <v>5.5324074074074069E-3</v>
      </c>
      <c r="AA180" s="57"/>
      <c r="AB180" s="57"/>
      <c r="AC180" s="59">
        <f t="shared" si="50"/>
        <v>5.5324074074074069E-3</v>
      </c>
      <c r="AD180" s="57"/>
      <c r="AE180" s="57"/>
      <c r="AF180" s="59"/>
    </row>
    <row r="181" spans="1:32">
      <c r="A181" s="24"/>
      <c r="B181" s="26" t="s">
        <v>396</v>
      </c>
      <c r="C181" s="26" t="s">
        <v>451</v>
      </c>
      <c r="D181" s="50"/>
      <c r="E181" s="51"/>
      <c r="F181" s="50"/>
      <c r="G181" s="52"/>
      <c r="H181" s="50"/>
      <c r="I181" s="53">
        <v>8.32</v>
      </c>
      <c r="J181" s="50">
        <v>8.32</v>
      </c>
      <c r="K181" s="53"/>
      <c r="L181" s="50">
        <v>8.32</v>
      </c>
      <c r="M181" s="57"/>
      <c r="N181" s="55">
        <v>5.9259259259259256E-3</v>
      </c>
      <c r="O181" s="57"/>
      <c r="P181" s="57"/>
      <c r="Q181" s="59">
        <f>IF(MIN(IF(ISBLANK(O181),N181,O181),IF(ISBLANK(N181),O181,N181))=0,"",MIN(IF(ISBLANK(O181),N181,O181),IF(ISBLANK(N181),O181,N181)))</f>
        <v>5.9259259259259256E-3</v>
      </c>
      <c r="R181" s="57"/>
      <c r="S181" s="57"/>
      <c r="T181" s="59">
        <f>IF(MIN(IF(ISBLANK(R181),Q181,R181),IF(ISBLANK(Q181),R181,Q181))=0,"",MIN(IF(ISBLANK(R181),Q181,R181),IF(ISBLANK(Q181),R181,Q181)))</f>
        <v>5.9259259259259256E-3</v>
      </c>
      <c r="U181" s="57"/>
      <c r="V181" s="57"/>
      <c r="W181" s="59">
        <f>IF(MIN(IF(ISBLANK(U181),T181,U181),IF(ISBLANK(T181),U181,T181))=0,"",MIN(IF(ISBLANK(U181),T181,U181),IF(ISBLANK(T181),U181,T181)))</f>
        <v>5.9259259259259256E-3</v>
      </c>
      <c r="X181" s="57"/>
      <c r="Y181" s="57"/>
      <c r="Z181" s="59">
        <f t="shared" si="46"/>
        <v>5.9259259259259256E-3</v>
      </c>
      <c r="AA181" s="57"/>
      <c r="AB181" s="57"/>
      <c r="AC181" s="59">
        <f t="shared" si="50"/>
        <v>5.9259259259259256E-3</v>
      </c>
      <c r="AD181" s="57"/>
      <c r="AE181" s="57"/>
      <c r="AF181" s="59"/>
    </row>
    <row r="182" spans="1:32">
      <c r="A182" s="24"/>
      <c r="B182" s="26" t="s">
        <v>478</v>
      </c>
      <c r="C182" s="26" t="s">
        <v>451</v>
      </c>
      <c r="D182" s="50"/>
      <c r="E182" s="51"/>
      <c r="F182" s="50"/>
      <c r="G182" s="52"/>
      <c r="H182" s="50"/>
      <c r="I182" s="53"/>
      <c r="J182" s="50"/>
      <c r="K182" s="53"/>
      <c r="L182" s="50"/>
      <c r="M182" s="57"/>
      <c r="N182" s="55"/>
      <c r="O182" s="57"/>
      <c r="P182" s="57"/>
      <c r="Q182" s="59" t="str">
        <f>IF(MIN(IF(ISBLANK(O182),N182,O182),IF(ISBLANK(N182),O182,N182))=0,"",MIN(IF(ISBLANK(O182),N182,O182),IF(ISBLANK(N182),O182,N182)))</f>
        <v/>
      </c>
      <c r="R182" s="57"/>
      <c r="S182" s="57"/>
      <c r="T182" s="59" t="str">
        <f>IF(MIN(IF(ISBLANK(R182),Q182,R182),IF(ISBLANK(Q182),R182,Q182))=0,"",MIN(IF(ISBLANK(R182),Q182,R182),IF(ISBLANK(Q182),R182,Q182)))</f>
        <v/>
      </c>
      <c r="U182" s="57"/>
      <c r="V182" s="57"/>
      <c r="W182" s="59" t="str">
        <f>IF(MIN(IF(ISBLANK(U182),T182,U182),IF(ISBLANK(T182),U182,T182))=0,"",MIN(IF(ISBLANK(U182),T182,U182),IF(ISBLANK(T182),U182,T182)))</f>
        <v/>
      </c>
      <c r="X182" s="57"/>
      <c r="Y182" s="57"/>
      <c r="Z182" s="59" t="str">
        <f t="shared" si="46"/>
        <v/>
      </c>
      <c r="AA182" s="57"/>
      <c r="AB182" s="57"/>
      <c r="AC182" s="59" t="str">
        <f t="shared" si="50"/>
        <v/>
      </c>
      <c r="AD182" s="57"/>
      <c r="AE182" s="57"/>
      <c r="AF182" s="59"/>
    </row>
    <row r="183" spans="1:32">
      <c r="A183" s="24"/>
      <c r="B183" s="26" t="s">
        <v>395</v>
      </c>
      <c r="C183" s="26" t="s">
        <v>451</v>
      </c>
      <c r="D183" s="50"/>
      <c r="E183" s="51"/>
      <c r="F183" s="50"/>
      <c r="G183" s="52"/>
      <c r="H183" s="50"/>
      <c r="I183" s="53"/>
      <c r="J183" s="50" t="s">
        <v>455</v>
      </c>
      <c r="K183" s="53"/>
      <c r="L183" s="50"/>
      <c r="M183" s="57"/>
      <c r="N183" s="55" t="s">
        <v>455</v>
      </c>
      <c r="O183" s="57"/>
      <c r="P183" s="57"/>
      <c r="Q183" s="59" t="str">
        <f>IF(MIN(IF(ISBLANK(O183),N183,O183),IF(ISBLANK(N183),O183,N183))=0,"",MIN(IF(ISBLANK(O183),N183,O183),IF(ISBLANK(N183),O183,N183)))</f>
        <v/>
      </c>
      <c r="R183" s="57"/>
      <c r="S183" s="57"/>
      <c r="T183" s="59" t="str">
        <f>IF(MIN(IF(ISBLANK(R183),Q183,R183),IF(ISBLANK(Q183),R183,Q183))=0,"",MIN(IF(ISBLANK(R183),Q183,R183),IF(ISBLANK(Q183),R183,Q183)))</f>
        <v/>
      </c>
      <c r="U183" s="57"/>
      <c r="V183" s="57"/>
      <c r="W183" s="59" t="str">
        <f>IF(MIN(IF(ISBLANK(U183),T183,U183),IF(ISBLANK(T183),U183,T183))=0,"",MIN(IF(ISBLANK(U183),T183,U183),IF(ISBLANK(T183),U183,T183)))</f>
        <v/>
      </c>
      <c r="X183" s="57"/>
      <c r="Y183" s="57"/>
      <c r="Z183" s="59" t="str">
        <f t="shared" si="46"/>
        <v/>
      </c>
      <c r="AA183" s="57"/>
      <c r="AB183" s="57"/>
      <c r="AC183" s="59" t="str">
        <f t="shared" si="50"/>
        <v/>
      </c>
      <c r="AD183" s="57"/>
      <c r="AE183" s="57"/>
      <c r="AF183" s="59"/>
    </row>
    <row r="184" spans="1:32">
      <c r="A184" s="24"/>
      <c r="B184" s="26" t="s">
        <v>640</v>
      </c>
      <c r="C184" s="26"/>
      <c r="D184" s="50"/>
      <c r="E184" s="51"/>
      <c r="F184" s="50"/>
      <c r="G184" s="52"/>
      <c r="H184" s="50"/>
      <c r="I184" s="53"/>
      <c r="J184" s="50"/>
      <c r="K184" s="53"/>
      <c r="L184" s="50"/>
      <c r="M184" s="57"/>
      <c r="N184" s="55"/>
      <c r="O184" s="57"/>
      <c r="P184" s="57"/>
      <c r="Q184" s="59"/>
      <c r="R184" s="57"/>
      <c r="S184" s="57"/>
      <c r="T184" s="59"/>
      <c r="U184" s="57"/>
      <c r="V184" s="57"/>
      <c r="W184" s="59"/>
      <c r="X184" s="57"/>
      <c r="Y184" s="57"/>
      <c r="Z184" s="59" t="str">
        <f t="shared" si="46"/>
        <v/>
      </c>
      <c r="AA184" s="57"/>
      <c r="AB184" s="57"/>
      <c r="AC184" s="59" t="str">
        <f t="shared" si="50"/>
        <v/>
      </c>
      <c r="AD184" s="57"/>
      <c r="AE184" s="57"/>
      <c r="AF184" s="59"/>
    </row>
    <row r="185" spans="1:32">
      <c r="A185" s="24" t="s">
        <v>326</v>
      </c>
      <c r="B185" s="26" t="s">
        <v>730</v>
      </c>
      <c r="C185" s="26"/>
      <c r="D185" s="50"/>
      <c r="E185" s="51"/>
      <c r="F185" s="50"/>
      <c r="G185" s="52"/>
      <c r="H185" s="50"/>
      <c r="I185" s="53"/>
      <c r="J185" s="50"/>
      <c r="K185" s="53"/>
      <c r="L185" s="50"/>
      <c r="M185" s="57"/>
      <c r="N185" s="55"/>
      <c r="O185" s="57"/>
      <c r="P185" s="57"/>
      <c r="Q185" s="59"/>
      <c r="R185" s="57"/>
      <c r="S185" s="57"/>
      <c r="T185" s="59"/>
      <c r="U185" s="57"/>
      <c r="V185" s="57"/>
      <c r="W185" s="59"/>
      <c r="X185" s="57"/>
      <c r="Y185" s="57"/>
      <c r="Z185" s="59"/>
      <c r="AA185" s="57"/>
      <c r="AB185" s="57"/>
      <c r="AC185" s="59"/>
      <c r="AD185" s="57"/>
      <c r="AE185" s="57"/>
      <c r="AF185" s="59"/>
    </row>
    <row r="186" spans="1:32">
      <c r="A186" s="24" t="s">
        <v>326</v>
      </c>
      <c r="B186" s="26" t="s">
        <v>397</v>
      </c>
      <c r="C186" s="26" t="s">
        <v>451</v>
      </c>
      <c r="D186" s="50"/>
      <c r="E186" s="51"/>
      <c r="F186" s="50"/>
      <c r="G186" s="52"/>
      <c r="H186" s="50"/>
      <c r="I186" s="53">
        <v>7.35</v>
      </c>
      <c r="J186" s="50">
        <v>7.35</v>
      </c>
      <c r="K186" s="53">
        <v>7.28</v>
      </c>
      <c r="L186" s="50">
        <v>7.28</v>
      </c>
      <c r="M186" s="57">
        <v>5.6134259259259271E-3</v>
      </c>
      <c r="N186" s="55">
        <v>5.185185185185185E-3</v>
      </c>
      <c r="O186" s="57">
        <v>5.185185185185185E-3</v>
      </c>
      <c r="P186" s="57"/>
      <c r="Q186" s="59">
        <f>IF(MIN(IF(ISBLANK(O186),N186,O186),IF(ISBLANK(N186),O186,N186))=0,"",MIN(IF(ISBLANK(O186),N186,O186),IF(ISBLANK(N186),O186,N186)))</f>
        <v>5.185185185185185E-3</v>
      </c>
      <c r="R186" s="57"/>
      <c r="S186" s="57"/>
      <c r="T186" s="59">
        <f>IF(MIN(IF(ISBLANK(R186),Q186,R186),IF(ISBLANK(Q186),R186,Q186))=0,"",MIN(IF(ISBLANK(R186),Q186,R186),IF(ISBLANK(Q186),R186,Q186)))</f>
        <v>5.185185185185185E-3</v>
      </c>
      <c r="U186" s="57"/>
      <c r="V186" s="57"/>
      <c r="W186" s="59">
        <f>IF(MIN(IF(ISBLANK(U186),T186,U186),IF(ISBLANK(T186),U186,T186))=0,"",MIN(IF(ISBLANK(U186),T186,U186),IF(ISBLANK(T186),U186,T186)))</f>
        <v>5.185185185185185E-3</v>
      </c>
      <c r="X186" s="57"/>
      <c r="Y186" s="57"/>
      <c r="Z186" s="59">
        <f>IF(MIN(IF(ISBLANK(X186),W186,X186),IF(ISBLANK(W186),X186,W186))=0,"",MIN(IF(ISBLANK(X186),W186,X186),IF(ISBLANK(W186),X186,W186)))</f>
        <v>5.185185185185185E-3</v>
      </c>
      <c r="AA186" s="57"/>
      <c r="AB186" s="57"/>
      <c r="AC186" s="59">
        <f t="shared" ref="AC186:AC207" si="51">IF(MIN(IF(ISBLANK(Z186),AA186,Z186),IF(ISBLANK(AA186),Z186,AA186))=0,"",MIN(IF(ISBLANK(Z186),AA186,Z186),IF(ISBLANK(AA186),Z186,AA186)))</f>
        <v>5.185185185185185E-3</v>
      </c>
      <c r="AD186" s="57">
        <v>5.4513888888888884E-3</v>
      </c>
      <c r="AE186" s="57"/>
      <c r="AF186" s="59"/>
    </row>
    <row r="187" spans="1:32">
      <c r="A187" s="24" t="s">
        <v>326</v>
      </c>
      <c r="B187" s="26" t="s">
        <v>641</v>
      </c>
      <c r="C187" s="26"/>
      <c r="D187" s="50"/>
      <c r="E187" s="51"/>
      <c r="F187" s="50"/>
      <c r="G187" s="52"/>
      <c r="H187" s="50"/>
      <c r="I187" s="53"/>
      <c r="J187" s="50"/>
      <c r="K187" s="53"/>
      <c r="L187" s="50"/>
      <c r="M187" s="57"/>
      <c r="N187" s="55"/>
      <c r="O187" s="57"/>
      <c r="P187" s="57"/>
      <c r="Q187" s="59"/>
      <c r="R187" s="57"/>
      <c r="S187" s="57"/>
      <c r="T187" s="59"/>
      <c r="U187" s="57"/>
      <c r="V187" s="57"/>
      <c r="W187" s="59"/>
      <c r="X187" s="57">
        <v>4.9421296296296288E-3</v>
      </c>
      <c r="Y187" s="57"/>
      <c r="Z187" s="59">
        <f>IF(MIN(IF(ISBLANK(X187),W187,X187),IF(ISBLANK(W187),X187,W187))=0,"",MIN(IF(ISBLANK(X187),W187,X187),IF(ISBLANK(W187),X187,W187)))</f>
        <v>4.9421296296296288E-3</v>
      </c>
      <c r="AA187" s="57">
        <v>4.9652777777777777E-3</v>
      </c>
      <c r="AB187" s="57"/>
      <c r="AC187" s="59">
        <f t="shared" si="51"/>
        <v>4.9421296296296288E-3</v>
      </c>
      <c r="AD187" s="57">
        <v>4.9189814814814816E-3</v>
      </c>
      <c r="AE187" s="57"/>
      <c r="AF187" s="59"/>
    </row>
    <row r="188" spans="1:32">
      <c r="A188" s="24"/>
      <c r="B188" s="26" t="s">
        <v>550</v>
      </c>
      <c r="C188" s="26"/>
      <c r="D188" s="50"/>
      <c r="E188" s="51"/>
      <c r="F188" s="50"/>
      <c r="G188" s="52"/>
      <c r="H188" s="50"/>
      <c r="I188" s="53"/>
      <c r="J188" s="50"/>
      <c r="K188" s="53"/>
      <c r="L188" s="50"/>
      <c r="M188" s="57"/>
      <c r="N188" s="55" t="s">
        <v>455</v>
      </c>
      <c r="O188" s="57"/>
      <c r="P188" s="57"/>
      <c r="Q188" s="59" t="str">
        <f>IF(MIN(IF(ISBLANK(O188),N188,O188),IF(ISBLANK(N188),O188,N188))=0,"",MIN(IF(ISBLANK(O188),N188,O188),IF(ISBLANK(N188),O188,N188)))</f>
        <v/>
      </c>
      <c r="R188" s="57"/>
      <c r="S188" s="57"/>
      <c r="T188" s="59" t="str">
        <f>IF(MIN(IF(ISBLANK(R188),Q188,R188),IF(ISBLANK(Q188),R188,Q188))=0,"",MIN(IF(ISBLANK(R188),Q188,R188),IF(ISBLANK(Q188),R188,Q188)))</f>
        <v/>
      </c>
      <c r="U188" s="57"/>
      <c r="V188" s="57"/>
      <c r="W188" s="59" t="str">
        <f>IF(MIN(IF(ISBLANK(U188),T188,U188),IF(ISBLANK(T188),U188,T188))=0,"",MIN(IF(ISBLANK(U188),T188,U188),IF(ISBLANK(T188),U188,T188)))</f>
        <v/>
      </c>
      <c r="X188" s="57"/>
      <c r="Y188" s="57"/>
      <c r="Z188" s="59" t="str">
        <f>IF(MIN(IF(ISBLANK(X188),W188,X188),IF(ISBLANK(W188),X188,W188))=0,"",MIN(IF(ISBLANK(X188),W188,X188),IF(ISBLANK(W188),X188,W188)))</f>
        <v/>
      </c>
      <c r="AA188" s="57"/>
      <c r="AB188" s="57"/>
      <c r="AC188" s="59" t="str">
        <f t="shared" si="51"/>
        <v/>
      </c>
      <c r="AD188" s="57"/>
      <c r="AE188" s="57"/>
      <c r="AF188" s="59"/>
    </row>
    <row r="189" spans="1:32">
      <c r="A189" s="24"/>
      <c r="B189" s="26" t="s">
        <v>468</v>
      </c>
      <c r="C189" s="26" t="s">
        <v>451</v>
      </c>
      <c r="D189" s="50"/>
      <c r="E189" s="51"/>
      <c r="F189" s="50"/>
      <c r="G189" s="52"/>
      <c r="H189" s="50"/>
      <c r="I189" s="53"/>
      <c r="J189" s="50"/>
      <c r="K189" s="53"/>
      <c r="L189" s="50"/>
      <c r="M189" s="57"/>
      <c r="N189" s="55" t="s">
        <v>455</v>
      </c>
      <c r="O189" s="57"/>
      <c r="P189" s="57"/>
      <c r="Q189" s="59" t="str">
        <f>IF(MIN(IF(ISBLANK(O189),N189,O189),IF(ISBLANK(N189),O189,N189))=0,"",MIN(IF(ISBLANK(O189),N189,O189),IF(ISBLANK(N189),O189,N189)))</f>
        <v/>
      </c>
      <c r="R189" s="57"/>
      <c r="S189" s="57"/>
      <c r="T189" s="59" t="str">
        <f>IF(MIN(IF(ISBLANK(R189),Q189,R189),IF(ISBLANK(Q189),R189,Q189))=0,"",MIN(IF(ISBLANK(R189),Q189,R189),IF(ISBLANK(Q189),R189,Q189)))</f>
        <v/>
      </c>
      <c r="U189" s="57"/>
      <c r="V189" s="57"/>
      <c r="W189" s="59" t="str">
        <f>IF(MIN(IF(ISBLANK(U189),T189,U189),IF(ISBLANK(T189),U189,T189))=0,"",MIN(IF(ISBLANK(U189),T189,U189),IF(ISBLANK(T189),U189,T189)))</f>
        <v/>
      </c>
      <c r="X189" s="57"/>
      <c r="Y189" s="57"/>
      <c r="Z189" s="59" t="str">
        <f>IF(MIN(IF(ISBLANK(X189),W189,X189),IF(ISBLANK(W189),X189,W189))=0,"",MIN(IF(ISBLANK(X189),W189,X189),IF(ISBLANK(W189),X189,W189)))</f>
        <v/>
      </c>
      <c r="AA189" s="57"/>
      <c r="AB189" s="57"/>
      <c r="AC189" s="59" t="str">
        <f t="shared" si="51"/>
        <v/>
      </c>
      <c r="AD189" s="57"/>
      <c r="AE189" s="57"/>
      <c r="AF189" s="59"/>
    </row>
    <row r="190" spans="1:32">
      <c r="A190" s="24"/>
      <c r="B190" s="26" t="s">
        <v>14</v>
      </c>
      <c r="C190" s="26" t="s">
        <v>451</v>
      </c>
      <c r="D190" s="50">
        <v>10.38</v>
      </c>
      <c r="E190" s="51"/>
      <c r="F190" s="50">
        <v>10.38</v>
      </c>
      <c r="G190" s="52"/>
      <c r="H190" s="50">
        <v>10.38</v>
      </c>
      <c r="I190" s="53"/>
      <c r="J190" s="50">
        <v>10.38</v>
      </c>
      <c r="K190" s="53"/>
      <c r="L190" s="50">
        <v>10.38</v>
      </c>
      <c r="M190" s="57"/>
      <c r="N190" s="55">
        <v>7.3842592592592597E-3</v>
      </c>
      <c r="O190" s="57"/>
      <c r="P190" s="57"/>
      <c r="Q190" s="59">
        <f>IF(MIN(IF(ISBLANK(O190),N190,O190),IF(ISBLANK(N190),O190,N190))=0,"",MIN(IF(ISBLANK(O190),N190,O190),IF(ISBLANK(N190),O190,N190)))</f>
        <v>7.3842592592592597E-3</v>
      </c>
      <c r="R190" s="57"/>
      <c r="S190" s="57"/>
      <c r="T190" s="59">
        <f>IF(MIN(IF(ISBLANK(R190),Q190,R190),IF(ISBLANK(Q190),R190,Q190))=0,"",MIN(IF(ISBLANK(R190),Q190,R190),IF(ISBLANK(Q190),R190,Q190)))</f>
        <v>7.3842592592592597E-3</v>
      </c>
      <c r="U190" s="57"/>
      <c r="V190" s="57"/>
      <c r="W190" s="59">
        <f>IF(MIN(IF(ISBLANK(U190),T190,U190),IF(ISBLANK(T190),U190,T190))=0,"",MIN(IF(ISBLANK(U190),T190,U190),IF(ISBLANK(T190),U190,T190)))</f>
        <v>7.3842592592592597E-3</v>
      </c>
      <c r="X190" s="57"/>
      <c r="Y190" s="57"/>
      <c r="Z190" s="59">
        <f>IF(MIN(IF(ISBLANK(X190),W190,X190),IF(ISBLANK(W190),X190,W190))=0,"",MIN(IF(ISBLANK(X190),W190,X190),IF(ISBLANK(W190),X190,W190)))</f>
        <v>7.3842592592592597E-3</v>
      </c>
      <c r="AA190" s="57"/>
      <c r="AB190" s="57"/>
      <c r="AC190" s="59">
        <f t="shared" si="51"/>
        <v>7.3842592592592597E-3</v>
      </c>
      <c r="AD190" s="57"/>
      <c r="AE190" s="57"/>
      <c r="AF190" s="59"/>
    </row>
    <row r="191" spans="1:32">
      <c r="A191" s="24"/>
      <c r="B191" s="26" t="s">
        <v>711</v>
      </c>
      <c r="C191" s="26"/>
      <c r="D191" s="50"/>
      <c r="E191" s="51"/>
      <c r="F191" s="50"/>
      <c r="G191" s="52"/>
      <c r="H191" s="50"/>
      <c r="I191" s="53"/>
      <c r="J191" s="50"/>
      <c r="K191" s="54"/>
      <c r="L191" s="50"/>
      <c r="M191" s="56"/>
      <c r="N191" s="55"/>
      <c r="O191" s="56"/>
      <c r="P191" s="56"/>
      <c r="Q191" s="59"/>
      <c r="R191" s="56"/>
      <c r="S191" s="56"/>
      <c r="T191" s="59"/>
      <c r="U191" s="56"/>
      <c r="V191" s="56"/>
      <c r="W191" s="59"/>
      <c r="X191" s="56"/>
      <c r="Y191" s="56"/>
      <c r="Z191" s="59"/>
      <c r="AA191" s="56"/>
      <c r="AB191" s="56"/>
      <c r="AC191" s="59" t="str">
        <f t="shared" si="51"/>
        <v/>
      </c>
      <c r="AD191" s="56"/>
      <c r="AE191" s="56"/>
      <c r="AF191" s="59"/>
    </row>
    <row r="192" spans="1:32">
      <c r="A192" s="24"/>
      <c r="B192" s="26" t="s">
        <v>551</v>
      </c>
      <c r="C192" s="26"/>
      <c r="D192" s="50"/>
      <c r="E192" s="51"/>
      <c r="F192" s="50"/>
      <c r="G192" s="52"/>
      <c r="H192" s="50"/>
      <c r="I192" s="53"/>
      <c r="J192" s="50"/>
      <c r="K192" s="53"/>
      <c r="L192" s="50"/>
      <c r="M192" s="57"/>
      <c r="N192" s="55" t="s">
        <v>455</v>
      </c>
      <c r="O192" s="57"/>
      <c r="P192" s="57"/>
      <c r="Q192" s="59" t="str">
        <f t="shared" ref="Q192:Q198" si="52">IF(MIN(IF(ISBLANK(O192),N192,O192),IF(ISBLANK(N192),O192,N192))=0,"",MIN(IF(ISBLANK(O192),N192,O192),IF(ISBLANK(N192),O192,N192)))</f>
        <v/>
      </c>
      <c r="R192" s="57"/>
      <c r="S192" s="57"/>
      <c r="T192" s="59" t="str">
        <f t="shared" ref="T192:T198" si="53">IF(MIN(IF(ISBLANK(R192),Q192,R192),IF(ISBLANK(Q192),R192,Q192))=0,"",MIN(IF(ISBLANK(R192),Q192,R192),IF(ISBLANK(Q192),R192,Q192)))</f>
        <v/>
      </c>
      <c r="U192" s="57"/>
      <c r="V192" s="57"/>
      <c r="W192" s="59" t="str">
        <f t="shared" ref="W192:W198" si="54">IF(MIN(IF(ISBLANK(U192),T192,U192),IF(ISBLANK(T192),U192,T192))=0,"",MIN(IF(ISBLANK(U192),T192,U192),IF(ISBLANK(T192),U192,T192)))</f>
        <v/>
      </c>
      <c r="X192" s="57"/>
      <c r="Y192" s="57"/>
      <c r="Z192" s="59" t="str">
        <f t="shared" ref="Z192:Z207" si="55">IF(MIN(IF(ISBLANK(X192),W192,X192),IF(ISBLANK(W192),X192,W192))=0,"",MIN(IF(ISBLANK(X192),W192,X192),IF(ISBLANK(W192),X192,W192)))</f>
        <v/>
      </c>
      <c r="AA192" s="57"/>
      <c r="AB192" s="57"/>
      <c r="AC192" s="59" t="str">
        <f t="shared" si="51"/>
        <v/>
      </c>
      <c r="AD192" s="57"/>
      <c r="AE192" s="57"/>
      <c r="AF192" s="59"/>
    </row>
    <row r="193" spans="1:32">
      <c r="A193" s="24"/>
      <c r="B193" s="26" t="s">
        <v>243</v>
      </c>
      <c r="C193" s="26" t="s">
        <v>450</v>
      </c>
      <c r="D193" s="50"/>
      <c r="E193" s="51"/>
      <c r="F193" s="50" t="s">
        <v>455</v>
      </c>
      <c r="G193" s="52"/>
      <c r="H193" s="50"/>
      <c r="I193" s="53"/>
      <c r="J193" s="50" t="s">
        <v>455</v>
      </c>
      <c r="K193" s="53"/>
      <c r="L193" s="50"/>
      <c r="M193" s="57"/>
      <c r="N193" s="55" t="s">
        <v>455</v>
      </c>
      <c r="O193" s="57"/>
      <c r="P193" s="57"/>
      <c r="Q193" s="59" t="str">
        <f t="shared" si="52"/>
        <v/>
      </c>
      <c r="R193" s="57"/>
      <c r="S193" s="57"/>
      <c r="T193" s="59" t="str">
        <f t="shared" si="53"/>
        <v/>
      </c>
      <c r="U193" s="57"/>
      <c r="V193" s="57"/>
      <c r="W193" s="59" t="str">
        <f t="shared" si="54"/>
        <v/>
      </c>
      <c r="X193" s="57"/>
      <c r="Y193" s="57"/>
      <c r="Z193" s="59" t="str">
        <f t="shared" si="55"/>
        <v/>
      </c>
      <c r="AA193" s="57"/>
      <c r="AB193" s="57"/>
      <c r="AC193" s="59" t="str">
        <f t="shared" si="51"/>
        <v/>
      </c>
      <c r="AD193" s="57"/>
      <c r="AE193" s="57"/>
      <c r="AF193" s="59"/>
    </row>
    <row r="194" spans="1:32">
      <c r="A194" s="24"/>
      <c r="B194" s="26" t="s">
        <v>571</v>
      </c>
      <c r="C194" s="26"/>
      <c r="D194" s="50"/>
      <c r="E194" s="51"/>
      <c r="F194" s="50"/>
      <c r="G194" s="52"/>
      <c r="H194" s="50"/>
      <c r="I194" s="53"/>
      <c r="J194" s="50"/>
      <c r="K194" s="53"/>
      <c r="L194" s="50"/>
      <c r="M194" s="57"/>
      <c r="N194" s="55"/>
      <c r="O194" s="57"/>
      <c r="P194" s="57" t="s">
        <v>574</v>
      </c>
      <c r="Q194" s="59" t="str">
        <f t="shared" si="52"/>
        <v/>
      </c>
      <c r="R194" s="57"/>
      <c r="S194" s="57"/>
      <c r="T194" s="59" t="str">
        <f t="shared" si="53"/>
        <v/>
      </c>
      <c r="U194" s="57"/>
      <c r="V194" s="57"/>
      <c r="W194" s="59" t="str">
        <f t="shared" si="54"/>
        <v/>
      </c>
      <c r="X194" s="57"/>
      <c r="Y194" s="57"/>
      <c r="Z194" s="59" t="str">
        <f t="shared" si="55"/>
        <v/>
      </c>
      <c r="AA194" s="57"/>
      <c r="AB194" s="57"/>
      <c r="AC194" s="59" t="str">
        <f t="shared" si="51"/>
        <v/>
      </c>
      <c r="AD194" s="57"/>
      <c r="AE194" s="57"/>
      <c r="AF194" s="59"/>
    </row>
    <row r="195" spans="1:32">
      <c r="A195" s="24"/>
      <c r="B195" s="26" t="s">
        <v>398</v>
      </c>
      <c r="C195" s="26" t="s">
        <v>451</v>
      </c>
      <c r="D195" s="50"/>
      <c r="E195" s="51"/>
      <c r="F195" s="50"/>
      <c r="G195" s="52"/>
      <c r="H195" s="50"/>
      <c r="I195" s="53">
        <v>12.3</v>
      </c>
      <c r="J195" s="50" t="s">
        <v>456</v>
      </c>
      <c r="K195" s="53"/>
      <c r="L195" s="50" t="s">
        <v>456</v>
      </c>
      <c r="M195" s="57"/>
      <c r="N195" s="55">
        <v>8.6805555555555559E-3</v>
      </c>
      <c r="O195" s="57"/>
      <c r="P195" s="57"/>
      <c r="Q195" s="59">
        <f t="shared" si="52"/>
        <v>8.6805555555555559E-3</v>
      </c>
      <c r="R195" s="57"/>
      <c r="S195" s="57"/>
      <c r="T195" s="59">
        <f t="shared" si="53"/>
        <v>8.6805555555555559E-3</v>
      </c>
      <c r="U195" s="57"/>
      <c r="V195" s="57"/>
      <c r="W195" s="59">
        <f t="shared" si="54"/>
        <v>8.6805555555555559E-3</v>
      </c>
      <c r="X195" s="57"/>
      <c r="Y195" s="57"/>
      <c r="Z195" s="59">
        <f t="shared" si="55"/>
        <v>8.6805555555555559E-3</v>
      </c>
      <c r="AA195" s="57"/>
      <c r="AB195" s="57"/>
      <c r="AC195" s="59">
        <f t="shared" si="51"/>
        <v>8.6805555555555559E-3</v>
      </c>
      <c r="AD195" s="57"/>
      <c r="AE195" s="57"/>
      <c r="AF195" s="59"/>
    </row>
    <row r="196" spans="1:32">
      <c r="A196" s="24"/>
      <c r="B196" s="26" t="s">
        <v>264</v>
      </c>
      <c r="C196" s="26" t="s">
        <v>451</v>
      </c>
      <c r="D196" s="50">
        <v>10.43</v>
      </c>
      <c r="E196" s="51"/>
      <c r="F196" s="50">
        <v>10.43</v>
      </c>
      <c r="G196" s="52"/>
      <c r="H196" s="50">
        <v>10.43</v>
      </c>
      <c r="I196" s="53"/>
      <c r="J196" s="50">
        <v>10.43</v>
      </c>
      <c r="K196" s="53"/>
      <c r="L196" s="50">
        <v>10.43</v>
      </c>
      <c r="M196" s="57"/>
      <c r="N196" s="55">
        <v>7.4421296296296293E-3</v>
      </c>
      <c r="O196" s="57"/>
      <c r="P196" s="57"/>
      <c r="Q196" s="59">
        <f t="shared" si="52"/>
        <v>7.4421296296296293E-3</v>
      </c>
      <c r="R196" s="57"/>
      <c r="S196" s="57"/>
      <c r="T196" s="59">
        <f t="shared" si="53"/>
        <v>7.4421296296296293E-3</v>
      </c>
      <c r="U196" s="57"/>
      <c r="V196" s="57"/>
      <c r="W196" s="59">
        <f t="shared" si="54"/>
        <v>7.4421296296296293E-3</v>
      </c>
      <c r="X196" s="57"/>
      <c r="Y196" s="57"/>
      <c r="Z196" s="59">
        <f t="shared" si="55"/>
        <v>7.4421296296296293E-3</v>
      </c>
      <c r="AA196" s="57"/>
      <c r="AB196" s="57"/>
      <c r="AC196" s="59">
        <f t="shared" si="51"/>
        <v>7.4421296296296293E-3</v>
      </c>
      <c r="AD196" s="57"/>
      <c r="AE196" s="57"/>
      <c r="AF196" s="59"/>
    </row>
    <row r="197" spans="1:32">
      <c r="A197" s="24"/>
      <c r="B197" s="26" t="s">
        <v>562</v>
      </c>
      <c r="C197" s="26"/>
      <c r="D197" s="50"/>
      <c r="E197" s="51"/>
      <c r="F197" s="50"/>
      <c r="G197" s="52"/>
      <c r="H197" s="50"/>
      <c r="I197" s="53"/>
      <c r="J197" s="50"/>
      <c r="K197" s="53"/>
      <c r="L197" s="50"/>
      <c r="M197" s="57"/>
      <c r="N197" s="55" t="s">
        <v>455</v>
      </c>
      <c r="O197" s="57"/>
      <c r="P197" s="57"/>
      <c r="Q197" s="59" t="str">
        <f t="shared" si="52"/>
        <v/>
      </c>
      <c r="R197" s="57"/>
      <c r="S197" s="57"/>
      <c r="T197" s="59" t="str">
        <f t="shared" si="53"/>
        <v/>
      </c>
      <c r="U197" s="57"/>
      <c r="V197" s="57"/>
      <c r="W197" s="59" t="str">
        <f t="shared" si="54"/>
        <v/>
      </c>
      <c r="X197" s="57"/>
      <c r="Y197" s="57"/>
      <c r="Z197" s="59" t="str">
        <f t="shared" si="55"/>
        <v/>
      </c>
      <c r="AA197" s="57"/>
      <c r="AB197" s="57"/>
      <c r="AC197" s="59" t="str">
        <f t="shared" si="51"/>
        <v/>
      </c>
      <c r="AD197" s="57"/>
      <c r="AE197" s="57"/>
      <c r="AF197" s="59"/>
    </row>
    <row r="198" spans="1:32">
      <c r="A198" s="24"/>
      <c r="B198" s="26" t="s">
        <v>462</v>
      </c>
      <c r="C198" s="26" t="s">
        <v>451</v>
      </c>
      <c r="D198" s="50"/>
      <c r="E198" s="51"/>
      <c r="F198" s="50"/>
      <c r="G198" s="52"/>
      <c r="H198" s="50"/>
      <c r="I198" s="53"/>
      <c r="J198" s="50"/>
      <c r="K198" s="53">
        <v>9.42</v>
      </c>
      <c r="L198" s="50">
        <v>9.42</v>
      </c>
      <c r="M198" s="57"/>
      <c r="N198" s="55">
        <v>6.7361111111111103E-3</v>
      </c>
      <c r="O198" s="57"/>
      <c r="P198" s="57"/>
      <c r="Q198" s="59">
        <f t="shared" si="52"/>
        <v>6.7361111111111103E-3</v>
      </c>
      <c r="R198" s="57"/>
      <c r="S198" s="57"/>
      <c r="T198" s="59">
        <f t="shared" si="53"/>
        <v>6.7361111111111103E-3</v>
      </c>
      <c r="U198" s="57"/>
      <c r="V198" s="57"/>
      <c r="W198" s="59">
        <f t="shared" si="54"/>
        <v>6.7361111111111103E-3</v>
      </c>
      <c r="X198" s="57"/>
      <c r="Y198" s="57"/>
      <c r="Z198" s="59">
        <f t="shared" si="55"/>
        <v>6.7361111111111103E-3</v>
      </c>
      <c r="AA198" s="57"/>
      <c r="AB198" s="57"/>
      <c r="AC198" s="59">
        <f t="shared" si="51"/>
        <v>6.7361111111111103E-3</v>
      </c>
      <c r="AD198" s="57"/>
      <c r="AE198" s="57"/>
      <c r="AF198" s="59"/>
    </row>
    <row r="199" spans="1:32">
      <c r="A199" s="24" t="s">
        <v>326</v>
      </c>
      <c r="B199" s="26" t="s">
        <v>642</v>
      </c>
      <c r="C199" s="26"/>
      <c r="D199" s="50"/>
      <c r="E199" s="51"/>
      <c r="F199" s="50"/>
      <c r="G199" s="52"/>
      <c r="H199" s="50"/>
      <c r="I199" s="53"/>
      <c r="J199" s="50"/>
      <c r="K199" s="53"/>
      <c r="L199" s="50"/>
      <c r="M199" s="57"/>
      <c r="N199" s="55"/>
      <c r="O199" s="57"/>
      <c r="P199" s="57"/>
      <c r="Q199" s="59"/>
      <c r="R199" s="57"/>
      <c r="S199" s="57"/>
      <c r="T199" s="59"/>
      <c r="U199" s="57"/>
      <c r="V199" s="57"/>
      <c r="W199" s="59"/>
      <c r="X199" s="57">
        <v>5.4398148148148149E-3</v>
      </c>
      <c r="Y199" s="57"/>
      <c r="Z199" s="59">
        <f t="shared" si="55"/>
        <v>5.4398148148148149E-3</v>
      </c>
      <c r="AA199" s="57"/>
      <c r="AB199" s="57"/>
      <c r="AC199" s="59">
        <f t="shared" si="51"/>
        <v>5.4398148148148149E-3</v>
      </c>
      <c r="AD199" s="57"/>
      <c r="AE199" s="57"/>
      <c r="AF199" s="59"/>
    </row>
    <row r="200" spans="1:32">
      <c r="A200" s="24"/>
      <c r="B200" s="26" t="s">
        <v>643</v>
      </c>
      <c r="C200" s="26"/>
      <c r="D200" s="50"/>
      <c r="E200" s="51"/>
      <c r="F200" s="50"/>
      <c r="G200" s="52"/>
      <c r="H200" s="50"/>
      <c r="I200" s="53"/>
      <c r="J200" s="50"/>
      <c r="K200" s="53"/>
      <c r="L200" s="50"/>
      <c r="M200" s="57"/>
      <c r="N200" s="55"/>
      <c r="O200" s="57"/>
      <c r="P200" s="57"/>
      <c r="Q200" s="59"/>
      <c r="R200" s="57"/>
      <c r="S200" s="57"/>
      <c r="T200" s="59"/>
      <c r="U200" s="57"/>
      <c r="V200" s="57"/>
      <c r="W200" s="59"/>
      <c r="X200" s="57"/>
      <c r="Y200" s="57"/>
      <c r="Z200" s="59" t="str">
        <f t="shared" si="55"/>
        <v/>
      </c>
      <c r="AA200" s="57"/>
      <c r="AB200" s="57"/>
      <c r="AC200" s="59" t="str">
        <f t="shared" si="51"/>
        <v/>
      </c>
      <c r="AD200" s="57"/>
      <c r="AE200" s="57"/>
      <c r="AF200" s="59"/>
    </row>
    <row r="201" spans="1:32">
      <c r="A201" s="24"/>
      <c r="B201" s="26" t="s">
        <v>372</v>
      </c>
      <c r="C201" s="26"/>
      <c r="D201" s="50"/>
      <c r="E201" s="51"/>
      <c r="F201" s="50"/>
      <c r="G201" s="52" t="s">
        <v>353</v>
      </c>
      <c r="H201" s="50">
        <v>7.45</v>
      </c>
      <c r="I201" s="53"/>
      <c r="J201" s="50">
        <v>7.45</v>
      </c>
      <c r="K201" s="53"/>
      <c r="L201" s="50">
        <v>7.45</v>
      </c>
      <c r="M201" s="57"/>
      <c r="N201" s="55">
        <v>5.3819444444444453E-3</v>
      </c>
      <c r="O201" s="57"/>
      <c r="P201" s="57"/>
      <c r="Q201" s="59">
        <f>IF(MIN(IF(ISBLANK(O201),N201,O201),IF(ISBLANK(N201),O201,N201))=0,"",MIN(IF(ISBLANK(O201),N201,O201),IF(ISBLANK(N201),O201,N201)))</f>
        <v>5.3819444444444453E-3</v>
      </c>
      <c r="R201" s="57"/>
      <c r="S201" s="57"/>
      <c r="T201" s="59">
        <f>IF(MIN(IF(ISBLANK(R201),Q201,R201),IF(ISBLANK(Q201),R201,Q201))=0,"",MIN(IF(ISBLANK(R201),Q201,R201),IF(ISBLANK(Q201),R201,Q201)))</f>
        <v>5.3819444444444453E-3</v>
      </c>
      <c r="U201" s="57"/>
      <c r="V201" s="57"/>
      <c r="W201" s="59">
        <f>IF(MIN(IF(ISBLANK(U201),T201,U201),IF(ISBLANK(T201),U201,T201))=0,"",MIN(IF(ISBLANK(U201),T201,U201),IF(ISBLANK(T201),U201,T201)))</f>
        <v>5.3819444444444453E-3</v>
      </c>
      <c r="X201" s="57"/>
      <c r="Y201" s="57"/>
      <c r="Z201" s="59">
        <f t="shared" si="55"/>
        <v>5.3819444444444453E-3</v>
      </c>
      <c r="AA201" s="57"/>
      <c r="AB201" s="57"/>
      <c r="AC201" s="59">
        <f t="shared" si="51"/>
        <v>5.3819444444444453E-3</v>
      </c>
      <c r="AD201" s="57"/>
      <c r="AE201" s="57"/>
      <c r="AF201" s="59"/>
    </row>
    <row r="202" spans="1:32">
      <c r="A202" s="24"/>
      <c r="B202" s="26" t="s">
        <v>399</v>
      </c>
      <c r="C202" s="26" t="s">
        <v>450</v>
      </c>
      <c r="D202" s="50"/>
      <c r="E202" s="51"/>
      <c r="F202" s="50"/>
      <c r="G202" s="52"/>
      <c r="H202" s="50"/>
      <c r="I202" s="53">
        <v>6.59</v>
      </c>
      <c r="J202" s="50">
        <v>6.59</v>
      </c>
      <c r="K202" s="53"/>
      <c r="L202" s="50">
        <v>6.59</v>
      </c>
      <c r="M202" s="57"/>
      <c r="N202" s="55">
        <v>4.8495370370370368E-3</v>
      </c>
      <c r="O202" s="57"/>
      <c r="P202" s="57"/>
      <c r="Q202" s="59">
        <f>IF(MIN(IF(ISBLANK(O202),N202,O202),IF(ISBLANK(N202),O202,N202))=0,"",MIN(IF(ISBLANK(O202),N202,O202),IF(ISBLANK(N202),O202,N202)))</f>
        <v>4.8495370370370368E-3</v>
      </c>
      <c r="R202" s="57"/>
      <c r="S202" s="57"/>
      <c r="T202" s="59">
        <f>IF(MIN(IF(ISBLANK(R202),Q202,R202),IF(ISBLANK(Q202),R202,Q202))=0,"",MIN(IF(ISBLANK(R202),Q202,R202),IF(ISBLANK(Q202),R202,Q202)))</f>
        <v>4.8495370370370368E-3</v>
      </c>
      <c r="U202" s="57"/>
      <c r="V202" s="57"/>
      <c r="W202" s="59">
        <f>IF(MIN(IF(ISBLANK(U202),T202,U202),IF(ISBLANK(T202),U202,T202))=0,"",MIN(IF(ISBLANK(U202),T202,U202),IF(ISBLANK(T202),U202,T202)))</f>
        <v>4.8495370370370368E-3</v>
      </c>
      <c r="X202" s="57"/>
      <c r="Y202" s="57"/>
      <c r="Z202" s="59">
        <f t="shared" si="55"/>
        <v>4.8495370370370368E-3</v>
      </c>
      <c r="AA202" s="57"/>
      <c r="AB202" s="57"/>
      <c r="AC202" s="59">
        <f t="shared" si="51"/>
        <v>4.8495370370370368E-3</v>
      </c>
      <c r="AD202" s="57"/>
      <c r="AE202" s="57"/>
      <c r="AF202" s="59"/>
    </row>
    <row r="203" spans="1:32">
      <c r="A203" s="24" t="s">
        <v>326</v>
      </c>
      <c r="B203" s="26" t="s">
        <v>538</v>
      </c>
      <c r="C203" s="26" t="s">
        <v>450</v>
      </c>
      <c r="D203" s="50"/>
      <c r="E203" s="51"/>
      <c r="F203" s="50"/>
      <c r="G203" s="52"/>
      <c r="H203" s="50"/>
      <c r="I203" s="53"/>
      <c r="J203" s="50"/>
      <c r="K203" s="53"/>
      <c r="L203" s="50"/>
      <c r="M203" s="57"/>
      <c r="N203" s="55" t="s">
        <v>455</v>
      </c>
      <c r="O203" s="57"/>
      <c r="P203" s="57"/>
      <c r="Q203" s="59" t="str">
        <f>IF(MIN(IF(ISBLANK(O203),N203,O203),IF(ISBLANK(N203),O203,N203))=0,"",MIN(IF(ISBLANK(O203),N203,O203),IF(ISBLANK(N203),O203,N203)))</f>
        <v/>
      </c>
      <c r="R203" s="57">
        <v>5.2546296296296299E-3</v>
      </c>
      <c r="S203" s="57"/>
      <c r="T203" s="59">
        <f>IF(MIN(IF(ISBLANK(R203),Q203,R203),IF(ISBLANK(Q203),R203,Q203))=0,"",MIN(IF(ISBLANK(R203),Q203,R203),IF(ISBLANK(Q203),R203,Q203)))</f>
        <v>5.2546296296296299E-3</v>
      </c>
      <c r="U203" s="57"/>
      <c r="V203" s="57"/>
      <c r="W203" s="59">
        <f>IF(MIN(IF(ISBLANK(U203),T203,U203),IF(ISBLANK(T203),U203,T203))=0,"",MIN(IF(ISBLANK(U203),T203,U203),IF(ISBLANK(T203),U203,T203)))</f>
        <v>5.2546296296296299E-3</v>
      </c>
      <c r="X203" s="57"/>
      <c r="Y203" s="57"/>
      <c r="Z203" s="59">
        <f t="shared" si="55"/>
        <v>5.2546296296296299E-3</v>
      </c>
      <c r="AA203" s="57"/>
      <c r="AB203" s="57"/>
      <c r="AC203" s="59">
        <f t="shared" si="51"/>
        <v>5.2546296296296299E-3</v>
      </c>
      <c r="AD203" s="57"/>
      <c r="AE203" s="57"/>
      <c r="AF203" s="59"/>
    </row>
    <row r="204" spans="1:32">
      <c r="A204" s="24"/>
      <c r="B204" s="26" t="s">
        <v>543</v>
      </c>
      <c r="C204" s="26"/>
      <c r="D204" s="50"/>
      <c r="E204" s="51"/>
      <c r="F204" s="50"/>
      <c r="G204" s="52"/>
      <c r="H204" s="50"/>
      <c r="I204" s="53"/>
      <c r="J204" s="50"/>
      <c r="K204" s="53"/>
      <c r="L204" s="50"/>
      <c r="M204" s="57"/>
      <c r="N204" s="55" t="s">
        <v>455</v>
      </c>
      <c r="O204" s="57"/>
      <c r="P204" s="57"/>
      <c r="Q204" s="59" t="str">
        <f>IF(MIN(IF(ISBLANK(O204),N204,O204),IF(ISBLANK(N204),O204,N204))=0,"",MIN(IF(ISBLANK(O204),N204,O204),IF(ISBLANK(N204),O204,N204)))</f>
        <v/>
      </c>
      <c r="R204" s="57"/>
      <c r="S204" s="57"/>
      <c r="T204" s="59" t="str">
        <f>IF(MIN(IF(ISBLANK(R204),Q204,R204),IF(ISBLANK(Q204),R204,Q204))=0,"",MIN(IF(ISBLANK(R204),Q204,R204),IF(ISBLANK(Q204),R204,Q204)))</f>
        <v/>
      </c>
      <c r="U204" s="57"/>
      <c r="V204" s="57"/>
      <c r="W204" s="59" t="str">
        <f>IF(MIN(IF(ISBLANK(U204),T204,U204),IF(ISBLANK(T204),U204,T204))=0,"",MIN(IF(ISBLANK(U204),T204,U204),IF(ISBLANK(T204),U204,T204)))</f>
        <v/>
      </c>
      <c r="X204" s="57"/>
      <c r="Y204" s="57"/>
      <c r="Z204" s="59" t="str">
        <f t="shared" si="55"/>
        <v/>
      </c>
      <c r="AA204" s="57"/>
      <c r="AB204" s="57"/>
      <c r="AC204" s="59" t="str">
        <f t="shared" si="51"/>
        <v/>
      </c>
      <c r="AD204" s="57"/>
      <c r="AE204" s="57"/>
      <c r="AF204" s="59"/>
    </row>
    <row r="205" spans="1:32">
      <c r="A205" s="24"/>
      <c r="B205" s="26" t="s">
        <v>644</v>
      </c>
      <c r="C205" s="26"/>
      <c r="D205" s="50"/>
      <c r="E205" s="51"/>
      <c r="F205" s="50"/>
      <c r="G205" s="52"/>
      <c r="H205" s="50"/>
      <c r="I205" s="53"/>
      <c r="J205" s="50"/>
      <c r="K205" s="53"/>
      <c r="L205" s="50"/>
      <c r="M205" s="57"/>
      <c r="N205" s="55"/>
      <c r="O205" s="57"/>
      <c r="P205" s="57"/>
      <c r="Q205" s="59"/>
      <c r="R205" s="57"/>
      <c r="S205" s="57"/>
      <c r="T205" s="59"/>
      <c r="U205" s="57"/>
      <c r="V205" s="57"/>
      <c r="W205" s="59"/>
      <c r="X205" s="57"/>
      <c r="Y205" s="57"/>
      <c r="Z205" s="59" t="str">
        <f t="shared" si="55"/>
        <v/>
      </c>
      <c r="AA205" s="57"/>
      <c r="AB205" s="57"/>
      <c r="AC205" s="59" t="str">
        <f t="shared" si="51"/>
        <v/>
      </c>
      <c r="AD205" s="57"/>
      <c r="AE205" s="57"/>
      <c r="AF205" s="59"/>
    </row>
    <row r="206" spans="1:32">
      <c r="A206" s="24"/>
      <c r="B206" s="26" t="s">
        <v>400</v>
      </c>
      <c r="C206" s="26" t="s">
        <v>450</v>
      </c>
      <c r="D206" s="50"/>
      <c r="E206" s="51"/>
      <c r="F206" s="50"/>
      <c r="G206" s="52"/>
      <c r="H206" s="50"/>
      <c r="I206" s="53"/>
      <c r="J206" s="50" t="s">
        <v>455</v>
      </c>
      <c r="K206" s="53">
        <v>9.19</v>
      </c>
      <c r="L206" s="50">
        <v>9.19</v>
      </c>
      <c r="M206" s="57"/>
      <c r="N206" s="55">
        <v>6.4699074074074069E-3</v>
      </c>
      <c r="O206" s="57"/>
      <c r="P206" s="57"/>
      <c r="Q206" s="59">
        <f>IF(MIN(IF(ISBLANK(O206),N206,O206),IF(ISBLANK(N206),O206,N206))=0,"",MIN(IF(ISBLANK(O206),N206,O206),IF(ISBLANK(N206),O206,N206)))</f>
        <v>6.4699074074074069E-3</v>
      </c>
      <c r="R206" s="57"/>
      <c r="S206" s="57"/>
      <c r="T206" s="59">
        <f>IF(MIN(IF(ISBLANK(R206),Q206,R206),IF(ISBLANK(Q206),R206,Q206))=0,"",MIN(IF(ISBLANK(R206),Q206,R206),IF(ISBLANK(Q206),R206,Q206)))</f>
        <v>6.4699074074074069E-3</v>
      </c>
      <c r="U206" s="57"/>
      <c r="V206" s="57"/>
      <c r="W206" s="59">
        <f>IF(MIN(IF(ISBLANK(U206),T206,U206),IF(ISBLANK(T206),U206,T206))=0,"",MIN(IF(ISBLANK(U206),T206,U206),IF(ISBLANK(T206),U206,T206)))</f>
        <v>6.4699074074074069E-3</v>
      </c>
      <c r="X206" s="57"/>
      <c r="Y206" s="57"/>
      <c r="Z206" s="59">
        <f t="shared" si="55"/>
        <v>6.4699074074074069E-3</v>
      </c>
      <c r="AA206" s="57"/>
      <c r="AB206" s="57"/>
      <c r="AC206" s="59">
        <f t="shared" si="51"/>
        <v>6.4699074074074069E-3</v>
      </c>
      <c r="AD206" s="57"/>
      <c r="AE206" s="57"/>
      <c r="AF206" s="59"/>
    </row>
    <row r="207" spans="1:32">
      <c r="A207" s="24"/>
      <c r="B207" s="26" t="s">
        <v>645</v>
      </c>
      <c r="C207" s="26"/>
      <c r="D207" s="50"/>
      <c r="E207" s="51"/>
      <c r="F207" s="50"/>
      <c r="G207" s="52"/>
      <c r="H207" s="50"/>
      <c r="I207" s="53"/>
      <c r="J207" s="50"/>
      <c r="K207" s="53"/>
      <c r="L207" s="50"/>
      <c r="M207" s="57"/>
      <c r="N207" s="55"/>
      <c r="O207" s="57"/>
      <c r="P207" s="57"/>
      <c r="Q207" s="59"/>
      <c r="R207" s="57"/>
      <c r="S207" s="57"/>
      <c r="T207" s="59"/>
      <c r="U207" s="57"/>
      <c r="V207" s="57"/>
      <c r="W207" s="59"/>
      <c r="X207" s="57"/>
      <c r="Y207" s="57"/>
      <c r="Z207" s="59" t="str">
        <f t="shared" si="55"/>
        <v/>
      </c>
      <c r="AA207" s="57"/>
      <c r="AB207" s="57"/>
      <c r="AC207" s="59" t="str">
        <f t="shared" si="51"/>
        <v/>
      </c>
      <c r="AD207" s="57"/>
      <c r="AE207" s="57"/>
      <c r="AF207" s="59"/>
    </row>
    <row r="208" spans="1:32">
      <c r="A208" s="24" t="s">
        <v>326</v>
      </c>
      <c r="B208" s="26" t="s">
        <v>731</v>
      </c>
      <c r="C208" s="26"/>
      <c r="D208" s="50"/>
      <c r="E208" s="51"/>
      <c r="F208" s="50"/>
      <c r="G208" s="52"/>
      <c r="H208" s="50"/>
      <c r="I208" s="53"/>
      <c r="J208" s="50"/>
      <c r="K208" s="53"/>
      <c r="L208" s="50"/>
      <c r="M208" s="57"/>
      <c r="N208" s="55"/>
      <c r="O208" s="57"/>
      <c r="P208" s="57"/>
      <c r="Q208" s="59"/>
      <c r="R208" s="57"/>
      <c r="S208" s="57"/>
      <c r="T208" s="59"/>
      <c r="U208" s="57"/>
      <c r="V208" s="57"/>
      <c r="W208" s="59"/>
      <c r="X208" s="57"/>
      <c r="Y208" s="57"/>
      <c r="Z208" s="59"/>
      <c r="AA208" s="57"/>
      <c r="AB208" s="57"/>
      <c r="AC208" s="59"/>
      <c r="AD208" s="57">
        <v>7.5000000000000006E-3</v>
      </c>
      <c r="AE208" s="57"/>
      <c r="AF208" s="59"/>
    </row>
    <row r="209" spans="1:32">
      <c r="A209" s="24"/>
      <c r="B209" s="26" t="s">
        <v>237</v>
      </c>
      <c r="C209" s="26"/>
      <c r="D209" s="50"/>
      <c r="E209" s="51"/>
      <c r="F209" s="50" t="s">
        <v>455</v>
      </c>
      <c r="G209" s="52"/>
      <c r="H209" s="50"/>
      <c r="I209" s="53"/>
      <c r="J209" s="50" t="s">
        <v>455</v>
      </c>
      <c r="K209" s="53"/>
      <c r="L209" s="50"/>
      <c r="M209" s="57"/>
      <c r="N209" s="55" t="s">
        <v>455</v>
      </c>
      <c r="O209" s="57"/>
      <c r="P209" s="57"/>
      <c r="Q209" s="59" t="str">
        <f t="shared" ref="Q209:Q215" si="56">IF(MIN(IF(ISBLANK(O209),N209,O209),IF(ISBLANK(N209),O209,N209))=0,"",MIN(IF(ISBLANK(O209),N209,O209),IF(ISBLANK(N209),O209,N209)))</f>
        <v/>
      </c>
      <c r="R209" s="57"/>
      <c r="S209" s="57"/>
      <c r="T209" s="59" t="str">
        <f t="shared" ref="T209:T222" si="57">IF(MIN(IF(ISBLANK(R209),Q209,R209),IF(ISBLANK(Q209),R209,Q209))=0,"",MIN(IF(ISBLANK(R209),Q209,R209),IF(ISBLANK(Q209),R209,Q209)))</f>
        <v/>
      </c>
      <c r="U209" s="57"/>
      <c r="V209" s="57"/>
      <c r="W209" s="59" t="str">
        <f t="shared" ref="W209:W222" si="58">IF(MIN(IF(ISBLANK(U209),T209,U209),IF(ISBLANK(T209),U209,T209))=0,"",MIN(IF(ISBLANK(U209),T209,U209),IF(ISBLANK(T209),U209,T209)))</f>
        <v/>
      </c>
      <c r="X209" s="57"/>
      <c r="Y209" s="57"/>
      <c r="Z209" s="59" t="str">
        <f t="shared" ref="Z209:Z228" si="59">IF(MIN(IF(ISBLANK(X209),W209,X209),IF(ISBLANK(W209),X209,W209))=0,"",MIN(IF(ISBLANK(X209),W209,X209),IF(ISBLANK(W209),X209,W209)))</f>
        <v/>
      </c>
      <c r="AA209" s="57"/>
      <c r="AB209" s="57"/>
      <c r="AC209" s="59" t="str">
        <f t="shared" ref="AC209:AC256" si="60">IF(MIN(IF(ISBLANK(Z209),AA209,Z209),IF(ISBLANK(AA209),Z209,AA209))=0,"",MIN(IF(ISBLANK(Z209),AA209,Z209),IF(ISBLANK(AA209),Z209,AA209)))</f>
        <v/>
      </c>
      <c r="AD209" s="57"/>
      <c r="AE209" s="57"/>
      <c r="AF209" s="59"/>
    </row>
    <row r="210" spans="1:32">
      <c r="A210" s="24"/>
      <c r="B210" s="26" t="s">
        <v>255</v>
      </c>
      <c r="C210" s="26" t="s">
        <v>450</v>
      </c>
      <c r="D210" s="50"/>
      <c r="E210" s="51"/>
      <c r="F210" s="50" t="s">
        <v>455</v>
      </c>
      <c r="G210" s="52"/>
      <c r="H210" s="50"/>
      <c r="I210" s="53"/>
      <c r="J210" s="50" t="s">
        <v>455</v>
      </c>
      <c r="K210" s="53"/>
      <c r="L210" s="50"/>
      <c r="M210" s="57"/>
      <c r="N210" s="55" t="s">
        <v>455</v>
      </c>
      <c r="O210" s="57"/>
      <c r="P210" s="57"/>
      <c r="Q210" s="59" t="str">
        <f t="shared" si="56"/>
        <v/>
      </c>
      <c r="R210" s="57"/>
      <c r="S210" s="57"/>
      <c r="T210" s="59" t="str">
        <f t="shared" si="57"/>
        <v/>
      </c>
      <c r="U210" s="57"/>
      <c r="V210" s="57"/>
      <c r="W210" s="59" t="str">
        <f t="shared" si="58"/>
        <v/>
      </c>
      <c r="X210" s="57"/>
      <c r="Y210" s="57"/>
      <c r="Z210" s="59" t="str">
        <f t="shared" si="59"/>
        <v/>
      </c>
      <c r="AA210" s="57"/>
      <c r="AB210" s="57"/>
      <c r="AC210" s="59" t="str">
        <f t="shared" si="60"/>
        <v/>
      </c>
      <c r="AD210" s="57"/>
      <c r="AE210" s="57"/>
      <c r="AF210" s="59"/>
    </row>
    <row r="211" spans="1:32">
      <c r="A211" s="24"/>
      <c r="B211" s="26" t="s">
        <v>36</v>
      </c>
      <c r="C211" s="26"/>
      <c r="D211" s="50"/>
      <c r="E211" s="51"/>
      <c r="F211" s="50" t="s">
        <v>455</v>
      </c>
      <c r="G211" s="52"/>
      <c r="H211" s="50"/>
      <c r="I211" s="53"/>
      <c r="J211" s="50" t="s">
        <v>455</v>
      </c>
      <c r="K211" s="53"/>
      <c r="L211" s="50"/>
      <c r="M211" s="57"/>
      <c r="N211" s="55" t="s">
        <v>455</v>
      </c>
      <c r="O211" s="57"/>
      <c r="P211" s="57"/>
      <c r="Q211" s="59" t="str">
        <f t="shared" si="56"/>
        <v/>
      </c>
      <c r="R211" s="57"/>
      <c r="S211" s="57"/>
      <c r="T211" s="59" t="str">
        <f t="shared" si="57"/>
        <v/>
      </c>
      <c r="U211" s="57"/>
      <c r="V211" s="57"/>
      <c r="W211" s="59" t="str">
        <f t="shared" si="58"/>
        <v/>
      </c>
      <c r="X211" s="57"/>
      <c r="Y211" s="57"/>
      <c r="Z211" s="59" t="str">
        <f t="shared" si="59"/>
        <v/>
      </c>
      <c r="AA211" s="57"/>
      <c r="AB211" s="57"/>
      <c r="AC211" s="59" t="str">
        <f t="shared" si="60"/>
        <v/>
      </c>
      <c r="AD211" s="57"/>
      <c r="AE211" s="57"/>
      <c r="AF211" s="59"/>
    </row>
    <row r="212" spans="1:32">
      <c r="A212" s="24" t="s">
        <v>326</v>
      </c>
      <c r="B212" s="26" t="s">
        <v>43</v>
      </c>
      <c r="C212" s="26" t="s">
        <v>450</v>
      </c>
      <c r="D212" s="50">
        <v>7.52</v>
      </c>
      <c r="E212" s="51" t="s">
        <v>296</v>
      </c>
      <c r="F212" s="50">
        <v>7.52</v>
      </c>
      <c r="G212" s="52">
        <v>8.18</v>
      </c>
      <c r="H212" s="50">
        <v>7.52</v>
      </c>
      <c r="I212" s="53">
        <v>8.1999999999999993</v>
      </c>
      <c r="J212" s="50">
        <v>7.52</v>
      </c>
      <c r="K212" s="53"/>
      <c r="L212" s="50">
        <v>7.52</v>
      </c>
      <c r="M212" s="57">
        <v>5.8912037037037032E-3</v>
      </c>
      <c r="N212" s="55">
        <v>5.4629629629629637E-3</v>
      </c>
      <c r="O212" s="57"/>
      <c r="P212" s="57"/>
      <c r="Q212" s="59">
        <f t="shared" si="56"/>
        <v>5.4629629629629637E-3</v>
      </c>
      <c r="R212" s="57"/>
      <c r="S212" s="57"/>
      <c r="T212" s="59">
        <f t="shared" si="57"/>
        <v>5.4629629629629637E-3</v>
      </c>
      <c r="U212" s="57"/>
      <c r="V212" s="57"/>
      <c r="W212" s="59">
        <f t="shared" si="58"/>
        <v>5.4629629629629637E-3</v>
      </c>
      <c r="X212" s="57"/>
      <c r="Y212" s="57"/>
      <c r="Z212" s="59">
        <f t="shared" si="59"/>
        <v>5.4629629629629637E-3</v>
      </c>
      <c r="AA212" s="57"/>
      <c r="AB212" s="57"/>
      <c r="AC212" s="59">
        <f t="shared" si="60"/>
        <v>5.4629629629629637E-3</v>
      </c>
      <c r="AD212" s="57"/>
      <c r="AE212" s="57"/>
      <c r="AF212" s="59"/>
    </row>
    <row r="213" spans="1:32">
      <c r="A213" s="24" t="s">
        <v>326</v>
      </c>
      <c r="B213" s="26" t="s">
        <v>50</v>
      </c>
      <c r="C213" s="26" t="s">
        <v>450</v>
      </c>
      <c r="D213" s="50">
        <v>8.11</v>
      </c>
      <c r="E213" s="51"/>
      <c r="F213" s="50">
        <v>8.11</v>
      </c>
      <c r="G213" s="52">
        <v>8.15</v>
      </c>
      <c r="H213" s="50">
        <v>8.11</v>
      </c>
      <c r="I213" s="53">
        <v>8.16</v>
      </c>
      <c r="J213" s="50">
        <v>8.11</v>
      </c>
      <c r="K213" s="53"/>
      <c r="L213" s="50">
        <v>8.11</v>
      </c>
      <c r="M213" s="57">
        <v>6.2268518518518515E-3</v>
      </c>
      <c r="N213" s="55">
        <v>5.6828703703703702E-3</v>
      </c>
      <c r="O213" s="57">
        <v>5.8449074074074072E-3</v>
      </c>
      <c r="P213" s="57"/>
      <c r="Q213" s="59">
        <f t="shared" si="56"/>
        <v>5.6828703703703702E-3</v>
      </c>
      <c r="R213" s="57"/>
      <c r="S213" s="57" t="s">
        <v>603</v>
      </c>
      <c r="T213" s="59">
        <f t="shared" si="57"/>
        <v>5.6828703703703702E-3</v>
      </c>
      <c r="U213" s="57">
        <v>6.0069444444444441E-3</v>
      </c>
      <c r="V213" s="57"/>
      <c r="W213" s="59">
        <f t="shared" si="58"/>
        <v>5.6828703703703702E-3</v>
      </c>
      <c r="X213" s="57"/>
      <c r="Y213" s="57"/>
      <c r="Z213" s="59">
        <f t="shared" si="59"/>
        <v>5.6828703703703702E-3</v>
      </c>
      <c r="AA213" s="57">
        <v>6.5740740740740733E-3</v>
      </c>
      <c r="AB213" s="57"/>
      <c r="AC213" s="59">
        <f t="shared" si="60"/>
        <v>5.6828703703703702E-3</v>
      </c>
      <c r="AD213" s="57">
        <v>6.2847222222222228E-3</v>
      </c>
      <c r="AE213" s="57"/>
      <c r="AF213" s="59"/>
    </row>
    <row r="214" spans="1:32">
      <c r="A214" s="24"/>
      <c r="B214" s="26" t="s">
        <v>55</v>
      </c>
      <c r="C214" s="26" t="s">
        <v>450</v>
      </c>
      <c r="D214" s="50">
        <v>7.42</v>
      </c>
      <c r="E214" s="51"/>
      <c r="F214" s="50">
        <v>7.42</v>
      </c>
      <c r="G214" s="52">
        <v>7.43</v>
      </c>
      <c r="H214" s="50">
        <v>7.42</v>
      </c>
      <c r="I214" s="53"/>
      <c r="J214" s="50">
        <v>7.42</v>
      </c>
      <c r="K214" s="53">
        <v>7.54</v>
      </c>
      <c r="L214" s="50">
        <v>7.42</v>
      </c>
      <c r="M214" s="57">
        <v>5.7870370370370376E-3</v>
      </c>
      <c r="N214" s="55">
        <v>5.347222222222222E-3</v>
      </c>
      <c r="O214" s="57"/>
      <c r="P214" s="57"/>
      <c r="Q214" s="59">
        <f t="shared" si="56"/>
        <v>5.347222222222222E-3</v>
      </c>
      <c r="R214" s="57"/>
      <c r="S214" s="57"/>
      <c r="T214" s="59">
        <f t="shared" si="57"/>
        <v>5.347222222222222E-3</v>
      </c>
      <c r="U214" s="57"/>
      <c r="V214" s="57"/>
      <c r="W214" s="59">
        <f t="shared" si="58"/>
        <v>5.347222222222222E-3</v>
      </c>
      <c r="X214" s="57"/>
      <c r="Y214" s="57"/>
      <c r="Z214" s="59">
        <f t="shared" si="59"/>
        <v>5.347222222222222E-3</v>
      </c>
      <c r="AA214" s="57"/>
      <c r="AB214" s="57"/>
      <c r="AC214" s="59">
        <f t="shared" si="60"/>
        <v>5.347222222222222E-3</v>
      </c>
      <c r="AD214" s="57"/>
      <c r="AE214" s="57"/>
      <c r="AF214" s="59"/>
    </row>
    <row r="215" spans="1:32">
      <c r="A215" s="24" t="s">
        <v>326</v>
      </c>
      <c r="B215" s="26" t="s">
        <v>254</v>
      </c>
      <c r="C215" s="26" t="s">
        <v>450</v>
      </c>
      <c r="D215" s="50">
        <v>10.050000000000001</v>
      </c>
      <c r="E215" s="51" t="s">
        <v>297</v>
      </c>
      <c r="F215" s="50">
        <v>8.31</v>
      </c>
      <c r="G215" s="52">
        <v>8.52</v>
      </c>
      <c r="H215" s="50">
        <v>8.31</v>
      </c>
      <c r="I215" s="53">
        <v>8.07</v>
      </c>
      <c r="J215" s="50">
        <v>8.07</v>
      </c>
      <c r="K215" s="53"/>
      <c r="L215" s="50">
        <v>8.07</v>
      </c>
      <c r="M215" s="57"/>
      <c r="N215" s="55">
        <v>5.6365740740740742E-3</v>
      </c>
      <c r="O215" s="57"/>
      <c r="P215" s="57"/>
      <c r="Q215" s="59">
        <f t="shared" si="56"/>
        <v>5.6365740740740742E-3</v>
      </c>
      <c r="R215" s="57"/>
      <c r="S215" s="57"/>
      <c r="T215" s="59">
        <f t="shared" si="57"/>
        <v>5.6365740740740742E-3</v>
      </c>
      <c r="U215" s="57"/>
      <c r="V215" s="57"/>
      <c r="W215" s="59">
        <f t="shared" si="58"/>
        <v>5.6365740740740742E-3</v>
      </c>
      <c r="X215" s="57"/>
      <c r="Y215" s="57"/>
      <c r="Z215" s="59">
        <f t="shared" si="59"/>
        <v>5.6365740740740742E-3</v>
      </c>
      <c r="AA215" s="57"/>
      <c r="AB215" s="57"/>
      <c r="AC215" s="59">
        <f t="shared" si="60"/>
        <v>5.6365740740740742E-3</v>
      </c>
      <c r="AD215" s="57">
        <v>5.3125000000000004E-3</v>
      </c>
      <c r="AE215" s="57"/>
      <c r="AF215" s="59"/>
    </row>
    <row r="216" spans="1:32">
      <c r="A216" s="24"/>
      <c r="B216" s="26" t="s">
        <v>614</v>
      </c>
      <c r="C216" s="26"/>
      <c r="D216" s="50"/>
      <c r="E216" s="51"/>
      <c r="F216" s="50"/>
      <c r="G216" s="52"/>
      <c r="H216" s="50"/>
      <c r="I216" s="53"/>
      <c r="J216" s="50"/>
      <c r="K216" s="53"/>
      <c r="L216" s="50"/>
      <c r="M216" s="57"/>
      <c r="N216" s="55"/>
      <c r="O216" s="57"/>
      <c r="P216" s="57"/>
      <c r="Q216" s="59"/>
      <c r="R216" s="57"/>
      <c r="S216" s="57"/>
      <c r="T216" s="59" t="str">
        <f t="shared" si="57"/>
        <v/>
      </c>
      <c r="U216" s="57"/>
      <c r="V216" s="57"/>
      <c r="W216" s="59" t="str">
        <f t="shared" si="58"/>
        <v/>
      </c>
      <c r="X216" s="57"/>
      <c r="Y216" s="57"/>
      <c r="Z216" s="59" t="str">
        <f t="shared" si="59"/>
        <v/>
      </c>
      <c r="AA216" s="57"/>
      <c r="AB216" s="57"/>
      <c r="AC216" s="59" t="str">
        <f t="shared" si="60"/>
        <v/>
      </c>
      <c r="AD216" s="57"/>
      <c r="AE216" s="57"/>
      <c r="AF216" s="59"/>
    </row>
    <row r="217" spans="1:32">
      <c r="A217" s="24"/>
      <c r="B217" s="26" t="s">
        <v>61</v>
      </c>
      <c r="C217" s="26"/>
      <c r="D217" s="50"/>
      <c r="E217" s="51"/>
      <c r="F217" s="50" t="s">
        <v>455</v>
      </c>
      <c r="G217" s="52"/>
      <c r="H217" s="50"/>
      <c r="I217" s="53"/>
      <c r="J217" s="50" t="s">
        <v>455</v>
      </c>
      <c r="K217" s="53"/>
      <c r="L217" s="50"/>
      <c r="M217" s="57"/>
      <c r="N217" s="55" t="s">
        <v>455</v>
      </c>
      <c r="O217" s="57"/>
      <c r="P217" s="57"/>
      <c r="Q217" s="59" t="str">
        <f t="shared" ref="Q217:Q222" si="61">IF(MIN(IF(ISBLANK(O217),N217,O217),IF(ISBLANK(N217),O217,N217))=0,"",MIN(IF(ISBLANK(O217),N217,O217),IF(ISBLANK(N217),O217,N217)))</f>
        <v/>
      </c>
      <c r="R217" s="57"/>
      <c r="S217" s="57"/>
      <c r="T217" s="59" t="str">
        <f t="shared" si="57"/>
        <v/>
      </c>
      <c r="U217" s="57"/>
      <c r="V217" s="57"/>
      <c r="W217" s="59" t="str">
        <f t="shared" si="58"/>
        <v/>
      </c>
      <c r="X217" s="57"/>
      <c r="Y217" s="57"/>
      <c r="Z217" s="59" t="str">
        <f t="shared" si="59"/>
        <v/>
      </c>
      <c r="AA217" s="57"/>
      <c r="AB217" s="57"/>
      <c r="AC217" s="59" t="str">
        <f t="shared" si="60"/>
        <v/>
      </c>
      <c r="AD217" s="57"/>
      <c r="AE217" s="57"/>
      <c r="AF217" s="59"/>
    </row>
    <row r="218" spans="1:32">
      <c r="A218" s="24" t="s">
        <v>326</v>
      </c>
      <c r="B218" s="26" t="s">
        <v>65</v>
      </c>
      <c r="C218" s="26" t="s">
        <v>450</v>
      </c>
      <c r="D218" s="50" t="s">
        <v>288</v>
      </c>
      <c r="E218" s="51"/>
      <c r="F218" s="50" t="s">
        <v>288</v>
      </c>
      <c r="G218" s="52"/>
      <c r="H218" s="50" t="s">
        <v>288</v>
      </c>
      <c r="I218" s="53"/>
      <c r="J218" s="50" t="s">
        <v>288</v>
      </c>
      <c r="K218" s="53"/>
      <c r="L218" s="50" t="s">
        <v>288</v>
      </c>
      <c r="M218" s="57"/>
      <c r="N218" s="55">
        <v>5.6712962962962958E-3</v>
      </c>
      <c r="O218" s="57">
        <v>5.6249999999999989E-3</v>
      </c>
      <c r="P218" s="57"/>
      <c r="Q218" s="59">
        <f t="shared" si="61"/>
        <v>5.6249999999999989E-3</v>
      </c>
      <c r="R218" s="57">
        <v>5.6365740740740742E-3</v>
      </c>
      <c r="S218" s="57"/>
      <c r="T218" s="59">
        <f t="shared" si="57"/>
        <v>5.6249999999999989E-3</v>
      </c>
      <c r="U218" s="57">
        <v>5.4976851851851853E-3</v>
      </c>
      <c r="V218" s="57"/>
      <c r="W218" s="59">
        <f t="shared" si="58"/>
        <v>5.4976851851851853E-3</v>
      </c>
      <c r="X218" s="57">
        <v>5.5787037037037038E-3</v>
      </c>
      <c r="Y218" s="57"/>
      <c r="Z218" s="59">
        <f t="shared" si="59"/>
        <v>5.4976851851851853E-3</v>
      </c>
      <c r="AA218" s="57">
        <v>5.5671296296296302E-3</v>
      </c>
      <c r="AB218" s="57"/>
      <c r="AC218" s="59">
        <f t="shared" si="60"/>
        <v>5.4976851851851853E-3</v>
      </c>
      <c r="AD218" s="57">
        <v>5.6712962962962958E-3</v>
      </c>
      <c r="AE218" s="57"/>
      <c r="AF218" s="59"/>
    </row>
    <row r="219" spans="1:32">
      <c r="A219" s="24"/>
      <c r="B219" s="26" t="s">
        <v>71</v>
      </c>
      <c r="C219" s="26" t="s">
        <v>451</v>
      </c>
      <c r="D219" s="50"/>
      <c r="E219" s="51"/>
      <c r="F219" s="50" t="s">
        <v>455</v>
      </c>
      <c r="G219" s="52"/>
      <c r="H219" s="50"/>
      <c r="I219" s="53"/>
      <c r="J219" s="50" t="s">
        <v>455</v>
      </c>
      <c r="K219" s="53"/>
      <c r="L219" s="50"/>
      <c r="M219" s="57"/>
      <c r="N219" s="55" t="s">
        <v>455</v>
      </c>
      <c r="O219" s="57"/>
      <c r="P219" s="57"/>
      <c r="Q219" s="59" t="str">
        <f t="shared" si="61"/>
        <v/>
      </c>
      <c r="R219" s="57"/>
      <c r="S219" s="57"/>
      <c r="T219" s="59" t="str">
        <f t="shared" si="57"/>
        <v/>
      </c>
      <c r="U219" s="57"/>
      <c r="V219" s="57"/>
      <c r="W219" s="59" t="str">
        <f t="shared" si="58"/>
        <v/>
      </c>
      <c r="X219" s="57"/>
      <c r="Y219" s="57"/>
      <c r="Z219" s="59" t="str">
        <f t="shared" si="59"/>
        <v/>
      </c>
      <c r="AA219" s="57"/>
      <c r="AB219" s="57"/>
      <c r="AC219" s="59" t="str">
        <f t="shared" si="60"/>
        <v/>
      </c>
      <c r="AD219" s="57"/>
      <c r="AE219" s="57"/>
      <c r="AF219" s="59"/>
    </row>
    <row r="220" spans="1:32">
      <c r="A220" s="24"/>
      <c r="B220" s="26" t="s">
        <v>334</v>
      </c>
      <c r="C220" s="26" t="s">
        <v>451</v>
      </c>
      <c r="D220" s="50"/>
      <c r="E220" s="51"/>
      <c r="F220" s="50" t="s">
        <v>455</v>
      </c>
      <c r="G220" s="52"/>
      <c r="H220" s="50"/>
      <c r="I220" s="53"/>
      <c r="J220" s="50" t="s">
        <v>455</v>
      </c>
      <c r="K220" s="53"/>
      <c r="L220" s="50"/>
      <c r="M220" s="57"/>
      <c r="N220" s="55" t="s">
        <v>455</v>
      </c>
      <c r="O220" s="57"/>
      <c r="P220" s="57"/>
      <c r="Q220" s="59" t="str">
        <f t="shared" si="61"/>
        <v/>
      </c>
      <c r="R220" s="57"/>
      <c r="S220" s="57"/>
      <c r="T220" s="59" t="str">
        <f t="shared" si="57"/>
        <v/>
      </c>
      <c r="U220" s="57"/>
      <c r="V220" s="57"/>
      <c r="W220" s="59" t="str">
        <f t="shared" si="58"/>
        <v/>
      </c>
      <c r="X220" s="57"/>
      <c r="Y220" s="57"/>
      <c r="Z220" s="59" t="str">
        <f t="shared" si="59"/>
        <v/>
      </c>
      <c r="AA220" s="57"/>
      <c r="AB220" s="57"/>
      <c r="AC220" s="59" t="str">
        <f t="shared" si="60"/>
        <v/>
      </c>
      <c r="AD220" s="57"/>
      <c r="AE220" s="57"/>
      <c r="AF220" s="59"/>
    </row>
    <row r="221" spans="1:32">
      <c r="A221" s="24"/>
      <c r="B221" s="26" t="s">
        <v>602</v>
      </c>
      <c r="C221" s="26"/>
      <c r="D221" s="50"/>
      <c r="E221" s="51"/>
      <c r="F221" s="50"/>
      <c r="G221" s="52"/>
      <c r="H221" s="50"/>
      <c r="I221" s="53"/>
      <c r="J221" s="50"/>
      <c r="K221" s="53"/>
      <c r="L221" s="50"/>
      <c r="M221" s="57"/>
      <c r="N221" s="55" t="s">
        <v>455</v>
      </c>
      <c r="O221" s="57"/>
      <c r="P221" s="57"/>
      <c r="Q221" s="59" t="str">
        <f t="shared" si="61"/>
        <v/>
      </c>
      <c r="R221" s="57">
        <v>5.9027777777777776E-3</v>
      </c>
      <c r="S221" s="57"/>
      <c r="T221" s="59">
        <f t="shared" si="57"/>
        <v>5.9027777777777776E-3</v>
      </c>
      <c r="U221" s="57"/>
      <c r="V221" s="57"/>
      <c r="W221" s="59">
        <f t="shared" si="58"/>
        <v>5.9027777777777776E-3</v>
      </c>
      <c r="X221" s="57"/>
      <c r="Y221" s="57"/>
      <c r="Z221" s="59">
        <f t="shared" si="59"/>
        <v>5.9027777777777776E-3</v>
      </c>
      <c r="AA221" s="57"/>
      <c r="AB221" s="57"/>
      <c r="AC221" s="59">
        <f t="shared" si="60"/>
        <v>5.9027777777777776E-3</v>
      </c>
      <c r="AD221" s="57"/>
      <c r="AE221" s="57"/>
      <c r="AF221" s="59"/>
    </row>
    <row r="222" spans="1:32">
      <c r="A222" s="24"/>
      <c r="B222" s="26" t="s">
        <v>445</v>
      </c>
      <c r="C222" s="26" t="s">
        <v>451</v>
      </c>
      <c r="D222" s="50"/>
      <c r="E222" s="51"/>
      <c r="F222" s="50"/>
      <c r="G222" s="52"/>
      <c r="H222" s="50"/>
      <c r="I222" s="53">
        <v>9.4</v>
      </c>
      <c r="J222" s="50" t="s">
        <v>457</v>
      </c>
      <c r="K222" s="53"/>
      <c r="L222" s="50" t="s">
        <v>457</v>
      </c>
      <c r="M222" s="57"/>
      <c r="N222" s="55">
        <v>6.7129629629629622E-3</v>
      </c>
      <c r="O222" s="57"/>
      <c r="P222" s="57"/>
      <c r="Q222" s="59">
        <f t="shared" si="61"/>
        <v>6.7129629629629622E-3</v>
      </c>
      <c r="R222" s="57"/>
      <c r="S222" s="57"/>
      <c r="T222" s="59">
        <f t="shared" si="57"/>
        <v>6.7129629629629622E-3</v>
      </c>
      <c r="U222" s="57"/>
      <c r="V222" s="57"/>
      <c r="W222" s="59">
        <f t="shared" si="58"/>
        <v>6.7129629629629622E-3</v>
      </c>
      <c r="X222" s="57"/>
      <c r="Y222" s="57"/>
      <c r="Z222" s="59">
        <f t="shared" si="59"/>
        <v>6.7129629629629622E-3</v>
      </c>
      <c r="AA222" s="57"/>
      <c r="AB222" s="57"/>
      <c r="AC222" s="59">
        <f t="shared" si="60"/>
        <v>6.7129629629629622E-3</v>
      </c>
      <c r="AD222" s="57"/>
      <c r="AE222" s="57"/>
      <c r="AF222" s="59"/>
    </row>
    <row r="223" spans="1:32">
      <c r="A223" s="24"/>
      <c r="B223" s="26" t="s">
        <v>646</v>
      </c>
      <c r="C223" s="26"/>
      <c r="D223" s="50"/>
      <c r="E223" s="51"/>
      <c r="F223" s="50"/>
      <c r="G223" s="52"/>
      <c r="H223" s="50"/>
      <c r="I223" s="53"/>
      <c r="J223" s="50"/>
      <c r="K223" s="53"/>
      <c r="L223" s="50"/>
      <c r="M223" s="57"/>
      <c r="N223" s="55"/>
      <c r="O223" s="57"/>
      <c r="P223" s="57"/>
      <c r="Q223" s="59"/>
      <c r="R223" s="57"/>
      <c r="S223" s="57"/>
      <c r="T223" s="59"/>
      <c r="U223" s="57"/>
      <c r="V223" s="57"/>
      <c r="W223" s="59"/>
      <c r="X223" s="57"/>
      <c r="Y223" s="57"/>
      <c r="Z223" s="59" t="str">
        <f t="shared" si="59"/>
        <v/>
      </c>
      <c r="AA223" s="57"/>
      <c r="AB223" s="57"/>
      <c r="AC223" s="59" t="str">
        <f t="shared" si="60"/>
        <v/>
      </c>
      <c r="AD223" s="57"/>
      <c r="AE223" s="57"/>
      <c r="AF223" s="59"/>
    </row>
    <row r="224" spans="1:32">
      <c r="A224" s="24"/>
      <c r="B224" s="26" t="s">
        <v>479</v>
      </c>
      <c r="C224" s="26"/>
      <c r="D224" s="50"/>
      <c r="E224" s="51"/>
      <c r="F224" s="50"/>
      <c r="G224" s="52"/>
      <c r="H224" s="50"/>
      <c r="I224" s="53"/>
      <c r="J224" s="50"/>
      <c r="K224" s="53"/>
      <c r="L224" s="50"/>
      <c r="M224" s="57"/>
      <c r="N224" s="55" t="s">
        <v>455</v>
      </c>
      <c r="O224" s="57"/>
      <c r="P224" s="57"/>
      <c r="Q224" s="59" t="str">
        <f>IF(MIN(IF(ISBLANK(O224),N224,O224),IF(ISBLANK(N224),O224,N224))=0,"",MIN(IF(ISBLANK(O224),N224,O224),IF(ISBLANK(N224),O224,N224)))</f>
        <v/>
      </c>
      <c r="R224" s="57"/>
      <c r="S224" s="57"/>
      <c r="T224" s="59" t="str">
        <f>IF(MIN(IF(ISBLANK(R224),Q224,R224),IF(ISBLANK(Q224),R224,Q224))=0,"",MIN(IF(ISBLANK(R224),Q224,R224),IF(ISBLANK(Q224),R224,Q224)))</f>
        <v/>
      </c>
      <c r="U224" s="57"/>
      <c r="V224" s="57"/>
      <c r="W224" s="59" t="str">
        <f>IF(MIN(IF(ISBLANK(U224),T224,U224),IF(ISBLANK(T224),U224,T224))=0,"",MIN(IF(ISBLANK(U224),T224,U224),IF(ISBLANK(T224),U224,T224)))</f>
        <v/>
      </c>
      <c r="X224" s="57"/>
      <c r="Y224" s="57"/>
      <c r="Z224" s="59" t="str">
        <f t="shared" si="59"/>
        <v/>
      </c>
      <c r="AA224" s="57"/>
      <c r="AB224" s="57"/>
      <c r="AC224" s="59" t="str">
        <f t="shared" si="60"/>
        <v/>
      </c>
      <c r="AD224" s="57"/>
      <c r="AE224" s="57"/>
      <c r="AF224" s="59"/>
    </row>
    <row r="225" spans="1:32">
      <c r="A225" s="24"/>
      <c r="B225" s="26" t="s">
        <v>647</v>
      </c>
      <c r="C225" s="26"/>
      <c r="D225" s="50"/>
      <c r="E225" s="51"/>
      <c r="F225" s="50"/>
      <c r="G225" s="52"/>
      <c r="H225" s="50"/>
      <c r="I225" s="53"/>
      <c r="J225" s="50"/>
      <c r="K225" s="53"/>
      <c r="L225" s="50"/>
      <c r="M225" s="57"/>
      <c r="N225" s="55"/>
      <c r="O225" s="57"/>
      <c r="P225" s="57"/>
      <c r="Q225" s="59"/>
      <c r="R225" s="57"/>
      <c r="S225" s="57"/>
      <c r="T225" s="59"/>
      <c r="U225" s="57"/>
      <c r="V225" s="57"/>
      <c r="W225" s="59"/>
      <c r="X225" s="57"/>
      <c r="Y225" s="57"/>
      <c r="Z225" s="59" t="str">
        <f t="shared" si="59"/>
        <v/>
      </c>
      <c r="AA225" s="57"/>
      <c r="AB225" s="57"/>
      <c r="AC225" s="59" t="str">
        <f t="shared" si="60"/>
        <v/>
      </c>
      <c r="AD225" s="57"/>
      <c r="AE225" s="57"/>
      <c r="AF225" s="59"/>
    </row>
    <row r="226" spans="1:32">
      <c r="A226" s="24"/>
      <c r="B226" s="26" t="s">
        <v>692</v>
      </c>
      <c r="C226" s="26"/>
      <c r="D226" s="50"/>
      <c r="E226" s="51"/>
      <c r="F226" s="50"/>
      <c r="G226" s="52"/>
      <c r="H226" s="50"/>
      <c r="I226" s="53"/>
      <c r="J226" s="50"/>
      <c r="K226" s="53"/>
      <c r="L226" s="50"/>
      <c r="M226" s="57"/>
      <c r="N226" s="55"/>
      <c r="O226" s="57"/>
      <c r="P226" s="57"/>
      <c r="Q226" s="59"/>
      <c r="R226" s="57"/>
      <c r="S226" s="57"/>
      <c r="T226" s="59"/>
      <c r="U226" s="57"/>
      <c r="V226" s="57"/>
      <c r="W226" s="59"/>
      <c r="X226" s="57"/>
      <c r="Y226" s="57"/>
      <c r="Z226" s="59" t="str">
        <f t="shared" si="59"/>
        <v/>
      </c>
      <c r="AA226" s="57"/>
      <c r="AB226" s="57"/>
      <c r="AC226" s="59" t="str">
        <f t="shared" si="60"/>
        <v/>
      </c>
      <c r="AD226" s="57"/>
      <c r="AE226" s="57"/>
      <c r="AF226" s="59"/>
    </row>
    <row r="227" spans="1:32">
      <c r="A227" s="24" t="s">
        <v>326</v>
      </c>
      <c r="B227" s="26" t="s">
        <v>77</v>
      </c>
      <c r="C227" s="26" t="s">
        <v>450</v>
      </c>
      <c r="D227" s="50">
        <v>7.43</v>
      </c>
      <c r="E227" s="51"/>
      <c r="F227" s="50">
        <v>7.43</v>
      </c>
      <c r="G227" s="52"/>
      <c r="H227" s="50">
        <v>7.43</v>
      </c>
      <c r="I227" s="53">
        <v>8.43</v>
      </c>
      <c r="J227" s="50">
        <v>7.43</v>
      </c>
      <c r="K227" s="53"/>
      <c r="L227" s="50">
        <v>7.43</v>
      </c>
      <c r="M227" s="57">
        <v>6.053240740740741E-3</v>
      </c>
      <c r="N227" s="55">
        <v>5.3587962962962964E-3</v>
      </c>
      <c r="O227" s="57"/>
      <c r="P227" s="57"/>
      <c r="Q227" s="59">
        <f>IF(MIN(IF(ISBLANK(O227),N227,O227),IF(ISBLANK(N227),O227,N227))=0,"",MIN(IF(ISBLANK(O227),N227,O227),IF(ISBLANK(N227),O227,N227)))</f>
        <v>5.3587962962962964E-3</v>
      </c>
      <c r="R227" s="57">
        <v>5.8333333333333336E-3</v>
      </c>
      <c r="S227" s="57"/>
      <c r="T227" s="59">
        <f>IF(MIN(IF(ISBLANK(R227),Q227,R227),IF(ISBLANK(Q227),R227,Q227))=0,"",MIN(IF(ISBLANK(R227),Q227,R227),IF(ISBLANK(Q227),R227,Q227)))</f>
        <v>5.3587962962962964E-3</v>
      </c>
      <c r="U227" s="57">
        <v>5.9837962962962961E-3</v>
      </c>
      <c r="V227" s="57"/>
      <c r="W227" s="59">
        <f>IF(MIN(IF(ISBLANK(U227),T227,U227),IF(ISBLANK(T227),U227,T227))=0,"",MIN(IF(ISBLANK(U227),T227,U227),IF(ISBLANK(T227),U227,T227)))</f>
        <v>5.3587962962962964E-3</v>
      </c>
      <c r="X227" s="57">
        <v>5.6134259259259271E-3</v>
      </c>
      <c r="Y227" s="57"/>
      <c r="Z227" s="59">
        <f t="shared" si="59"/>
        <v>5.3587962962962964E-3</v>
      </c>
      <c r="AA227" s="57">
        <v>5.5439814814814822E-3</v>
      </c>
      <c r="AB227" s="57"/>
      <c r="AC227" s="59">
        <f t="shared" si="60"/>
        <v>5.3587962962962964E-3</v>
      </c>
      <c r="AD227" s="57">
        <v>5.6365740740740742E-3</v>
      </c>
      <c r="AE227" s="57"/>
      <c r="AF227" s="59"/>
    </row>
    <row r="228" spans="1:32">
      <c r="A228" s="24" t="s">
        <v>326</v>
      </c>
      <c r="B228" s="26" t="s">
        <v>648</v>
      </c>
      <c r="C228" s="26"/>
      <c r="D228" s="50"/>
      <c r="E228" s="51"/>
      <c r="F228" s="50"/>
      <c r="G228" s="52"/>
      <c r="H228" s="50"/>
      <c r="I228" s="53"/>
      <c r="J228" s="50"/>
      <c r="K228" s="53"/>
      <c r="L228" s="50"/>
      <c r="M228" s="57"/>
      <c r="N228" s="55"/>
      <c r="O228" s="57"/>
      <c r="P228" s="57"/>
      <c r="Q228" s="59"/>
      <c r="R228" s="57"/>
      <c r="S228" s="57"/>
      <c r="T228" s="59"/>
      <c r="U228" s="57"/>
      <c r="V228" s="57"/>
      <c r="W228" s="59"/>
      <c r="X228" s="57"/>
      <c r="Y228" s="57"/>
      <c r="Z228" s="59" t="str">
        <f t="shared" si="59"/>
        <v/>
      </c>
      <c r="AA228" s="57"/>
      <c r="AB228" s="57"/>
      <c r="AC228" s="59" t="str">
        <f t="shared" si="60"/>
        <v/>
      </c>
      <c r="AD228" s="57"/>
      <c r="AE228" s="57"/>
      <c r="AF228" s="59"/>
    </row>
    <row r="229" spans="1:32">
      <c r="A229" s="24" t="s">
        <v>326</v>
      </c>
      <c r="B229" s="26" t="s">
        <v>713</v>
      </c>
      <c r="C229" s="26"/>
      <c r="D229" s="50"/>
      <c r="E229" s="51"/>
      <c r="F229" s="50"/>
      <c r="G229" s="52"/>
      <c r="H229" s="50"/>
      <c r="I229" s="53"/>
      <c r="J229" s="50"/>
      <c r="K229" s="53"/>
      <c r="L229" s="50"/>
      <c r="M229" s="57"/>
      <c r="N229" s="55"/>
      <c r="O229" s="57"/>
      <c r="P229" s="57"/>
      <c r="Q229" s="59"/>
      <c r="R229" s="57"/>
      <c r="S229" s="57"/>
      <c r="T229" s="59"/>
      <c r="U229" s="57"/>
      <c r="V229" s="57"/>
      <c r="W229" s="59"/>
      <c r="X229" s="57"/>
      <c r="Y229" s="57"/>
      <c r="Z229" s="59"/>
      <c r="AA229" s="57">
        <v>7.719907407407408E-3</v>
      </c>
      <c r="AB229" s="57"/>
      <c r="AC229" s="59">
        <f t="shared" si="60"/>
        <v>7.719907407407408E-3</v>
      </c>
      <c r="AD229" s="57"/>
      <c r="AE229" s="57"/>
      <c r="AF229" s="59"/>
    </row>
    <row r="230" spans="1:32">
      <c r="A230" s="24"/>
      <c r="B230" s="26" t="s">
        <v>88</v>
      </c>
      <c r="C230" s="26" t="s">
        <v>450</v>
      </c>
      <c r="D230" s="50">
        <v>7.01</v>
      </c>
      <c r="E230" s="51"/>
      <c r="F230" s="50">
        <v>7.01</v>
      </c>
      <c r="G230" s="52"/>
      <c r="H230" s="50">
        <v>7.01</v>
      </c>
      <c r="I230" s="53"/>
      <c r="J230" s="50">
        <v>7.01</v>
      </c>
      <c r="K230" s="53">
        <v>7.19</v>
      </c>
      <c r="L230" s="50">
        <v>7.01</v>
      </c>
      <c r="M230" s="57"/>
      <c r="N230" s="55">
        <v>4.8726851851851856E-3</v>
      </c>
      <c r="O230" s="57"/>
      <c r="P230" s="57"/>
      <c r="Q230" s="59">
        <f>IF(MIN(IF(ISBLANK(O230),N230,O230),IF(ISBLANK(N230),O230,N230))=0,"",MIN(IF(ISBLANK(O230),N230,O230),IF(ISBLANK(N230),O230,N230)))</f>
        <v>4.8726851851851856E-3</v>
      </c>
      <c r="R230" s="57"/>
      <c r="S230" s="57"/>
      <c r="T230" s="59">
        <f>IF(MIN(IF(ISBLANK(R230),Q230,R230),IF(ISBLANK(Q230),R230,Q230))=0,"",MIN(IF(ISBLANK(R230),Q230,R230),IF(ISBLANK(Q230),R230,Q230)))</f>
        <v>4.8726851851851856E-3</v>
      </c>
      <c r="U230" s="57"/>
      <c r="V230" s="57"/>
      <c r="W230" s="59">
        <f>IF(MIN(IF(ISBLANK(U230),T230,U230),IF(ISBLANK(T230),U230,T230))=0,"",MIN(IF(ISBLANK(U230),T230,U230),IF(ISBLANK(T230),U230,T230)))</f>
        <v>4.8726851851851856E-3</v>
      </c>
      <c r="X230" s="57"/>
      <c r="Y230" s="57"/>
      <c r="Z230" s="59">
        <f>IF(MIN(IF(ISBLANK(X230),W230,X230),IF(ISBLANK(W230),X230,W230))=0,"",MIN(IF(ISBLANK(X230),W230,X230),IF(ISBLANK(W230),X230,W230)))</f>
        <v>4.8726851851851856E-3</v>
      </c>
      <c r="AA230" s="57"/>
      <c r="AB230" s="57"/>
      <c r="AC230" s="59">
        <f t="shared" si="60"/>
        <v>4.8726851851851856E-3</v>
      </c>
      <c r="AD230" s="57"/>
      <c r="AE230" s="57"/>
      <c r="AF230" s="59"/>
    </row>
    <row r="231" spans="1:32">
      <c r="A231" s="24"/>
      <c r="B231" s="26" t="s">
        <v>649</v>
      </c>
      <c r="C231" s="26"/>
      <c r="D231" s="50"/>
      <c r="E231" s="51"/>
      <c r="F231" s="50"/>
      <c r="G231" s="52"/>
      <c r="H231" s="50"/>
      <c r="I231" s="53"/>
      <c r="J231" s="50"/>
      <c r="K231" s="53"/>
      <c r="L231" s="50"/>
      <c r="M231" s="57"/>
      <c r="N231" s="55"/>
      <c r="O231" s="57"/>
      <c r="P231" s="57"/>
      <c r="Q231" s="59"/>
      <c r="R231" s="57"/>
      <c r="S231" s="57"/>
      <c r="T231" s="59"/>
      <c r="U231" s="57"/>
      <c r="V231" s="57"/>
      <c r="W231" s="59"/>
      <c r="X231" s="57"/>
      <c r="Y231" s="57"/>
      <c r="Z231" s="59" t="str">
        <f>IF(MIN(IF(ISBLANK(X231),W231,X231),IF(ISBLANK(W231),X231,W231))=0,"",MIN(IF(ISBLANK(X231),W231,X231),IF(ISBLANK(W231),X231,W231)))</f>
        <v/>
      </c>
      <c r="AA231" s="57"/>
      <c r="AB231" s="57"/>
      <c r="AC231" s="59" t="str">
        <f t="shared" si="60"/>
        <v/>
      </c>
      <c r="AD231" s="57"/>
      <c r="AE231" s="57"/>
      <c r="AF231" s="59"/>
    </row>
    <row r="232" spans="1:32">
      <c r="A232" s="24"/>
      <c r="B232" s="26" t="s">
        <v>105</v>
      </c>
      <c r="C232" s="26" t="s">
        <v>451</v>
      </c>
      <c r="D232" s="50" t="s">
        <v>225</v>
      </c>
      <c r="E232" s="51"/>
      <c r="F232" s="50" t="s">
        <v>225</v>
      </c>
      <c r="G232" s="52"/>
      <c r="H232" s="50" t="s">
        <v>225</v>
      </c>
      <c r="I232" s="53"/>
      <c r="J232" s="50" t="s">
        <v>225</v>
      </c>
      <c r="K232" s="53"/>
      <c r="L232" s="50" t="s">
        <v>225</v>
      </c>
      <c r="M232" s="57"/>
      <c r="N232" s="55">
        <v>7.8703703703703713E-3</v>
      </c>
      <c r="O232" s="57"/>
      <c r="P232" s="57"/>
      <c r="Q232" s="59">
        <f>IF(MIN(IF(ISBLANK(O232),N232,O232),IF(ISBLANK(N232),O232,N232))=0,"",MIN(IF(ISBLANK(O232),N232,O232),IF(ISBLANK(N232),O232,N232)))</f>
        <v>7.8703703703703713E-3</v>
      </c>
      <c r="R232" s="57"/>
      <c r="S232" s="57"/>
      <c r="T232" s="59">
        <f>IF(MIN(IF(ISBLANK(R232),Q232,R232),IF(ISBLANK(Q232),R232,Q232))=0,"",MIN(IF(ISBLANK(R232),Q232,R232),IF(ISBLANK(Q232),R232,Q232)))</f>
        <v>7.8703703703703713E-3</v>
      </c>
      <c r="U232" s="57"/>
      <c r="V232" s="57"/>
      <c r="W232" s="59">
        <f>IF(MIN(IF(ISBLANK(U232),T232,U232),IF(ISBLANK(T232),U232,T232))=0,"",MIN(IF(ISBLANK(U232),T232,U232),IF(ISBLANK(T232),U232,T232)))</f>
        <v>7.8703703703703713E-3</v>
      </c>
      <c r="X232" s="57"/>
      <c r="Y232" s="57"/>
      <c r="Z232" s="59">
        <f>IF(MIN(IF(ISBLANK(X232),W232,X232),IF(ISBLANK(W232),X232,W232))=0,"",MIN(IF(ISBLANK(X232),W232,X232),IF(ISBLANK(W232),X232,W232)))</f>
        <v>7.8703703703703713E-3</v>
      </c>
      <c r="AA232" s="57"/>
      <c r="AB232" s="57"/>
      <c r="AC232" s="59">
        <f t="shared" si="60"/>
        <v>7.8703703703703713E-3</v>
      </c>
      <c r="AD232" s="57"/>
      <c r="AE232" s="57"/>
      <c r="AF232" s="59"/>
    </row>
    <row r="233" spans="1:32">
      <c r="A233" s="24"/>
      <c r="B233" s="26" t="s">
        <v>98</v>
      </c>
      <c r="C233" s="26" t="s">
        <v>451</v>
      </c>
      <c r="D233" s="50">
        <v>10.44</v>
      </c>
      <c r="E233" s="51"/>
      <c r="F233" s="50">
        <v>10.44</v>
      </c>
      <c r="G233" s="52"/>
      <c r="H233" s="50">
        <v>10.44</v>
      </c>
      <c r="I233" s="53"/>
      <c r="J233" s="50">
        <v>10.44</v>
      </c>
      <c r="K233" s="53"/>
      <c r="L233" s="50">
        <v>10.44</v>
      </c>
      <c r="M233" s="57"/>
      <c r="N233" s="55">
        <v>7.4537037037037028E-3</v>
      </c>
      <c r="O233" s="57"/>
      <c r="P233" s="57"/>
      <c r="Q233" s="59">
        <f>IF(MIN(IF(ISBLANK(O233),N233,O233),IF(ISBLANK(N233),O233,N233))=0,"",MIN(IF(ISBLANK(O233),N233,O233),IF(ISBLANK(N233),O233,N233)))</f>
        <v>7.4537037037037028E-3</v>
      </c>
      <c r="R233" s="57"/>
      <c r="S233" s="57"/>
      <c r="T233" s="59">
        <f>IF(MIN(IF(ISBLANK(R233),Q233,R233),IF(ISBLANK(Q233),R233,Q233))=0,"",MIN(IF(ISBLANK(R233),Q233,R233),IF(ISBLANK(Q233),R233,Q233)))</f>
        <v>7.4537037037037028E-3</v>
      </c>
      <c r="U233" s="57"/>
      <c r="V233" s="57"/>
      <c r="W233" s="59">
        <f>IF(MIN(IF(ISBLANK(U233),T233,U233),IF(ISBLANK(T233),U233,T233))=0,"",MIN(IF(ISBLANK(U233),T233,U233),IF(ISBLANK(T233),U233,T233)))</f>
        <v>7.4537037037037028E-3</v>
      </c>
      <c r="X233" s="57"/>
      <c r="Y233" s="57"/>
      <c r="Z233" s="59">
        <f>IF(MIN(IF(ISBLANK(X233),W233,X233),IF(ISBLANK(W233),X233,W233))=0,"",MIN(IF(ISBLANK(X233),W233,X233),IF(ISBLANK(W233),X233,W233)))</f>
        <v>7.4537037037037028E-3</v>
      </c>
      <c r="AA233" s="57"/>
      <c r="AB233" s="57"/>
      <c r="AC233" s="59">
        <f t="shared" si="60"/>
        <v>7.4537037037037028E-3</v>
      </c>
      <c r="AD233" s="57"/>
      <c r="AE233" s="57"/>
      <c r="AF233" s="59"/>
    </row>
    <row r="234" spans="1:32">
      <c r="A234" s="24" t="s">
        <v>326</v>
      </c>
      <c r="B234" s="26" t="s">
        <v>725</v>
      </c>
      <c r="C234" s="26"/>
      <c r="D234" s="50"/>
      <c r="E234" s="51"/>
      <c r="F234" s="50"/>
      <c r="G234" s="52"/>
      <c r="H234" s="50"/>
      <c r="I234" s="53"/>
      <c r="J234" s="50"/>
      <c r="K234" s="53"/>
      <c r="L234" s="50"/>
      <c r="M234" s="57"/>
      <c r="N234" s="55"/>
      <c r="O234" s="57"/>
      <c r="P234" s="57"/>
      <c r="Q234" s="59"/>
      <c r="R234" s="57"/>
      <c r="S234" s="57"/>
      <c r="T234" s="59"/>
      <c r="U234" s="57"/>
      <c r="V234" s="57"/>
      <c r="W234" s="59"/>
      <c r="X234" s="57"/>
      <c r="Y234" s="57"/>
      <c r="Z234" s="59"/>
      <c r="AA234" s="57">
        <v>5.0578703703703706E-3</v>
      </c>
      <c r="AB234" s="57"/>
      <c r="AC234" s="59">
        <f t="shared" si="60"/>
        <v>5.0578703703703706E-3</v>
      </c>
      <c r="AD234" s="57"/>
      <c r="AE234" s="57"/>
      <c r="AF234" s="59"/>
    </row>
    <row r="235" spans="1:32">
      <c r="A235" s="24" t="s">
        <v>326</v>
      </c>
      <c r="B235" s="26" t="s">
        <v>555</v>
      </c>
      <c r="C235" s="26"/>
      <c r="D235" s="50"/>
      <c r="E235" s="51"/>
      <c r="F235" s="50"/>
      <c r="G235" s="52"/>
      <c r="H235" s="50"/>
      <c r="I235" s="53"/>
      <c r="J235" s="50"/>
      <c r="K235" s="53"/>
      <c r="L235" s="50"/>
      <c r="M235" s="57"/>
      <c r="N235" s="55"/>
      <c r="O235" s="57">
        <v>4.3749999999999995E-3</v>
      </c>
      <c r="P235" s="57"/>
      <c r="Q235" s="59">
        <f>IF(MIN(IF(ISBLANK(O235),N235,O235),IF(ISBLANK(N235),O235,N235))=0,"",MIN(IF(ISBLANK(O235),N235,O235),IF(ISBLANK(N235),O235,N235)))</f>
        <v>4.3749999999999995E-3</v>
      </c>
      <c r="R235" s="57"/>
      <c r="S235" s="57"/>
      <c r="T235" s="59">
        <f>IF(MIN(IF(ISBLANK(R235),Q235,R235),IF(ISBLANK(Q235),R235,Q235))=0,"",MIN(IF(ISBLANK(R235),Q235,R235),IF(ISBLANK(Q235),R235,Q235)))</f>
        <v>4.3749999999999995E-3</v>
      </c>
      <c r="U235" s="57"/>
      <c r="V235" s="57"/>
      <c r="W235" s="59">
        <f>IF(MIN(IF(ISBLANK(U235),T235,U235),IF(ISBLANK(T235),U235,T235))=0,"",MIN(IF(ISBLANK(U235),T235,U235),IF(ISBLANK(T235),U235,T235)))</f>
        <v>4.3749999999999995E-3</v>
      </c>
      <c r="X235" s="57">
        <v>4.4328703703703709E-3</v>
      </c>
      <c r="Y235" s="57"/>
      <c r="Z235" s="59">
        <f>IF(MIN(IF(ISBLANK(X235),W235,X235),IF(ISBLANK(W235),X235,W235))=0,"",MIN(IF(ISBLANK(X235),W235,X235),IF(ISBLANK(W235),X235,W235)))</f>
        <v>4.3749999999999995E-3</v>
      </c>
      <c r="AA235" s="57"/>
      <c r="AB235" s="57"/>
      <c r="AC235" s="59">
        <f t="shared" si="60"/>
        <v>4.3749999999999995E-3</v>
      </c>
      <c r="AD235" s="57"/>
      <c r="AE235" s="57"/>
      <c r="AF235" s="59"/>
    </row>
    <row r="236" spans="1:32">
      <c r="A236" s="24"/>
      <c r="B236" s="26" t="s">
        <v>490</v>
      </c>
      <c r="C236" s="26" t="s">
        <v>450</v>
      </c>
      <c r="D236" s="50"/>
      <c r="E236" s="51"/>
      <c r="F236" s="50"/>
      <c r="G236" s="52"/>
      <c r="H236" s="50"/>
      <c r="I236" s="53"/>
      <c r="J236" s="50"/>
      <c r="K236" s="53">
        <v>6.24</v>
      </c>
      <c r="L236" s="50">
        <v>6.24</v>
      </c>
      <c r="M236" s="57"/>
      <c r="N236" s="55">
        <v>4.4444444444444444E-3</v>
      </c>
      <c r="O236" s="57"/>
      <c r="P236" s="57"/>
      <c r="Q236" s="59">
        <f>IF(MIN(IF(ISBLANK(O236),N236,O236),IF(ISBLANK(N236),O236,N236))=0,"",MIN(IF(ISBLANK(O236),N236,O236),IF(ISBLANK(N236),O236,N236)))</f>
        <v>4.4444444444444444E-3</v>
      </c>
      <c r="R236" s="57"/>
      <c r="S236" s="57"/>
      <c r="T236" s="59">
        <f>IF(MIN(IF(ISBLANK(R236),Q236,R236),IF(ISBLANK(Q236),R236,Q236))=0,"",MIN(IF(ISBLANK(R236),Q236,R236),IF(ISBLANK(Q236),R236,Q236)))</f>
        <v>4.4444444444444444E-3</v>
      </c>
      <c r="U236" s="57"/>
      <c r="V236" s="57"/>
      <c r="W236" s="59">
        <f>IF(MIN(IF(ISBLANK(U236),T236,U236),IF(ISBLANK(T236),U236,T236))=0,"",MIN(IF(ISBLANK(U236),T236,U236),IF(ISBLANK(T236),U236,T236)))</f>
        <v>4.4444444444444444E-3</v>
      </c>
      <c r="X236" s="57"/>
      <c r="Y236" s="57"/>
      <c r="Z236" s="59">
        <f>IF(MIN(IF(ISBLANK(X236),W236,X236),IF(ISBLANK(W236),X236,W236))=0,"",MIN(IF(ISBLANK(X236),W236,X236),IF(ISBLANK(W236),X236,W236)))</f>
        <v>4.4444444444444444E-3</v>
      </c>
      <c r="AA236" s="57"/>
      <c r="AB236" s="57"/>
      <c r="AC236" s="59">
        <f t="shared" si="60"/>
        <v>4.4444444444444444E-3</v>
      </c>
      <c r="AD236" s="57"/>
      <c r="AE236" s="57"/>
      <c r="AF236" s="59"/>
    </row>
    <row r="237" spans="1:32">
      <c r="A237" s="24"/>
      <c r="B237" s="26" t="s">
        <v>118</v>
      </c>
      <c r="C237" s="26" t="s">
        <v>450</v>
      </c>
      <c r="D237" s="50">
        <v>6.17</v>
      </c>
      <c r="E237" s="51" t="s">
        <v>298</v>
      </c>
      <c r="F237" s="50">
        <v>6.17</v>
      </c>
      <c r="G237" s="52">
        <v>6.24</v>
      </c>
      <c r="H237" s="50">
        <v>6.17</v>
      </c>
      <c r="I237" s="53"/>
      <c r="J237" s="50">
        <v>6.17</v>
      </c>
      <c r="K237" s="53">
        <v>6.11</v>
      </c>
      <c r="L237" s="50">
        <v>6.11</v>
      </c>
      <c r="M237" s="57">
        <v>4.3981481481481484E-3</v>
      </c>
      <c r="N237" s="55">
        <v>4.2939814814814811E-3</v>
      </c>
      <c r="O237" s="57">
        <v>4.340277777777778E-3</v>
      </c>
      <c r="P237" s="57"/>
      <c r="Q237" s="59">
        <f>IF(MIN(IF(ISBLANK(O237),N237,O237),IF(ISBLANK(N237),O237,N237))=0,"",MIN(IF(ISBLANK(O237),N237,O237),IF(ISBLANK(N237),O237,N237)))</f>
        <v>4.2939814814814811E-3</v>
      </c>
      <c r="R237" s="57"/>
      <c r="S237" s="57"/>
      <c r="T237" s="59">
        <f>IF(MIN(IF(ISBLANK(R237),Q237,R237),IF(ISBLANK(Q237),R237,Q237))=0,"",MIN(IF(ISBLANK(R237),Q237,R237),IF(ISBLANK(Q237),R237,Q237)))</f>
        <v>4.2939814814814811E-3</v>
      </c>
      <c r="U237" s="57"/>
      <c r="V237" s="57"/>
      <c r="W237" s="59">
        <f>IF(MIN(IF(ISBLANK(U237),T237,U237),IF(ISBLANK(T237),U237,T237))=0,"",MIN(IF(ISBLANK(U237),T237,U237),IF(ISBLANK(T237),U237,T237)))</f>
        <v>4.2939814814814811E-3</v>
      </c>
      <c r="X237" s="57"/>
      <c r="Y237" s="57"/>
      <c r="Z237" s="59">
        <f>IF(MIN(IF(ISBLANK(X237),W237,X237),IF(ISBLANK(W237),X237,W237))=0,"",MIN(IF(ISBLANK(X237),W237,X237),IF(ISBLANK(W237),X237,W237)))</f>
        <v>4.2939814814814811E-3</v>
      </c>
      <c r="AA237" s="57"/>
      <c r="AB237" s="57"/>
      <c r="AC237" s="59">
        <f t="shared" si="60"/>
        <v>4.2939814814814811E-3</v>
      </c>
      <c r="AD237" s="57"/>
      <c r="AE237" s="57"/>
      <c r="AF237" s="59"/>
    </row>
    <row r="238" spans="1:32">
      <c r="A238" s="24"/>
      <c r="B238" s="26" t="s">
        <v>124</v>
      </c>
      <c r="C238" s="26" t="s">
        <v>450</v>
      </c>
      <c r="D238" s="50"/>
      <c r="E238" s="51"/>
      <c r="F238" s="50" t="s">
        <v>455</v>
      </c>
      <c r="G238" s="52"/>
      <c r="H238" s="50"/>
      <c r="I238" s="53"/>
      <c r="J238" s="50" t="s">
        <v>455</v>
      </c>
      <c r="K238" s="53"/>
      <c r="L238" s="50"/>
      <c r="M238" s="57"/>
      <c r="N238" s="55" t="s">
        <v>455</v>
      </c>
      <c r="O238" s="57"/>
      <c r="P238" s="57"/>
      <c r="Q238" s="59" t="str">
        <f>IF(MIN(IF(ISBLANK(O238),N238,O238),IF(ISBLANK(N238),O238,N238))=0,"",MIN(IF(ISBLANK(O238),N238,O238),IF(ISBLANK(N238),O238,N238)))</f>
        <v/>
      </c>
      <c r="R238" s="57"/>
      <c r="S238" s="57"/>
      <c r="T238" s="59" t="str">
        <f>IF(MIN(IF(ISBLANK(R238),Q238,R238),IF(ISBLANK(Q238),R238,Q238))=0,"",MIN(IF(ISBLANK(R238),Q238,R238),IF(ISBLANK(Q238),R238,Q238)))</f>
        <v/>
      </c>
      <c r="U238" s="57"/>
      <c r="V238" s="57"/>
      <c r="W238" s="59" t="str">
        <f>IF(MIN(IF(ISBLANK(U238),T238,U238),IF(ISBLANK(T238),U238,T238))=0,"",MIN(IF(ISBLANK(U238),T238,U238),IF(ISBLANK(T238),U238,T238)))</f>
        <v/>
      </c>
      <c r="X238" s="57"/>
      <c r="Y238" s="57"/>
      <c r="Z238" s="59" t="str">
        <f>IF(MIN(IF(ISBLANK(X238),W238,X238),IF(ISBLANK(W238),X238,W238))=0,"",MIN(IF(ISBLANK(X238),W238,X238),IF(ISBLANK(W238),X238,W238)))</f>
        <v/>
      </c>
      <c r="AA238" s="57"/>
      <c r="AB238" s="57"/>
      <c r="AC238" s="59" t="str">
        <f t="shared" si="60"/>
        <v/>
      </c>
      <c r="AD238" s="57"/>
      <c r="AE238" s="57"/>
      <c r="AF238" s="59"/>
    </row>
    <row r="239" spans="1:32">
      <c r="A239" s="24"/>
      <c r="B239" s="26" t="s">
        <v>721</v>
      </c>
      <c r="C239" s="26"/>
      <c r="D239" s="50"/>
      <c r="E239" s="51"/>
      <c r="F239" s="50"/>
      <c r="G239" s="52"/>
      <c r="H239" s="50"/>
      <c r="I239" s="53"/>
      <c r="J239" s="50"/>
      <c r="K239" s="53"/>
      <c r="L239" s="50"/>
      <c r="M239" s="57"/>
      <c r="N239" s="55"/>
      <c r="O239" s="57"/>
      <c r="P239" s="57"/>
      <c r="Q239" s="59"/>
      <c r="R239" s="57"/>
      <c r="S239" s="57"/>
      <c r="T239" s="59"/>
      <c r="U239" s="57"/>
      <c r="V239" s="57"/>
      <c r="W239" s="59"/>
      <c r="X239" s="57"/>
      <c r="Y239" s="57"/>
      <c r="Z239" s="59"/>
      <c r="AA239" s="57">
        <v>6.6666666666666671E-3</v>
      </c>
      <c r="AB239" s="57"/>
      <c r="AC239" s="59">
        <f t="shared" si="60"/>
        <v>6.6666666666666671E-3</v>
      </c>
      <c r="AD239" s="57"/>
      <c r="AE239" s="57"/>
      <c r="AF239" s="59"/>
    </row>
    <row r="240" spans="1:32">
      <c r="A240" s="24"/>
      <c r="B240" s="26" t="s">
        <v>135</v>
      </c>
      <c r="C240" s="26" t="s">
        <v>451</v>
      </c>
      <c r="D240" s="50"/>
      <c r="E240" s="51"/>
      <c r="F240" s="50" t="s">
        <v>455</v>
      </c>
      <c r="G240" s="52"/>
      <c r="H240" s="50"/>
      <c r="I240" s="53"/>
      <c r="J240" s="50" t="s">
        <v>455</v>
      </c>
      <c r="K240" s="53"/>
      <c r="L240" s="50"/>
      <c r="M240" s="57"/>
      <c r="N240" s="55" t="s">
        <v>455</v>
      </c>
      <c r="O240" s="57"/>
      <c r="P240" s="57"/>
      <c r="Q240" s="59" t="str">
        <f t="shared" ref="Q240:Q247" si="62">IF(MIN(IF(ISBLANK(O240),N240,O240),IF(ISBLANK(N240),O240,N240))=0,"",MIN(IF(ISBLANK(O240),N240,O240),IF(ISBLANK(N240),O240,N240)))</f>
        <v/>
      </c>
      <c r="R240" s="57"/>
      <c r="S240" s="57"/>
      <c r="T240" s="59" t="str">
        <f t="shared" ref="T240:T247" si="63">IF(MIN(IF(ISBLANK(R240),Q240,R240),IF(ISBLANK(Q240),R240,Q240))=0,"",MIN(IF(ISBLANK(R240),Q240,R240),IF(ISBLANK(Q240),R240,Q240)))</f>
        <v/>
      </c>
      <c r="U240" s="57"/>
      <c r="V240" s="57"/>
      <c r="W240" s="59" t="str">
        <f t="shared" ref="W240:W247" si="64">IF(MIN(IF(ISBLANK(U240),T240,U240),IF(ISBLANK(T240),U240,T240))=0,"",MIN(IF(ISBLANK(U240),T240,U240),IF(ISBLANK(T240),U240,T240)))</f>
        <v/>
      </c>
      <c r="X240" s="57"/>
      <c r="Y240" s="57"/>
      <c r="Z240" s="59" t="str">
        <f t="shared" ref="Z240:Z256" si="65">IF(MIN(IF(ISBLANK(X240),W240,X240),IF(ISBLANK(W240),X240,W240))=0,"",MIN(IF(ISBLANK(X240),W240,X240),IF(ISBLANK(W240),X240,W240)))</f>
        <v/>
      </c>
      <c r="AA240" s="57"/>
      <c r="AB240" s="57"/>
      <c r="AC240" s="59" t="str">
        <f t="shared" si="60"/>
        <v/>
      </c>
      <c r="AD240" s="57"/>
      <c r="AE240" s="57"/>
      <c r="AF240" s="59"/>
    </row>
    <row r="241" spans="1:32">
      <c r="A241" s="24"/>
      <c r="B241" s="26" t="s">
        <v>401</v>
      </c>
      <c r="C241" s="26" t="s">
        <v>450</v>
      </c>
      <c r="D241" s="50"/>
      <c r="E241" s="51"/>
      <c r="F241" s="50"/>
      <c r="G241" s="52"/>
      <c r="H241" s="50"/>
      <c r="I241" s="53"/>
      <c r="J241" s="50" t="s">
        <v>455</v>
      </c>
      <c r="K241" s="53"/>
      <c r="L241" s="50"/>
      <c r="M241" s="57"/>
      <c r="N241" s="55" t="s">
        <v>455</v>
      </c>
      <c r="O241" s="57"/>
      <c r="P241" s="57"/>
      <c r="Q241" s="59" t="str">
        <f t="shared" si="62"/>
        <v/>
      </c>
      <c r="R241" s="57"/>
      <c r="S241" s="57"/>
      <c r="T241" s="59" t="str">
        <f t="shared" si="63"/>
        <v/>
      </c>
      <c r="U241" s="57"/>
      <c r="V241" s="57"/>
      <c r="W241" s="59" t="str">
        <f t="shared" si="64"/>
        <v/>
      </c>
      <c r="X241" s="57"/>
      <c r="Y241" s="57"/>
      <c r="Z241" s="59" t="str">
        <f t="shared" si="65"/>
        <v/>
      </c>
      <c r="AA241" s="57"/>
      <c r="AB241" s="57"/>
      <c r="AC241" s="59" t="str">
        <f t="shared" si="60"/>
        <v/>
      </c>
      <c r="AD241" s="57"/>
      <c r="AE241" s="57"/>
      <c r="AF241" s="59"/>
    </row>
    <row r="242" spans="1:32">
      <c r="A242" s="24"/>
      <c r="B242" s="26" t="s">
        <v>557</v>
      </c>
      <c r="C242" s="26"/>
      <c r="D242" s="50"/>
      <c r="E242" s="51"/>
      <c r="F242" s="50"/>
      <c r="G242" s="52"/>
      <c r="H242" s="50"/>
      <c r="I242" s="53"/>
      <c r="J242" s="50"/>
      <c r="K242" s="53"/>
      <c r="L242" s="50"/>
      <c r="M242" s="57"/>
      <c r="N242" s="55" t="s">
        <v>455</v>
      </c>
      <c r="O242" s="57"/>
      <c r="P242" s="57"/>
      <c r="Q242" s="59" t="str">
        <f t="shared" si="62"/>
        <v/>
      </c>
      <c r="R242" s="57"/>
      <c r="S242" s="57"/>
      <c r="T242" s="59" t="str">
        <f t="shared" si="63"/>
        <v/>
      </c>
      <c r="U242" s="57"/>
      <c r="V242" s="57"/>
      <c r="W242" s="59" t="str">
        <f t="shared" si="64"/>
        <v/>
      </c>
      <c r="X242" s="57"/>
      <c r="Y242" s="57"/>
      <c r="Z242" s="59" t="str">
        <f t="shared" si="65"/>
        <v/>
      </c>
      <c r="AA242" s="57"/>
      <c r="AB242" s="57"/>
      <c r="AC242" s="59" t="str">
        <f t="shared" si="60"/>
        <v/>
      </c>
      <c r="AD242" s="57"/>
      <c r="AE242" s="57"/>
      <c r="AF242" s="59"/>
    </row>
    <row r="243" spans="1:32">
      <c r="A243" s="24"/>
      <c r="B243" s="26" t="s">
        <v>141</v>
      </c>
      <c r="C243" s="26" t="s">
        <v>450</v>
      </c>
      <c r="D243" s="50">
        <v>7.12</v>
      </c>
      <c r="E243" s="51"/>
      <c r="F243" s="50">
        <v>7.12</v>
      </c>
      <c r="G243" s="52"/>
      <c r="H243" s="50">
        <v>7.12</v>
      </c>
      <c r="I243" s="53"/>
      <c r="J243" s="50">
        <v>7.12</v>
      </c>
      <c r="K243" s="53"/>
      <c r="L243" s="50">
        <v>7.12</v>
      </c>
      <c r="M243" s="57"/>
      <c r="N243" s="55">
        <v>5.0000000000000001E-3</v>
      </c>
      <c r="O243" s="57"/>
      <c r="P243" s="57"/>
      <c r="Q243" s="59">
        <f t="shared" si="62"/>
        <v>5.0000000000000001E-3</v>
      </c>
      <c r="R243" s="57"/>
      <c r="S243" s="57"/>
      <c r="T243" s="59">
        <f t="shared" si="63"/>
        <v>5.0000000000000001E-3</v>
      </c>
      <c r="U243" s="57"/>
      <c r="V243" s="57"/>
      <c r="W243" s="59">
        <f t="shared" si="64"/>
        <v>5.0000000000000001E-3</v>
      </c>
      <c r="X243" s="57"/>
      <c r="Y243" s="57"/>
      <c r="Z243" s="59">
        <f t="shared" si="65"/>
        <v>5.0000000000000001E-3</v>
      </c>
      <c r="AA243" s="57"/>
      <c r="AB243" s="57"/>
      <c r="AC243" s="59">
        <f t="shared" si="60"/>
        <v>5.0000000000000001E-3</v>
      </c>
      <c r="AD243" s="57"/>
      <c r="AE243" s="57"/>
      <c r="AF243" s="59"/>
    </row>
    <row r="244" spans="1:32">
      <c r="A244" s="24"/>
      <c r="B244" s="26" t="s">
        <v>439</v>
      </c>
      <c r="C244" s="26" t="s">
        <v>450</v>
      </c>
      <c r="D244" s="50"/>
      <c r="E244" s="51"/>
      <c r="F244" s="50"/>
      <c r="G244" s="52"/>
      <c r="H244" s="50"/>
      <c r="I244" s="53"/>
      <c r="J244" s="50" t="s">
        <v>455</v>
      </c>
      <c r="K244" s="53"/>
      <c r="L244" s="50"/>
      <c r="M244" s="57"/>
      <c r="N244" s="55"/>
      <c r="O244" s="57"/>
      <c r="P244" s="57"/>
      <c r="Q244" s="59" t="str">
        <f t="shared" si="62"/>
        <v/>
      </c>
      <c r="R244" s="57"/>
      <c r="S244" s="57"/>
      <c r="T244" s="59" t="str">
        <f t="shared" si="63"/>
        <v/>
      </c>
      <c r="U244" s="57"/>
      <c r="V244" s="57"/>
      <c r="W244" s="59" t="str">
        <f t="shared" si="64"/>
        <v/>
      </c>
      <c r="X244" s="57"/>
      <c r="Y244" s="57"/>
      <c r="Z244" s="59" t="str">
        <f t="shared" si="65"/>
        <v/>
      </c>
      <c r="AA244" s="57"/>
      <c r="AB244" s="57"/>
      <c r="AC244" s="59" t="str">
        <f t="shared" si="60"/>
        <v/>
      </c>
      <c r="AD244" s="57"/>
      <c r="AE244" s="57"/>
      <c r="AF244" s="59"/>
    </row>
    <row r="245" spans="1:32">
      <c r="A245" s="24"/>
      <c r="B245" s="26" t="s">
        <v>402</v>
      </c>
      <c r="C245" s="26" t="s">
        <v>450</v>
      </c>
      <c r="D245" s="50"/>
      <c r="E245" s="51"/>
      <c r="F245" s="50"/>
      <c r="G245" s="52"/>
      <c r="H245" s="50"/>
      <c r="I245" s="53">
        <v>9.58</v>
      </c>
      <c r="J245" s="50">
        <v>9.58</v>
      </c>
      <c r="K245" s="53"/>
      <c r="L245" s="50">
        <v>9.58</v>
      </c>
      <c r="M245" s="57"/>
      <c r="N245" s="55">
        <v>6.9212962962962969E-3</v>
      </c>
      <c r="O245" s="57"/>
      <c r="P245" s="57"/>
      <c r="Q245" s="59">
        <f t="shared" si="62"/>
        <v>6.9212962962962969E-3</v>
      </c>
      <c r="R245" s="57"/>
      <c r="S245" s="57"/>
      <c r="T245" s="59">
        <f t="shared" si="63"/>
        <v>6.9212962962962969E-3</v>
      </c>
      <c r="U245" s="57"/>
      <c r="V245" s="57"/>
      <c r="W245" s="59">
        <f t="shared" si="64"/>
        <v>6.9212962962962969E-3</v>
      </c>
      <c r="X245" s="57"/>
      <c r="Y245" s="57"/>
      <c r="Z245" s="59">
        <f t="shared" si="65"/>
        <v>6.9212962962962969E-3</v>
      </c>
      <c r="AA245" s="57"/>
      <c r="AB245" s="57"/>
      <c r="AC245" s="59">
        <f t="shared" si="60"/>
        <v>6.9212962962962969E-3</v>
      </c>
      <c r="AD245" s="57"/>
      <c r="AE245" s="57"/>
      <c r="AF245" s="59"/>
    </row>
    <row r="246" spans="1:32">
      <c r="A246" s="24"/>
      <c r="B246" s="26" t="s">
        <v>148</v>
      </c>
      <c r="C246" s="26" t="s">
        <v>450</v>
      </c>
      <c r="D246" s="50">
        <v>7.19</v>
      </c>
      <c r="E246" s="51"/>
      <c r="F246" s="50">
        <v>7.19</v>
      </c>
      <c r="G246" s="52"/>
      <c r="H246" s="50">
        <v>7.19</v>
      </c>
      <c r="I246" s="53"/>
      <c r="J246" s="50">
        <v>7.19</v>
      </c>
      <c r="K246" s="53"/>
      <c r="L246" s="50">
        <v>7.19</v>
      </c>
      <c r="M246" s="57"/>
      <c r="N246" s="55">
        <v>5.0810185185185186E-3</v>
      </c>
      <c r="O246" s="57"/>
      <c r="P246" s="57"/>
      <c r="Q246" s="59">
        <f t="shared" si="62"/>
        <v>5.0810185185185186E-3</v>
      </c>
      <c r="R246" s="57"/>
      <c r="S246" s="57"/>
      <c r="T246" s="59">
        <f t="shared" si="63"/>
        <v>5.0810185185185186E-3</v>
      </c>
      <c r="U246" s="57">
        <v>5.208333333333333E-3</v>
      </c>
      <c r="V246" s="57"/>
      <c r="W246" s="59">
        <f t="shared" si="64"/>
        <v>5.0810185185185186E-3</v>
      </c>
      <c r="X246" s="57">
        <v>5.185185185185185E-3</v>
      </c>
      <c r="Y246" s="57"/>
      <c r="Z246" s="59">
        <f t="shared" si="65"/>
        <v>5.0810185185185186E-3</v>
      </c>
      <c r="AA246" s="57"/>
      <c r="AB246" s="57"/>
      <c r="AC246" s="59">
        <f t="shared" si="60"/>
        <v>5.0810185185185186E-3</v>
      </c>
      <c r="AD246" s="57"/>
      <c r="AE246" s="57"/>
      <c r="AF246" s="59"/>
    </row>
    <row r="247" spans="1:32">
      <c r="A247" s="24"/>
      <c r="B247" s="26" t="s">
        <v>541</v>
      </c>
      <c r="C247" s="26" t="s">
        <v>450</v>
      </c>
      <c r="D247" s="50"/>
      <c r="E247" s="51"/>
      <c r="F247" s="50"/>
      <c r="G247" s="52"/>
      <c r="H247" s="50"/>
      <c r="I247" s="53"/>
      <c r="J247" s="50"/>
      <c r="K247" s="53"/>
      <c r="L247" s="50"/>
      <c r="M247" s="57"/>
      <c r="N247" s="55"/>
      <c r="O247" s="57">
        <v>5.37037037037037E-3</v>
      </c>
      <c r="P247" s="57"/>
      <c r="Q247" s="59">
        <f t="shared" si="62"/>
        <v>5.37037037037037E-3</v>
      </c>
      <c r="R247" s="57"/>
      <c r="S247" s="57"/>
      <c r="T247" s="59">
        <f t="shared" si="63"/>
        <v>5.37037037037037E-3</v>
      </c>
      <c r="U247" s="57"/>
      <c r="V247" s="57"/>
      <c r="W247" s="59">
        <f t="shared" si="64"/>
        <v>5.37037037037037E-3</v>
      </c>
      <c r="X247" s="57"/>
      <c r="Y247" s="57"/>
      <c r="Z247" s="59">
        <f t="shared" si="65"/>
        <v>5.37037037037037E-3</v>
      </c>
      <c r="AA247" s="57"/>
      <c r="AB247" s="57"/>
      <c r="AC247" s="59">
        <f t="shared" si="60"/>
        <v>5.37037037037037E-3</v>
      </c>
      <c r="AD247" s="57"/>
      <c r="AE247" s="57"/>
      <c r="AF247" s="59"/>
    </row>
    <row r="248" spans="1:32">
      <c r="A248" s="24" t="s">
        <v>326</v>
      </c>
      <c r="B248" s="26" t="s">
        <v>650</v>
      </c>
      <c r="C248" s="26"/>
      <c r="D248" s="50"/>
      <c r="E248" s="51"/>
      <c r="F248" s="50"/>
      <c r="G248" s="52"/>
      <c r="H248" s="50"/>
      <c r="I248" s="53"/>
      <c r="J248" s="50"/>
      <c r="K248" s="53"/>
      <c r="L248" s="50"/>
      <c r="M248" s="57"/>
      <c r="N248" s="55"/>
      <c r="O248" s="57"/>
      <c r="P248" s="57"/>
      <c r="Q248" s="59"/>
      <c r="R248" s="57"/>
      <c r="S248" s="57"/>
      <c r="T248" s="59"/>
      <c r="U248" s="57"/>
      <c r="V248" s="57"/>
      <c r="W248" s="59"/>
      <c r="X248" s="57">
        <v>4.5138888888888893E-3</v>
      </c>
      <c r="Y248" s="57"/>
      <c r="Z248" s="59">
        <f t="shared" si="65"/>
        <v>4.5138888888888893E-3</v>
      </c>
      <c r="AA248" s="57"/>
      <c r="AB248" s="57"/>
      <c r="AC248" s="59">
        <f t="shared" si="60"/>
        <v>4.5138888888888893E-3</v>
      </c>
      <c r="AD248" s="57"/>
      <c r="AE248" s="57"/>
      <c r="AF248" s="59"/>
    </row>
    <row r="249" spans="1:32">
      <c r="A249" s="24"/>
      <c r="B249" s="26" t="s">
        <v>153</v>
      </c>
      <c r="C249" s="26" t="s">
        <v>450</v>
      </c>
      <c r="D249" s="50">
        <v>8.31</v>
      </c>
      <c r="E249" s="51"/>
      <c r="F249" s="50">
        <v>8.31</v>
      </c>
      <c r="G249" s="52"/>
      <c r="H249" s="50">
        <v>8.31</v>
      </c>
      <c r="I249" s="53"/>
      <c r="J249" s="50">
        <v>8.31</v>
      </c>
      <c r="K249" s="53"/>
      <c r="L249" s="50">
        <v>8.31</v>
      </c>
      <c r="M249" s="57"/>
      <c r="N249" s="55">
        <v>5.9143518518518521E-3</v>
      </c>
      <c r="O249" s="57">
        <v>5.9027777777777776E-3</v>
      </c>
      <c r="P249" s="57"/>
      <c r="Q249" s="59">
        <f>IF(MIN(IF(ISBLANK(O249),N249,O249),IF(ISBLANK(N249),O249,N249))=0,"",MIN(IF(ISBLANK(O249),N249,O249),IF(ISBLANK(N249),O249,N249)))</f>
        <v>5.9027777777777776E-3</v>
      </c>
      <c r="R249" s="57"/>
      <c r="S249" s="57"/>
      <c r="T249" s="59">
        <f t="shared" ref="T249:T256" si="66">IF(MIN(IF(ISBLANK(R249),Q249,R249),IF(ISBLANK(Q249),R249,Q249))=0,"",MIN(IF(ISBLANK(R249),Q249,R249),IF(ISBLANK(Q249),R249,Q249)))</f>
        <v>5.9027777777777776E-3</v>
      </c>
      <c r="U249" s="57"/>
      <c r="V249" s="57"/>
      <c r="W249" s="59">
        <f t="shared" ref="W249:W256" si="67">IF(MIN(IF(ISBLANK(U249),T249,U249),IF(ISBLANK(T249),U249,T249))=0,"",MIN(IF(ISBLANK(U249),T249,U249),IF(ISBLANK(T249),U249,T249)))</f>
        <v>5.9027777777777776E-3</v>
      </c>
      <c r="X249" s="57"/>
      <c r="Y249" s="57"/>
      <c r="Z249" s="59">
        <f t="shared" si="65"/>
        <v>5.9027777777777776E-3</v>
      </c>
      <c r="AA249" s="57"/>
      <c r="AB249" s="57"/>
      <c r="AC249" s="59">
        <f t="shared" si="60"/>
        <v>5.9027777777777776E-3</v>
      </c>
      <c r="AD249" s="57"/>
      <c r="AE249" s="57"/>
      <c r="AF249" s="59"/>
    </row>
    <row r="250" spans="1:32">
      <c r="A250" s="24" t="s">
        <v>326</v>
      </c>
      <c r="B250" s="26" t="s">
        <v>620</v>
      </c>
      <c r="C250" s="26"/>
      <c r="D250" s="50"/>
      <c r="E250" s="51"/>
      <c r="F250" s="50"/>
      <c r="G250" s="52"/>
      <c r="H250" s="50"/>
      <c r="I250" s="53"/>
      <c r="J250" s="50"/>
      <c r="K250" s="53"/>
      <c r="L250" s="50"/>
      <c r="M250" s="57"/>
      <c r="N250" s="55"/>
      <c r="O250" s="57"/>
      <c r="P250" s="57"/>
      <c r="Q250" s="59"/>
      <c r="R250" s="57"/>
      <c r="S250" s="57"/>
      <c r="T250" s="59" t="str">
        <f t="shared" si="66"/>
        <v/>
      </c>
      <c r="U250" s="57">
        <v>4.8379629629629632E-3</v>
      </c>
      <c r="V250" s="57"/>
      <c r="W250" s="59">
        <f t="shared" si="67"/>
        <v>4.8379629629629632E-3</v>
      </c>
      <c r="X250" s="57"/>
      <c r="Y250" s="57"/>
      <c r="Z250" s="59">
        <f t="shared" si="65"/>
        <v>4.8379629629629632E-3</v>
      </c>
      <c r="AA250" s="57"/>
      <c r="AB250" s="57"/>
      <c r="AC250" s="59">
        <f t="shared" si="60"/>
        <v>4.8379629629629632E-3</v>
      </c>
      <c r="AD250" s="57"/>
      <c r="AE250" s="57"/>
      <c r="AF250" s="59"/>
    </row>
    <row r="251" spans="1:32">
      <c r="A251" s="24"/>
      <c r="B251" s="26" t="s">
        <v>375</v>
      </c>
      <c r="C251" s="26" t="s">
        <v>450</v>
      </c>
      <c r="D251" s="50"/>
      <c r="E251" s="51"/>
      <c r="F251" s="50"/>
      <c r="G251" s="52" t="s">
        <v>352</v>
      </c>
      <c r="H251" s="50">
        <v>9.06</v>
      </c>
      <c r="I251" s="53"/>
      <c r="J251" s="50">
        <v>9.06</v>
      </c>
      <c r="K251" s="53"/>
      <c r="L251" s="50">
        <v>9.06</v>
      </c>
      <c r="M251" s="57"/>
      <c r="N251" s="55">
        <v>6.3194444444444444E-3</v>
      </c>
      <c r="O251" s="57"/>
      <c r="P251" s="57"/>
      <c r="Q251" s="59">
        <f>IF(MIN(IF(ISBLANK(O251),N251,O251),IF(ISBLANK(N251),O251,N251))=0,"",MIN(IF(ISBLANK(O251),N251,O251),IF(ISBLANK(N251),O251,N251)))</f>
        <v>6.3194444444444444E-3</v>
      </c>
      <c r="R251" s="57"/>
      <c r="S251" s="57"/>
      <c r="T251" s="59">
        <f t="shared" si="66"/>
        <v>6.3194444444444444E-3</v>
      </c>
      <c r="U251" s="57"/>
      <c r="V251" s="57"/>
      <c r="W251" s="59">
        <f t="shared" si="67"/>
        <v>6.3194444444444444E-3</v>
      </c>
      <c r="X251" s="57"/>
      <c r="Y251" s="57"/>
      <c r="Z251" s="59">
        <f t="shared" si="65"/>
        <v>6.3194444444444444E-3</v>
      </c>
      <c r="AA251" s="57"/>
      <c r="AB251" s="57"/>
      <c r="AC251" s="59">
        <f t="shared" si="60"/>
        <v>6.3194444444444444E-3</v>
      </c>
      <c r="AD251" s="57"/>
      <c r="AE251" s="57"/>
      <c r="AF251" s="59"/>
    </row>
    <row r="252" spans="1:32">
      <c r="A252" s="24"/>
      <c r="B252" s="26" t="s">
        <v>374</v>
      </c>
      <c r="C252" s="26" t="s">
        <v>450</v>
      </c>
      <c r="D252" s="50"/>
      <c r="E252" s="51"/>
      <c r="F252" s="50"/>
      <c r="G252" s="52" t="s">
        <v>299</v>
      </c>
      <c r="H252" s="50">
        <v>10.27</v>
      </c>
      <c r="I252" s="53">
        <v>9.4700000000000006</v>
      </c>
      <c r="J252" s="50">
        <v>9.4700000000000006</v>
      </c>
      <c r="K252" s="53"/>
      <c r="L252" s="50">
        <v>9.4700000000000006</v>
      </c>
      <c r="M252" s="57"/>
      <c r="N252" s="55">
        <v>6.7939814814814816E-3</v>
      </c>
      <c r="O252" s="57"/>
      <c r="P252" s="57"/>
      <c r="Q252" s="59">
        <f>IF(MIN(IF(ISBLANK(O252),N252,O252),IF(ISBLANK(N252),O252,N252))=0,"",MIN(IF(ISBLANK(O252),N252,O252),IF(ISBLANK(N252),O252,N252)))</f>
        <v>6.7939814814814816E-3</v>
      </c>
      <c r="R252" s="57"/>
      <c r="S252" s="57"/>
      <c r="T252" s="59">
        <f t="shared" si="66"/>
        <v>6.7939814814814816E-3</v>
      </c>
      <c r="U252" s="57"/>
      <c r="V252" s="57"/>
      <c r="W252" s="59">
        <f t="shared" si="67"/>
        <v>6.7939814814814816E-3</v>
      </c>
      <c r="X252" s="57"/>
      <c r="Y252" s="57"/>
      <c r="Z252" s="59">
        <f t="shared" si="65"/>
        <v>6.7939814814814816E-3</v>
      </c>
      <c r="AA252" s="57"/>
      <c r="AB252" s="57"/>
      <c r="AC252" s="59">
        <f t="shared" si="60"/>
        <v>6.7939814814814816E-3</v>
      </c>
      <c r="AD252" s="57"/>
      <c r="AE252" s="57"/>
      <c r="AF252" s="59"/>
    </row>
    <row r="253" spans="1:32">
      <c r="A253" s="24"/>
      <c r="B253" s="26" t="s">
        <v>159</v>
      </c>
      <c r="C253" s="26" t="s">
        <v>451</v>
      </c>
      <c r="D253" s="50"/>
      <c r="E253" s="51"/>
      <c r="F253" s="50" t="s">
        <v>455</v>
      </c>
      <c r="G253" s="52" t="s">
        <v>377</v>
      </c>
      <c r="H253" s="50" t="s">
        <v>377</v>
      </c>
      <c r="I253" s="53"/>
      <c r="J253" s="50" t="s">
        <v>377</v>
      </c>
      <c r="K253" s="53"/>
      <c r="L253" s="50">
        <v>11.08</v>
      </c>
      <c r="M253" s="57"/>
      <c r="N253" s="55">
        <v>7.7314814814814815E-3</v>
      </c>
      <c r="O253" s="57"/>
      <c r="P253" s="57"/>
      <c r="Q253" s="59">
        <f>IF(MIN(IF(ISBLANK(O253),N253,O253),IF(ISBLANK(N253),O253,N253))=0,"",MIN(IF(ISBLANK(O253),N253,O253),IF(ISBLANK(N253),O253,N253)))</f>
        <v>7.7314814814814815E-3</v>
      </c>
      <c r="R253" s="57"/>
      <c r="S253" s="57"/>
      <c r="T253" s="59">
        <f t="shared" si="66"/>
        <v>7.7314814814814815E-3</v>
      </c>
      <c r="U253" s="57"/>
      <c r="V253" s="57"/>
      <c r="W253" s="59">
        <f t="shared" si="67"/>
        <v>7.7314814814814815E-3</v>
      </c>
      <c r="X253" s="57"/>
      <c r="Y253" s="57"/>
      <c r="Z253" s="59">
        <f t="shared" si="65"/>
        <v>7.7314814814814815E-3</v>
      </c>
      <c r="AA253" s="57"/>
      <c r="AB253" s="57"/>
      <c r="AC253" s="59">
        <f t="shared" si="60"/>
        <v>7.7314814814814815E-3</v>
      </c>
      <c r="AD253" s="57"/>
      <c r="AE253" s="57"/>
      <c r="AF253" s="59"/>
    </row>
    <row r="254" spans="1:32">
      <c r="A254" s="24"/>
      <c r="B254" s="26" t="s">
        <v>533</v>
      </c>
      <c r="C254" s="26"/>
      <c r="D254" s="50"/>
      <c r="E254" s="51"/>
      <c r="F254" s="50"/>
      <c r="G254" s="52"/>
      <c r="H254" s="50"/>
      <c r="I254" s="53"/>
      <c r="J254" s="50"/>
      <c r="K254" s="53"/>
      <c r="L254" s="50"/>
      <c r="M254" s="57"/>
      <c r="N254" s="55"/>
      <c r="O254" s="57"/>
      <c r="P254" s="57"/>
      <c r="Q254" s="59" t="str">
        <f>IF(MIN(IF(ISBLANK(O254),N254,O254),IF(ISBLANK(N254),O254,N254))=0,"",MIN(IF(ISBLANK(O254),N254,O254),IF(ISBLANK(N254),O254,N254)))</f>
        <v/>
      </c>
      <c r="R254" s="57"/>
      <c r="S254" s="57"/>
      <c r="T254" s="59" t="str">
        <f t="shared" si="66"/>
        <v/>
      </c>
      <c r="U254" s="57"/>
      <c r="V254" s="57"/>
      <c r="W254" s="59" t="str">
        <f t="shared" si="67"/>
        <v/>
      </c>
      <c r="X254" s="57"/>
      <c r="Y254" s="57"/>
      <c r="Z254" s="59" t="str">
        <f t="shared" si="65"/>
        <v/>
      </c>
      <c r="AA254" s="57"/>
      <c r="AB254" s="57"/>
      <c r="AC254" s="59" t="str">
        <f t="shared" si="60"/>
        <v/>
      </c>
      <c r="AD254" s="57"/>
      <c r="AE254" s="57"/>
      <c r="AF254" s="59"/>
    </row>
    <row r="255" spans="1:32">
      <c r="A255" s="24"/>
      <c r="B255" s="26" t="s">
        <v>610</v>
      </c>
      <c r="C255" s="26"/>
      <c r="D255" s="50"/>
      <c r="E255" s="51"/>
      <c r="F255" s="50"/>
      <c r="G255" s="52"/>
      <c r="H255" s="50"/>
      <c r="I255" s="53"/>
      <c r="J255" s="50"/>
      <c r="K255" s="53"/>
      <c r="L255" s="50"/>
      <c r="M255" s="57"/>
      <c r="N255" s="55"/>
      <c r="O255" s="57"/>
      <c r="P255" s="57"/>
      <c r="Q255" s="59"/>
      <c r="R255" s="57"/>
      <c r="S255" s="57"/>
      <c r="T255" s="59" t="str">
        <f t="shared" si="66"/>
        <v/>
      </c>
      <c r="U255" s="57"/>
      <c r="V255" s="57"/>
      <c r="W255" s="59" t="str">
        <f t="shared" si="67"/>
        <v/>
      </c>
      <c r="X255" s="57"/>
      <c r="Y255" s="57"/>
      <c r="Z255" s="59" t="str">
        <f t="shared" si="65"/>
        <v/>
      </c>
      <c r="AA255" s="57"/>
      <c r="AB255" s="57"/>
      <c r="AC255" s="59" t="str">
        <f t="shared" si="60"/>
        <v/>
      </c>
      <c r="AD255" s="57"/>
      <c r="AE255" s="57"/>
      <c r="AF255" s="59"/>
    </row>
    <row r="256" spans="1:32">
      <c r="A256" s="24" t="s">
        <v>326</v>
      </c>
      <c r="B256" s="26" t="s">
        <v>166</v>
      </c>
      <c r="C256" s="26" t="s">
        <v>451</v>
      </c>
      <c r="D256" s="50">
        <v>9.4600000000000009</v>
      </c>
      <c r="E256" s="51" t="s">
        <v>299</v>
      </c>
      <c r="F256" s="50">
        <v>9.4600000000000009</v>
      </c>
      <c r="G256" s="52" t="s">
        <v>354</v>
      </c>
      <c r="H256" s="50">
        <v>9.4600000000000009</v>
      </c>
      <c r="I256" s="53">
        <v>9.4499999999999993</v>
      </c>
      <c r="J256" s="50">
        <v>9.4499999999999993</v>
      </c>
      <c r="K256" s="53">
        <v>10.25</v>
      </c>
      <c r="L256" s="50">
        <v>9.4499999999999993</v>
      </c>
      <c r="M256" s="57">
        <v>7.1180555555555554E-3</v>
      </c>
      <c r="N256" s="55">
        <v>6.7708333333333336E-3</v>
      </c>
      <c r="O256" s="57">
        <v>6.782407407407408E-3</v>
      </c>
      <c r="P256" s="57"/>
      <c r="Q256" s="59">
        <f>IF(MIN(IF(ISBLANK(O256),N256,O256),IF(ISBLANK(N256),O256,N256))=0,"",MIN(IF(ISBLANK(O256),N256,O256),IF(ISBLANK(N256),O256,N256)))</f>
        <v>6.7708333333333336E-3</v>
      </c>
      <c r="R256" s="57"/>
      <c r="S256" s="57" t="s">
        <v>603</v>
      </c>
      <c r="T256" s="59">
        <f t="shared" si="66"/>
        <v>6.7708333333333336E-3</v>
      </c>
      <c r="U256" s="57">
        <v>8.1018518518518514E-3</v>
      </c>
      <c r="V256" s="57"/>
      <c r="W256" s="59">
        <f t="shared" si="67"/>
        <v>6.7708333333333336E-3</v>
      </c>
      <c r="X256" s="57">
        <v>6.9212962962962969E-3</v>
      </c>
      <c r="Y256" s="57"/>
      <c r="Z256" s="59">
        <f t="shared" si="65"/>
        <v>6.7708333333333336E-3</v>
      </c>
      <c r="AA256" s="57">
        <v>7.0717592592592594E-3</v>
      </c>
      <c r="AB256" s="57"/>
      <c r="AC256" s="59">
        <f t="shared" si="60"/>
        <v>6.7708333333333336E-3</v>
      </c>
      <c r="AD256" s="57">
        <v>7.013888888888889E-3</v>
      </c>
      <c r="AE256" s="57"/>
      <c r="AF256" s="59"/>
    </row>
    <row r="257" spans="1:32">
      <c r="A257" s="24" t="s">
        <v>326</v>
      </c>
      <c r="B257" s="26" t="s">
        <v>734</v>
      </c>
      <c r="C257" s="26"/>
      <c r="D257" s="50"/>
      <c r="E257" s="51"/>
      <c r="F257" s="50"/>
      <c r="G257" s="52"/>
      <c r="H257" s="50"/>
      <c r="I257" s="53"/>
      <c r="J257" s="50"/>
      <c r="K257" s="53"/>
      <c r="L257" s="50"/>
      <c r="M257" s="57"/>
      <c r="N257" s="55"/>
      <c r="O257" s="57"/>
      <c r="P257" s="57"/>
      <c r="Q257" s="59"/>
      <c r="R257" s="57"/>
      <c r="S257" s="57"/>
      <c r="T257" s="59"/>
      <c r="U257" s="57"/>
      <c r="V257" s="57"/>
      <c r="W257" s="59"/>
      <c r="X257" s="57"/>
      <c r="Y257" s="57"/>
      <c r="Z257" s="59"/>
      <c r="AA257" s="57"/>
      <c r="AB257" s="57"/>
      <c r="AC257" s="59"/>
      <c r="AD257" s="57">
        <v>5.9722222222222225E-3</v>
      </c>
      <c r="AE257" s="57"/>
      <c r="AF257" s="59"/>
    </row>
    <row r="258" spans="1:32">
      <c r="A258" s="24"/>
      <c r="B258" s="26" t="s">
        <v>173</v>
      </c>
      <c r="C258" s="26" t="s">
        <v>450</v>
      </c>
      <c r="D258" s="50"/>
      <c r="E258" s="51"/>
      <c r="F258" s="50" t="s">
        <v>455</v>
      </c>
      <c r="G258" s="52"/>
      <c r="H258" s="50"/>
      <c r="I258" s="53"/>
      <c r="J258" s="50" t="s">
        <v>455</v>
      </c>
      <c r="K258" s="53"/>
      <c r="L258" s="50"/>
      <c r="M258" s="57"/>
      <c r="N258" s="55"/>
      <c r="O258" s="57"/>
      <c r="P258" s="57"/>
      <c r="Q258" s="59" t="str">
        <f>IF(MIN(IF(ISBLANK(O258),N258,O258),IF(ISBLANK(N258),O258,N258))=0,"",MIN(IF(ISBLANK(O258),N258,O258),IF(ISBLANK(N258),O258,N258)))</f>
        <v/>
      </c>
      <c r="R258" s="57"/>
      <c r="S258" s="57"/>
      <c r="T258" s="59" t="str">
        <f>IF(MIN(IF(ISBLANK(R258),Q258,R258),IF(ISBLANK(Q258),R258,Q258))=0,"",MIN(IF(ISBLANK(R258),Q258,R258),IF(ISBLANK(Q258),R258,Q258)))</f>
        <v/>
      </c>
      <c r="U258" s="57"/>
      <c r="V258" s="57"/>
      <c r="W258" s="59" t="str">
        <f>IF(MIN(IF(ISBLANK(U258),T258,U258),IF(ISBLANK(T258),U258,T258))=0,"",MIN(IF(ISBLANK(U258),T258,U258),IF(ISBLANK(T258),U258,T258)))</f>
        <v/>
      </c>
      <c r="X258" s="57"/>
      <c r="Y258" s="57"/>
      <c r="Z258" s="59" t="str">
        <f t="shared" ref="Z258:Z282" si="68">IF(MIN(IF(ISBLANK(X258),W258,X258),IF(ISBLANK(W258),X258,W258))=0,"",MIN(IF(ISBLANK(X258),W258,X258),IF(ISBLANK(W258),X258,W258)))</f>
        <v/>
      </c>
      <c r="AA258" s="57"/>
      <c r="AB258" s="57"/>
      <c r="AC258" s="59" t="str">
        <f t="shared" ref="AC258:AC321" si="69">IF(MIN(IF(ISBLANK(Z258),AA258,Z258),IF(ISBLANK(AA258),Z258,AA258))=0,"",MIN(IF(ISBLANK(Z258),AA258,Z258),IF(ISBLANK(AA258),Z258,AA258)))</f>
        <v/>
      </c>
      <c r="AD258" s="57"/>
      <c r="AE258" s="57"/>
      <c r="AF258" s="59"/>
    </row>
    <row r="259" spans="1:32">
      <c r="A259" s="24"/>
      <c r="B259" s="26" t="s">
        <v>180</v>
      </c>
      <c r="C259" s="26" t="s">
        <v>450</v>
      </c>
      <c r="D259" s="50">
        <v>8.5500000000000007</v>
      </c>
      <c r="E259" s="51"/>
      <c r="F259" s="50">
        <v>8.5500000000000007</v>
      </c>
      <c r="G259" s="52" t="s">
        <v>302</v>
      </c>
      <c r="H259" s="50">
        <v>8.5500000000000007</v>
      </c>
      <c r="I259" s="53"/>
      <c r="J259" s="50">
        <v>8.5500000000000007</v>
      </c>
      <c r="K259" s="53">
        <v>9.24</v>
      </c>
      <c r="L259" s="50">
        <v>8.5500000000000007</v>
      </c>
      <c r="M259" s="57"/>
      <c r="N259" s="55">
        <v>6.1921296296296299E-3</v>
      </c>
      <c r="O259" s="57"/>
      <c r="P259" s="57"/>
      <c r="Q259" s="59">
        <f>IF(MIN(IF(ISBLANK(O259),N259,O259),IF(ISBLANK(N259),O259,N259))=0,"",MIN(IF(ISBLANK(O259),N259,O259),IF(ISBLANK(N259),O259,N259)))</f>
        <v>6.1921296296296299E-3</v>
      </c>
      <c r="R259" s="57"/>
      <c r="S259" s="57"/>
      <c r="T259" s="59">
        <f>IF(MIN(IF(ISBLANK(R259),Q259,R259),IF(ISBLANK(Q259),R259,Q259))=0,"",MIN(IF(ISBLANK(R259),Q259,R259),IF(ISBLANK(Q259),R259,Q259)))</f>
        <v>6.1921296296296299E-3</v>
      </c>
      <c r="U259" s="57"/>
      <c r="V259" s="57"/>
      <c r="W259" s="59">
        <f>IF(MIN(IF(ISBLANK(U259),T259,U259),IF(ISBLANK(T259),U259,T259))=0,"",MIN(IF(ISBLANK(U259),T259,U259),IF(ISBLANK(T259),U259,T259)))</f>
        <v>6.1921296296296299E-3</v>
      </c>
      <c r="X259" s="57"/>
      <c r="Y259" s="57"/>
      <c r="Z259" s="59">
        <f t="shared" si="68"/>
        <v>6.1921296296296299E-3</v>
      </c>
      <c r="AA259" s="57"/>
      <c r="AB259" s="57"/>
      <c r="AC259" s="59">
        <f t="shared" si="69"/>
        <v>6.1921296296296299E-3</v>
      </c>
      <c r="AD259" s="57"/>
      <c r="AE259" s="57"/>
      <c r="AF259" s="59"/>
    </row>
    <row r="260" spans="1:32">
      <c r="A260" s="24"/>
      <c r="B260" s="26" t="s">
        <v>235</v>
      </c>
      <c r="C260" s="26" t="s">
        <v>450</v>
      </c>
      <c r="D260" s="50">
        <v>7.12</v>
      </c>
      <c r="E260" s="51" t="s">
        <v>300</v>
      </c>
      <c r="F260" s="50">
        <v>7.04</v>
      </c>
      <c r="G260" s="52"/>
      <c r="H260" s="50">
        <v>7.04</v>
      </c>
      <c r="I260" s="53"/>
      <c r="J260" s="50">
        <v>7.04</v>
      </c>
      <c r="K260" s="53"/>
      <c r="L260" s="50">
        <v>7.04</v>
      </c>
      <c r="M260" s="57"/>
      <c r="N260" s="55">
        <v>4.9074074074074072E-3</v>
      </c>
      <c r="O260" s="57"/>
      <c r="P260" s="57"/>
      <c r="Q260" s="59">
        <f>IF(MIN(IF(ISBLANK(O260),N260,O260),IF(ISBLANK(N260),O260,N260))=0,"",MIN(IF(ISBLANK(O260),N260,O260),IF(ISBLANK(N260),O260,N260)))</f>
        <v>4.9074074074074072E-3</v>
      </c>
      <c r="R260" s="57">
        <v>5.0347222222222225E-3</v>
      </c>
      <c r="S260" s="57"/>
      <c r="T260" s="59">
        <f>IF(MIN(IF(ISBLANK(R260),Q260,R260),IF(ISBLANK(Q260),R260,Q260))=0,"",MIN(IF(ISBLANK(R260),Q260,R260),IF(ISBLANK(Q260),R260,Q260)))</f>
        <v>4.9074074074074072E-3</v>
      </c>
      <c r="U260" s="57"/>
      <c r="V260" s="57"/>
      <c r="W260" s="59">
        <f>IF(MIN(IF(ISBLANK(U260),T260,U260),IF(ISBLANK(T260),U260,T260))=0,"",MIN(IF(ISBLANK(U260),T260,U260),IF(ISBLANK(T260),U260,T260)))</f>
        <v>4.9074074074074072E-3</v>
      </c>
      <c r="X260" s="57"/>
      <c r="Y260" s="57"/>
      <c r="Z260" s="59">
        <f t="shared" si="68"/>
        <v>4.9074074074074072E-3</v>
      </c>
      <c r="AA260" s="57"/>
      <c r="AB260" s="57"/>
      <c r="AC260" s="59">
        <f t="shared" si="69"/>
        <v>4.9074074074074072E-3</v>
      </c>
      <c r="AD260" s="57"/>
      <c r="AE260" s="57"/>
      <c r="AF260" s="59"/>
    </row>
    <row r="261" spans="1:32">
      <c r="A261" s="24" t="s">
        <v>326</v>
      </c>
      <c r="B261" s="26" t="s">
        <v>619</v>
      </c>
      <c r="C261" s="26"/>
      <c r="D261" s="50"/>
      <c r="E261" s="51"/>
      <c r="F261" s="50"/>
      <c r="G261" s="52"/>
      <c r="H261" s="50"/>
      <c r="I261" s="53"/>
      <c r="J261" s="50"/>
      <c r="K261" s="53"/>
      <c r="L261" s="50"/>
      <c r="M261" s="57"/>
      <c r="N261" s="55"/>
      <c r="O261" s="57"/>
      <c r="P261" s="57"/>
      <c r="Q261" s="59"/>
      <c r="R261" s="57"/>
      <c r="S261" s="57"/>
      <c r="T261" s="59" t="str">
        <f>IF(MIN(IF(ISBLANK(R261),Q261,R261),IF(ISBLANK(Q261),R261,Q261))=0,"",MIN(IF(ISBLANK(R261),Q261,R261),IF(ISBLANK(Q261),R261,Q261)))</f>
        <v/>
      </c>
      <c r="U261" s="57"/>
      <c r="V261" s="57"/>
      <c r="W261" s="59" t="str">
        <f>IF(MIN(IF(ISBLANK(U261),T261,U261),IF(ISBLANK(T261),U261,T261))=0,"",MIN(IF(ISBLANK(U261),T261,U261),IF(ISBLANK(T261),U261,T261)))</f>
        <v/>
      </c>
      <c r="X261" s="57">
        <v>6.6203703703703702E-3</v>
      </c>
      <c r="Y261" s="57"/>
      <c r="Z261" s="59">
        <f t="shared" si="68"/>
        <v>6.6203703703703702E-3</v>
      </c>
      <c r="AA261" s="57">
        <v>6.828703703703704E-3</v>
      </c>
      <c r="AB261" s="57"/>
      <c r="AC261" s="59">
        <f t="shared" si="69"/>
        <v>6.6203703703703702E-3</v>
      </c>
      <c r="AD261" s="57">
        <v>7.0949074074074074E-3</v>
      </c>
      <c r="AE261" s="57"/>
      <c r="AF261" s="59"/>
    </row>
    <row r="262" spans="1:32">
      <c r="A262" s="24"/>
      <c r="B262" s="26" t="s">
        <v>524</v>
      </c>
      <c r="C262" s="26"/>
      <c r="D262" s="50"/>
      <c r="E262" s="51"/>
      <c r="F262" s="50"/>
      <c r="G262" s="52"/>
      <c r="H262" s="50"/>
      <c r="I262" s="53"/>
      <c r="J262" s="50"/>
      <c r="K262" s="53"/>
      <c r="L262" s="50"/>
      <c r="M262" s="57">
        <v>7.9629629629629634E-3</v>
      </c>
      <c r="N262" s="55">
        <v>7.9629629629629634E-3</v>
      </c>
      <c r="O262" s="57">
        <v>7.0601851851851841E-3</v>
      </c>
      <c r="P262" s="57"/>
      <c r="Q262" s="59">
        <f>IF(MIN(IF(ISBLANK(O262),N262,O262),IF(ISBLANK(N262),O262,N262))=0,"",MIN(IF(ISBLANK(O262),N262,O262),IF(ISBLANK(N262),O262,N262)))</f>
        <v>7.0601851851851841E-3</v>
      </c>
      <c r="R262" s="57"/>
      <c r="S262" s="57"/>
      <c r="T262" s="59">
        <f>IF(MIN(IF(ISBLANK(R262),Q262,R262),IF(ISBLANK(Q262),R262,Q262))=0,"",MIN(IF(ISBLANK(R262),Q262,R262),IF(ISBLANK(Q262),R262,Q262)))</f>
        <v>7.0601851851851841E-3</v>
      </c>
      <c r="U262" s="57"/>
      <c r="V262" s="57"/>
      <c r="W262" s="59">
        <f>IF(MIN(IF(ISBLANK(U262),T262,U262),IF(ISBLANK(T262),U262,T262))=0,"",MIN(IF(ISBLANK(U262),T262,U262),IF(ISBLANK(T262),U262,T262)))</f>
        <v>7.0601851851851841E-3</v>
      </c>
      <c r="X262" s="57"/>
      <c r="Y262" s="57"/>
      <c r="Z262" s="59">
        <f t="shared" si="68"/>
        <v>7.0601851851851841E-3</v>
      </c>
      <c r="AA262" s="57"/>
      <c r="AB262" s="57"/>
      <c r="AC262" s="59">
        <f t="shared" si="69"/>
        <v>7.0601851851851841E-3</v>
      </c>
      <c r="AD262" s="57"/>
      <c r="AE262" s="57"/>
      <c r="AF262" s="59"/>
    </row>
    <row r="263" spans="1:32">
      <c r="A263" s="24"/>
      <c r="B263" s="26" t="s">
        <v>651</v>
      </c>
      <c r="C263" s="26"/>
      <c r="D263" s="50"/>
      <c r="E263" s="51"/>
      <c r="F263" s="50"/>
      <c r="G263" s="52"/>
      <c r="H263" s="50"/>
      <c r="I263" s="53"/>
      <c r="J263" s="50"/>
      <c r="K263" s="53"/>
      <c r="L263" s="50"/>
      <c r="M263" s="57"/>
      <c r="N263" s="55"/>
      <c r="O263" s="57"/>
      <c r="P263" s="57"/>
      <c r="Q263" s="59"/>
      <c r="R263" s="57"/>
      <c r="S263" s="57"/>
      <c r="T263" s="59"/>
      <c r="U263" s="57"/>
      <c r="V263" s="57"/>
      <c r="W263" s="59"/>
      <c r="X263" s="57">
        <v>7.4652777777777781E-3</v>
      </c>
      <c r="Y263" s="57"/>
      <c r="Z263" s="59">
        <f t="shared" si="68"/>
        <v>7.4652777777777781E-3</v>
      </c>
      <c r="AA263" s="57"/>
      <c r="AB263" s="57"/>
      <c r="AC263" s="59">
        <f t="shared" si="69"/>
        <v>7.4652777777777781E-3</v>
      </c>
      <c r="AD263" s="57"/>
      <c r="AE263" s="57"/>
      <c r="AF263" s="59"/>
    </row>
    <row r="264" spans="1:32">
      <c r="A264" s="24"/>
      <c r="B264" s="26" t="s">
        <v>185</v>
      </c>
      <c r="C264" s="26" t="s">
        <v>451</v>
      </c>
      <c r="D264" s="50"/>
      <c r="E264" s="51"/>
      <c r="F264" s="50" t="s">
        <v>455</v>
      </c>
      <c r="G264" s="52"/>
      <c r="H264" s="50"/>
      <c r="I264" s="53"/>
      <c r="J264" s="50" t="s">
        <v>455</v>
      </c>
      <c r="K264" s="53"/>
      <c r="L264" s="50"/>
      <c r="M264" s="57"/>
      <c r="N264" s="55"/>
      <c r="O264" s="57"/>
      <c r="P264" s="57"/>
      <c r="Q264" s="59" t="str">
        <f>IF(MIN(IF(ISBLANK(O264),N264,O264),IF(ISBLANK(N264),O264,N264))=0,"",MIN(IF(ISBLANK(O264),N264,O264),IF(ISBLANK(N264),O264,N264)))</f>
        <v/>
      </c>
      <c r="R264" s="57"/>
      <c r="S264" s="57"/>
      <c r="T264" s="59" t="str">
        <f>IF(MIN(IF(ISBLANK(R264),Q264,R264),IF(ISBLANK(Q264),R264,Q264))=0,"",MIN(IF(ISBLANK(R264),Q264,R264),IF(ISBLANK(Q264),R264,Q264)))</f>
        <v/>
      </c>
      <c r="U264" s="57"/>
      <c r="V264" s="57"/>
      <c r="W264" s="59" t="str">
        <f>IF(MIN(IF(ISBLANK(U264),T264,U264),IF(ISBLANK(T264),U264,T264))=0,"",MIN(IF(ISBLANK(U264),T264,U264),IF(ISBLANK(T264),U264,T264)))</f>
        <v/>
      </c>
      <c r="X264" s="57"/>
      <c r="Y264" s="57"/>
      <c r="Z264" s="59" t="str">
        <f t="shared" si="68"/>
        <v/>
      </c>
      <c r="AA264" s="57"/>
      <c r="AB264" s="57"/>
      <c r="AC264" s="59" t="str">
        <f t="shared" si="69"/>
        <v/>
      </c>
      <c r="AD264" s="57"/>
      <c r="AE264" s="57"/>
      <c r="AF264" s="59"/>
    </row>
    <row r="265" spans="1:32">
      <c r="A265" s="24" t="s">
        <v>326</v>
      </c>
      <c r="B265" s="26" t="s">
        <v>652</v>
      </c>
      <c r="C265" s="26"/>
      <c r="D265" s="50"/>
      <c r="E265" s="51"/>
      <c r="F265" s="50"/>
      <c r="G265" s="52"/>
      <c r="H265" s="50"/>
      <c r="I265" s="53"/>
      <c r="J265" s="50"/>
      <c r="K265" s="53"/>
      <c r="L265" s="50"/>
      <c r="M265" s="57"/>
      <c r="N265" s="55"/>
      <c r="O265" s="57"/>
      <c r="P265" s="57"/>
      <c r="Q265" s="59"/>
      <c r="R265" s="57"/>
      <c r="S265" s="57"/>
      <c r="T265" s="59"/>
      <c r="U265" s="57"/>
      <c r="V265" s="57"/>
      <c r="W265" s="59"/>
      <c r="X265" s="57"/>
      <c r="Y265" s="57"/>
      <c r="Z265" s="59" t="str">
        <f t="shared" si="68"/>
        <v/>
      </c>
      <c r="AA265" s="57"/>
      <c r="AB265" s="57"/>
      <c r="AC265" s="59" t="str">
        <f t="shared" si="69"/>
        <v/>
      </c>
      <c r="AD265" s="57"/>
      <c r="AE265" s="57"/>
      <c r="AF265" s="59"/>
    </row>
    <row r="266" spans="1:32">
      <c r="A266" s="24"/>
      <c r="B266" s="26" t="s">
        <v>348</v>
      </c>
      <c r="C266" s="26" t="s">
        <v>451</v>
      </c>
      <c r="D266" s="50"/>
      <c r="E266" s="51"/>
      <c r="F266" s="50" t="s">
        <v>455</v>
      </c>
      <c r="G266" s="52"/>
      <c r="H266" s="50"/>
      <c r="I266" s="53"/>
      <c r="J266" s="50" t="s">
        <v>455</v>
      </c>
      <c r="K266" s="53"/>
      <c r="L266" s="50"/>
      <c r="M266" s="57"/>
      <c r="N266" s="55"/>
      <c r="O266" s="57"/>
      <c r="P266" s="57"/>
      <c r="Q266" s="59" t="str">
        <f t="shared" ref="Q266:Q282" si="70">IF(MIN(IF(ISBLANK(O266),N266,O266),IF(ISBLANK(N266),O266,N266))=0,"",MIN(IF(ISBLANK(O266),N266,O266),IF(ISBLANK(N266),O266,N266)))</f>
        <v/>
      </c>
      <c r="R266" s="57"/>
      <c r="S266" s="57"/>
      <c r="T266" s="59" t="str">
        <f t="shared" ref="T266:T282" si="71">IF(MIN(IF(ISBLANK(R266),Q266,R266),IF(ISBLANK(Q266),R266,Q266))=0,"",MIN(IF(ISBLANK(R266),Q266,R266),IF(ISBLANK(Q266),R266,Q266)))</f>
        <v/>
      </c>
      <c r="U266" s="57"/>
      <c r="V266" s="57"/>
      <c r="W266" s="59" t="str">
        <f t="shared" ref="W266:W282" si="72">IF(MIN(IF(ISBLANK(U266),T266,U266),IF(ISBLANK(T266),U266,T266))=0,"",MIN(IF(ISBLANK(U266),T266,U266),IF(ISBLANK(T266),U266,T266)))</f>
        <v/>
      </c>
      <c r="X266" s="57"/>
      <c r="Y266" s="57"/>
      <c r="Z266" s="59" t="str">
        <f t="shared" si="68"/>
        <v/>
      </c>
      <c r="AA266" s="57"/>
      <c r="AB266" s="57"/>
      <c r="AC266" s="59" t="str">
        <f t="shared" si="69"/>
        <v/>
      </c>
      <c r="AD266" s="57"/>
      <c r="AE266" s="57"/>
      <c r="AF266" s="59"/>
    </row>
    <row r="267" spans="1:32">
      <c r="A267" s="24"/>
      <c r="B267" s="26" t="s">
        <v>191</v>
      </c>
      <c r="C267" s="26"/>
      <c r="D267" s="50">
        <v>8.2100000000000009</v>
      </c>
      <c r="E267" s="51"/>
      <c r="F267" s="50">
        <v>8.2100000000000009</v>
      </c>
      <c r="G267" s="52"/>
      <c r="H267" s="50">
        <v>8.2100000000000009</v>
      </c>
      <c r="I267" s="53"/>
      <c r="J267" s="50">
        <v>8.2100000000000009</v>
      </c>
      <c r="K267" s="53"/>
      <c r="L267" s="50">
        <v>8.2100000000000009</v>
      </c>
      <c r="M267" s="57"/>
      <c r="N267" s="55">
        <v>5.7986111111111112E-3</v>
      </c>
      <c r="O267" s="57"/>
      <c r="P267" s="57"/>
      <c r="Q267" s="59">
        <f t="shared" si="70"/>
        <v>5.7986111111111112E-3</v>
      </c>
      <c r="R267" s="57"/>
      <c r="S267" s="57"/>
      <c r="T267" s="59">
        <f t="shared" si="71"/>
        <v>5.7986111111111112E-3</v>
      </c>
      <c r="U267" s="57"/>
      <c r="V267" s="57"/>
      <c r="W267" s="59">
        <f t="shared" si="72"/>
        <v>5.7986111111111112E-3</v>
      </c>
      <c r="X267" s="57"/>
      <c r="Y267" s="57"/>
      <c r="Z267" s="59">
        <f t="shared" si="68"/>
        <v>5.7986111111111112E-3</v>
      </c>
      <c r="AA267" s="57"/>
      <c r="AB267" s="57"/>
      <c r="AC267" s="59">
        <f t="shared" si="69"/>
        <v>5.7986111111111112E-3</v>
      </c>
      <c r="AD267" s="57"/>
      <c r="AE267" s="57"/>
      <c r="AF267" s="59"/>
    </row>
    <row r="268" spans="1:32">
      <c r="A268" s="24"/>
      <c r="B268" s="26" t="s">
        <v>249</v>
      </c>
      <c r="C268" s="26"/>
      <c r="D268" s="50"/>
      <c r="E268" s="51"/>
      <c r="F268" s="50" t="s">
        <v>455</v>
      </c>
      <c r="G268" s="52"/>
      <c r="H268" s="50"/>
      <c r="I268" s="53"/>
      <c r="J268" s="50" t="s">
        <v>455</v>
      </c>
      <c r="K268" s="53"/>
      <c r="L268" s="50"/>
      <c r="M268" s="57"/>
      <c r="N268" s="55"/>
      <c r="O268" s="57"/>
      <c r="P268" s="57"/>
      <c r="Q268" s="59" t="str">
        <f t="shared" si="70"/>
        <v/>
      </c>
      <c r="R268" s="57"/>
      <c r="S268" s="57"/>
      <c r="T268" s="59" t="str">
        <f t="shared" si="71"/>
        <v/>
      </c>
      <c r="U268" s="57"/>
      <c r="V268" s="57"/>
      <c r="W268" s="59" t="str">
        <f t="shared" si="72"/>
        <v/>
      </c>
      <c r="X268" s="57"/>
      <c r="Y268" s="57"/>
      <c r="Z268" s="59" t="str">
        <f t="shared" si="68"/>
        <v/>
      </c>
      <c r="AA268" s="57"/>
      <c r="AB268" s="57"/>
      <c r="AC268" s="59" t="str">
        <f t="shared" si="69"/>
        <v/>
      </c>
      <c r="AD268" s="57"/>
      <c r="AE268" s="57"/>
      <c r="AF268" s="59"/>
    </row>
    <row r="269" spans="1:32">
      <c r="A269" s="24"/>
      <c r="B269" s="26" t="s">
        <v>198</v>
      </c>
      <c r="C269" s="26" t="s">
        <v>451</v>
      </c>
      <c r="D269" s="50">
        <v>7.18</v>
      </c>
      <c r="E269" s="51"/>
      <c r="F269" s="50">
        <v>7.18</v>
      </c>
      <c r="G269" s="52"/>
      <c r="H269" s="50">
        <v>7.18</v>
      </c>
      <c r="I269" s="53"/>
      <c r="J269" s="50">
        <v>7.18</v>
      </c>
      <c r="K269" s="53"/>
      <c r="L269" s="50">
        <v>7.18</v>
      </c>
      <c r="M269" s="57"/>
      <c r="N269" s="55">
        <v>5.0694444444444441E-3</v>
      </c>
      <c r="O269" s="57"/>
      <c r="P269" s="57"/>
      <c r="Q269" s="59">
        <f t="shared" si="70"/>
        <v>5.0694444444444441E-3</v>
      </c>
      <c r="R269" s="57"/>
      <c r="S269" s="57"/>
      <c r="T269" s="59">
        <f t="shared" si="71"/>
        <v>5.0694444444444441E-3</v>
      </c>
      <c r="U269" s="57"/>
      <c r="V269" s="57"/>
      <c r="W269" s="59">
        <f t="shared" si="72"/>
        <v>5.0694444444444441E-3</v>
      </c>
      <c r="X269" s="57"/>
      <c r="Y269" s="57"/>
      <c r="Z269" s="59">
        <f t="shared" si="68"/>
        <v>5.0694444444444441E-3</v>
      </c>
      <c r="AA269" s="57"/>
      <c r="AB269" s="57"/>
      <c r="AC269" s="59">
        <f t="shared" si="69"/>
        <v>5.0694444444444441E-3</v>
      </c>
      <c r="AD269" s="57"/>
      <c r="AE269" s="57"/>
      <c r="AF269" s="59"/>
    </row>
    <row r="270" spans="1:32">
      <c r="A270" s="24"/>
      <c r="B270" s="26" t="s">
        <v>203</v>
      </c>
      <c r="C270" s="26" t="s">
        <v>451</v>
      </c>
      <c r="D270" s="50"/>
      <c r="E270" s="51"/>
      <c r="F270" s="50" t="s">
        <v>455</v>
      </c>
      <c r="G270" s="52"/>
      <c r="H270" s="50"/>
      <c r="I270" s="53"/>
      <c r="J270" s="50" t="s">
        <v>455</v>
      </c>
      <c r="K270" s="53"/>
      <c r="L270" s="50"/>
      <c r="M270" s="57"/>
      <c r="N270" s="55"/>
      <c r="O270" s="57"/>
      <c r="P270" s="57"/>
      <c r="Q270" s="59" t="str">
        <f t="shared" si="70"/>
        <v/>
      </c>
      <c r="R270" s="57"/>
      <c r="S270" s="57"/>
      <c r="T270" s="59" t="str">
        <f t="shared" si="71"/>
        <v/>
      </c>
      <c r="U270" s="57"/>
      <c r="V270" s="57"/>
      <c r="W270" s="59" t="str">
        <f t="shared" si="72"/>
        <v/>
      </c>
      <c r="X270" s="57"/>
      <c r="Y270" s="57"/>
      <c r="Z270" s="59" t="str">
        <f t="shared" si="68"/>
        <v/>
      </c>
      <c r="AA270" s="57"/>
      <c r="AB270" s="57"/>
      <c r="AC270" s="59" t="str">
        <f t="shared" si="69"/>
        <v/>
      </c>
      <c r="AD270" s="57"/>
      <c r="AE270" s="57"/>
      <c r="AF270" s="59"/>
    </row>
    <row r="271" spans="1:32">
      <c r="A271" s="24"/>
      <c r="B271" s="26" t="s">
        <v>208</v>
      </c>
      <c r="C271" s="26" t="s">
        <v>451</v>
      </c>
      <c r="D271" s="50">
        <v>10.49</v>
      </c>
      <c r="E271" s="51"/>
      <c r="F271" s="50">
        <v>10.49</v>
      </c>
      <c r="G271" s="52"/>
      <c r="H271" s="50">
        <v>10.49</v>
      </c>
      <c r="I271" s="53"/>
      <c r="J271" s="50">
        <v>10.49</v>
      </c>
      <c r="K271" s="53"/>
      <c r="L271" s="50">
        <v>10.49</v>
      </c>
      <c r="M271" s="57"/>
      <c r="N271" s="55">
        <v>7.5115740740740742E-3</v>
      </c>
      <c r="O271" s="57"/>
      <c r="P271" s="57"/>
      <c r="Q271" s="59">
        <f t="shared" si="70"/>
        <v>7.5115740740740742E-3</v>
      </c>
      <c r="R271" s="57"/>
      <c r="S271" s="57"/>
      <c r="T271" s="59">
        <f t="shared" si="71"/>
        <v>7.5115740740740742E-3</v>
      </c>
      <c r="U271" s="57"/>
      <c r="V271" s="57"/>
      <c r="W271" s="59">
        <f t="shared" si="72"/>
        <v>7.5115740740740742E-3</v>
      </c>
      <c r="X271" s="57"/>
      <c r="Y271" s="57"/>
      <c r="Z271" s="59">
        <f t="shared" si="68"/>
        <v>7.5115740740740742E-3</v>
      </c>
      <c r="AA271" s="57"/>
      <c r="AB271" s="57"/>
      <c r="AC271" s="59">
        <f t="shared" si="69"/>
        <v>7.5115740740740742E-3</v>
      </c>
      <c r="AD271" s="57"/>
      <c r="AE271" s="57"/>
      <c r="AF271" s="59"/>
    </row>
    <row r="272" spans="1:32">
      <c r="A272" s="24"/>
      <c r="B272" s="26" t="s">
        <v>214</v>
      </c>
      <c r="C272" s="26" t="s">
        <v>451</v>
      </c>
      <c r="D272" s="50"/>
      <c r="E272" s="51"/>
      <c r="F272" s="50"/>
      <c r="G272" s="52"/>
      <c r="H272" s="50"/>
      <c r="I272" s="53">
        <v>9.5</v>
      </c>
      <c r="J272" s="50" t="s">
        <v>458</v>
      </c>
      <c r="K272" s="53"/>
      <c r="L272" s="50" t="s">
        <v>458</v>
      </c>
      <c r="M272" s="57"/>
      <c r="N272" s="55">
        <v>6.828703703703704E-3</v>
      </c>
      <c r="O272" s="57"/>
      <c r="P272" s="57"/>
      <c r="Q272" s="59">
        <f t="shared" si="70"/>
        <v>6.828703703703704E-3</v>
      </c>
      <c r="R272" s="57"/>
      <c r="S272" s="57"/>
      <c r="T272" s="59">
        <f t="shared" si="71"/>
        <v>6.828703703703704E-3</v>
      </c>
      <c r="U272" s="57">
        <v>6.9560185185185185E-3</v>
      </c>
      <c r="V272" s="57"/>
      <c r="W272" s="59">
        <f t="shared" si="72"/>
        <v>6.828703703703704E-3</v>
      </c>
      <c r="X272" s="57"/>
      <c r="Y272" s="57"/>
      <c r="Z272" s="59">
        <f t="shared" si="68"/>
        <v>6.828703703703704E-3</v>
      </c>
      <c r="AA272" s="57"/>
      <c r="AB272" s="57"/>
      <c r="AC272" s="59">
        <f t="shared" si="69"/>
        <v>6.828703703703704E-3</v>
      </c>
      <c r="AD272" s="57"/>
      <c r="AE272" s="57"/>
      <c r="AF272" s="59"/>
    </row>
    <row r="273" spans="1:32">
      <c r="A273" s="24" t="s">
        <v>326</v>
      </c>
      <c r="B273" s="26" t="s">
        <v>403</v>
      </c>
      <c r="C273" s="26" t="s">
        <v>451</v>
      </c>
      <c r="D273" s="50"/>
      <c r="E273" s="51"/>
      <c r="F273" s="50"/>
      <c r="G273" s="52"/>
      <c r="H273" s="50"/>
      <c r="I273" s="53"/>
      <c r="J273" s="50" t="s">
        <v>455</v>
      </c>
      <c r="K273" s="53"/>
      <c r="L273" s="50"/>
      <c r="M273" s="57"/>
      <c r="N273" s="55"/>
      <c r="O273" s="57"/>
      <c r="P273" s="57"/>
      <c r="Q273" s="59" t="str">
        <f t="shared" si="70"/>
        <v/>
      </c>
      <c r="R273" s="57"/>
      <c r="S273" s="57"/>
      <c r="T273" s="59" t="str">
        <f t="shared" si="71"/>
        <v/>
      </c>
      <c r="U273" s="57"/>
      <c r="V273" s="57"/>
      <c r="W273" s="59" t="str">
        <f t="shared" si="72"/>
        <v/>
      </c>
      <c r="X273" s="57">
        <v>6.6898148148148142E-3</v>
      </c>
      <c r="Y273" s="57"/>
      <c r="Z273" s="59">
        <f t="shared" si="68"/>
        <v>6.6898148148148142E-3</v>
      </c>
      <c r="AA273" s="57">
        <v>6.6550925925925935E-3</v>
      </c>
      <c r="AB273" s="57"/>
      <c r="AC273" s="59">
        <f t="shared" si="69"/>
        <v>6.6550925925925935E-3</v>
      </c>
      <c r="AD273" s="57"/>
      <c r="AE273" s="57"/>
      <c r="AF273" s="59"/>
    </row>
    <row r="274" spans="1:32">
      <c r="A274" s="24"/>
      <c r="B274" s="26" t="s">
        <v>404</v>
      </c>
      <c r="C274" s="26" t="s">
        <v>451</v>
      </c>
      <c r="D274" s="50"/>
      <c r="E274" s="51"/>
      <c r="F274" s="50"/>
      <c r="G274" s="52"/>
      <c r="H274" s="50"/>
      <c r="I274" s="53"/>
      <c r="J274" s="50" t="s">
        <v>455</v>
      </c>
      <c r="K274" s="53"/>
      <c r="L274" s="50"/>
      <c r="M274" s="57"/>
      <c r="N274" s="55"/>
      <c r="O274" s="57"/>
      <c r="P274" s="57"/>
      <c r="Q274" s="59" t="str">
        <f t="shared" si="70"/>
        <v/>
      </c>
      <c r="R274" s="57"/>
      <c r="S274" s="57"/>
      <c r="T274" s="59" t="str">
        <f t="shared" si="71"/>
        <v/>
      </c>
      <c r="U274" s="57"/>
      <c r="V274" s="57"/>
      <c r="W274" s="59" t="str">
        <f t="shared" si="72"/>
        <v/>
      </c>
      <c r="X274" s="57"/>
      <c r="Y274" s="57"/>
      <c r="Z274" s="59" t="str">
        <f t="shared" si="68"/>
        <v/>
      </c>
      <c r="AA274" s="57"/>
      <c r="AB274" s="57"/>
      <c r="AC274" s="59" t="str">
        <f t="shared" si="69"/>
        <v/>
      </c>
      <c r="AD274" s="57"/>
      <c r="AE274" s="57"/>
      <c r="AF274" s="59"/>
    </row>
    <row r="275" spans="1:32">
      <c r="A275" s="24"/>
      <c r="B275" s="26" t="s">
        <v>230</v>
      </c>
      <c r="C275" s="26" t="s">
        <v>450</v>
      </c>
      <c r="D275" s="50" t="s">
        <v>287</v>
      </c>
      <c r="E275" s="51"/>
      <c r="F275" s="50" t="s">
        <v>287</v>
      </c>
      <c r="G275" s="52"/>
      <c r="H275" s="50" t="s">
        <v>287</v>
      </c>
      <c r="I275" s="53"/>
      <c r="J275" s="50" t="s">
        <v>287</v>
      </c>
      <c r="K275" s="53"/>
      <c r="L275" s="50" t="s">
        <v>287</v>
      </c>
      <c r="M275" s="57"/>
      <c r="N275" s="55">
        <v>5.5555555555555558E-3</v>
      </c>
      <c r="O275" s="57"/>
      <c r="P275" s="57"/>
      <c r="Q275" s="59">
        <f t="shared" si="70"/>
        <v>5.5555555555555558E-3</v>
      </c>
      <c r="R275" s="57"/>
      <c r="S275" s="57"/>
      <c r="T275" s="59">
        <f t="shared" si="71"/>
        <v>5.5555555555555558E-3</v>
      </c>
      <c r="U275" s="57"/>
      <c r="V275" s="57"/>
      <c r="W275" s="59">
        <f t="shared" si="72"/>
        <v>5.5555555555555558E-3</v>
      </c>
      <c r="X275" s="57"/>
      <c r="Y275" s="57"/>
      <c r="Z275" s="59">
        <f t="shared" si="68"/>
        <v>5.5555555555555558E-3</v>
      </c>
      <c r="AA275" s="57"/>
      <c r="AB275" s="57"/>
      <c r="AC275" s="59">
        <f t="shared" si="69"/>
        <v>5.5555555555555558E-3</v>
      </c>
      <c r="AD275" s="57"/>
      <c r="AE275" s="57"/>
      <c r="AF275" s="59"/>
    </row>
    <row r="276" spans="1:32">
      <c r="A276" s="24" t="s">
        <v>326</v>
      </c>
      <c r="B276" s="26" t="s">
        <v>268</v>
      </c>
      <c r="C276" s="26" t="s">
        <v>450</v>
      </c>
      <c r="D276" s="50">
        <v>7.21</v>
      </c>
      <c r="E276" s="51" t="s">
        <v>301</v>
      </c>
      <c r="F276" s="50">
        <v>7.12</v>
      </c>
      <c r="G276" s="52">
        <v>7.07</v>
      </c>
      <c r="H276" s="50">
        <v>7.07</v>
      </c>
      <c r="I276" s="53">
        <v>6.53</v>
      </c>
      <c r="J276" s="50">
        <v>6.53</v>
      </c>
      <c r="K276" s="53">
        <v>7.05</v>
      </c>
      <c r="L276" s="50">
        <v>6.53</v>
      </c>
      <c r="M276" s="57"/>
      <c r="N276" s="55">
        <v>4.7800925925925919E-3</v>
      </c>
      <c r="O276" s="57">
        <v>5.0578703703703706E-3</v>
      </c>
      <c r="P276" s="57"/>
      <c r="Q276" s="59">
        <f t="shared" si="70"/>
        <v>4.7800925925925919E-3</v>
      </c>
      <c r="R276" s="57">
        <v>4.8379629629629632E-3</v>
      </c>
      <c r="S276" s="57"/>
      <c r="T276" s="59">
        <f t="shared" si="71"/>
        <v>4.7800925925925919E-3</v>
      </c>
      <c r="U276" s="57"/>
      <c r="V276" s="57"/>
      <c r="W276" s="59">
        <f t="shared" si="72"/>
        <v>4.7800925925925919E-3</v>
      </c>
      <c r="X276" s="57"/>
      <c r="Y276" s="57"/>
      <c r="Z276" s="59">
        <f t="shared" si="68"/>
        <v>4.7800925925925919E-3</v>
      </c>
      <c r="AA276" s="57">
        <v>4.7685185185185183E-3</v>
      </c>
      <c r="AB276" s="57"/>
      <c r="AC276" s="59">
        <f t="shared" si="69"/>
        <v>4.7685185185185183E-3</v>
      </c>
      <c r="AD276" s="57"/>
      <c r="AE276" s="57"/>
      <c r="AF276" s="59"/>
    </row>
    <row r="277" spans="1:32">
      <c r="A277" s="24" t="s">
        <v>326</v>
      </c>
      <c r="B277" s="26" t="s">
        <v>217</v>
      </c>
      <c r="C277" s="26" t="s">
        <v>450</v>
      </c>
      <c r="D277" s="50">
        <v>6.33</v>
      </c>
      <c r="E277" s="51" t="s">
        <v>289</v>
      </c>
      <c r="F277" s="50">
        <v>6.33</v>
      </c>
      <c r="G277" s="52" t="s">
        <v>351</v>
      </c>
      <c r="H277" s="50">
        <v>6.33</v>
      </c>
      <c r="I277" s="53">
        <v>6.44</v>
      </c>
      <c r="J277" s="50">
        <v>6.33</v>
      </c>
      <c r="K277" s="53">
        <v>6.33</v>
      </c>
      <c r="L277" s="50">
        <v>6.33</v>
      </c>
      <c r="M277" s="57">
        <v>5.0925925925925921E-3</v>
      </c>
      <c r="N277" s="55">
        <v>4.5486111111111109E-3</v>
      </c>
      <c r="O277" s="57">
        <v>4.9768518518518521E-3</v>
      </c>
      <c r="P277" s="57"/>
      <c r="Q277" s="59">
        <f t="shared" si="70"/>
        <v>4.5486111111111109E-3</v>
      </c>
      <c r="R277" s="57">
        <v>4.7916666666666672E-3</v>
      </c>
      <c r="S277" s="57"/>
      <c r="T277" s="59">
        <f t="shared" si="71"/>
        <v>4.5486111111111109E-3</v>
      </c>
      <c r="U277" s="57">
        <v>4.8032407407407407E-3</v>
      </c>
      <c r="V277" s="57"/>
      <c r="W277" s="59">
        <f t="shared" si="72"/>
        <v>4.5486111111111109E-3</v>
      </c>
      <c r="X277" s="57"/>
      <c r="Y277" s="57"/>
      <c r="Z277" s="59">
        <f t="shared" si="68"/>
        <v>4.5486111111111109E-3</v>
      </c>
      <c r="AA277" s="57">
        <v>4.8379629629629632E-3</v>
      </c>
      <c r="AB277" s="57"/>
      <c r="AC277" s="59">
        <f t="shared" si="69"/>
        <v>4.5486111111111109E-3</v>
      </c>
      <c r="AD277" s="57">
        <v>4.8495370370370368E-3</v>
      </c>
      <c r="AE277" s="57"/>
      <c r="AF277" s="59"/>
    </row>
    <row r="278" spans="1:32">
      <c r="A278" s="24" t="s">
        <v>326</v>
      </c>
      <c r="B278" s="26" t="s">
        <v>4</v>
      </c>
      <c r="C278" s="26" t="s">
        <v>450</v>
      </c>
      <c r="D278" s="50">
        <v>7.38</v>
      </c>
      <c r="E278" s="51"/>
      <c r="F278" s="50">
        <v>7.38</v>
      </c>
      <c r="G278" s="52"/>
      <c r="H278" s="50">
        <v>7.38</v>
      </c>
      <c r="I278" s="53"/>
      <c r="J278" s="50">
        <v>7.38</v>
      </c>
      <c r="K278" s="53"/>
      <c r="L278" s="50">
        <v>7.38</v>
      </c>
      <c r="M278" s="57"/>
      <c r="N278" s="55">
        <v>5.3009259259259251E-3</v>
      </c>
      <c r="O278" s="57"/>
      <c r="P278" s="57"/>
      <c r="Q278" s="59">
        <f t="shared" si="70"/>
        <v>5.3009259259259251E-3</v>
      </c>
      <c r="R278" s="57"/>
      <c r="S278" s="57"/>
      <c r="T278" s="59">
        <f t="shared" si="71"/>
        <v>5.3009259259259251E-3</v>
      </c>
      <c r="U278" s="57"/>
      <c r="V278" s="57"/>
      <c r="W278" s="59">
        <f t="shared" si="72"/>
        <v>5.3009259259259251E-3</v>
      </c>
      <c r="X278" s="57"/>
      <c r="Y278" s="57"/>
      <c r="Z278" s="59">
        <f t="shared" si="68"/>
        <v>5.3009259259259251E-3</v>
      </c>
      <c r="AA278" s="57">
        <v>5.4166666666666669E-3</v>
      </c>
      <c r="AB278" s="57"/>
      <c r="AC278" s="59">
        <f t="shared" si="69"/>
        <v>5.3009259259259251E-3</v>
      </c>
      <c r="AD278" s="57"/>
      <c r="AE278" s="57"/>
      <c r="AF278" s="59"/>
    </row>
    <row r="279" spans="1:32">
      <c r="A279" s="24"/>
      <c r="B279" s="26" t="s">
        <v>469</v>
      </c>
      <c r="C279" s="26" t="s">
        <v>450</v>
      </c>
      <c r="D279" s="50"/>
      <c r="E279" s="51"/>
      <c r="F279" s="50"/>
      <c r="G279" s="52"/>
      <c r="H279" s="50"/>
      <c r="I279" s="53"/>
      <c r="J279" s="50"/>
      <c r="K279" s="53"/>
      <c r="L279" s="50"/>
      <c r="M279" s="57"/>
      <c r="N279" s="55"/>
      <c r="O279" s="57"/>
      <c r="P279" s="57"/>
      <c r="Q279" s="59" t="str">
        <f t="shared" si="70"/>
        <v/>
      </c>
      <c r="R279" s="57"/>
      <c r="S279" s="57"/>
      <c r="T279" s="59" t="str">
        <f t="shared" si="71"/>
        <v/>
      </c>
      <c r="U279" s="57"/>
      <c r="V279" s="57"/>
      <c r="W279" s="59" t="str">
        <f t="shared" si="72"/>
        <v/>
      </c>
      <c r="X279" s="57"/>
      <c r="Y279" s="57"/>
      <c r="Z279" s="59" t="str">
        <f t="shared" si="68"/>
        <v/>
      </c>
      <c r="AA279" s="57"/>
      <c r="AB279" s="57"/>
      <c r="AC279" s="59" t="str">
        <f t="shared" si="69"/>
        <v/>
      </c>
      <c r="AD279" s="57"/>
      <c r="AE279" s="57"/>
      <c r="AF279" s="59"/>
    </row>
    <row r="280" spans="1:32">
      <c r="A280" s="24" t="s">
        <v>326</v>
      </c>
      <c r="B280" s="26" t="s">
        <v>446</v>
      </c>
      <c r="C280" s="26" t="s">
        <v>450</v>
      </c>
      <c r="D280" s="50"/>
      <c r="E280" s="51"/>
      <c r="F280" s="50"/>
      <c r="G280" s="52"/>
      <c r="H280" s="50"/>
      <c r="I280" s="53">
        <v>8.31</v>
      </c>
      <c r="J280" s="50">
        <v>8.31</v>
      </c>
      <c r="K280" s="53"/>
      <c r="L280" s="50">
        <v>8.31</v>
      </c>
      <c r="M280" s="57">
        <v>6.122685185185185E-3</v>
      </c>
      <c r="N280" s="55">
        <v>5.9143518518518521E-3</v>
      </c>
      <c r="O280" s="57">
        <v>5.7175925925925927E-3</v>
      </c>
      <c r="P280" s="57"/>
      <c r="Q280" s="59">
        <f t="shared" si="70"/>
        <v>5.7175925925925927E-3</v>
      </c>
      <c r="R280" s="57"/>
      <c r="S280" s="57"/>
      <c r="T280" s="59">
        <f t="shared" si="71"/>
        <v>5.7175925925925927E-3</v>
      </c>
      <c r="U280" s="57"/>
      <c r="V280" s="57"/>
      <c r="W280" s="59">
        <f t="shared" si="72"/>
        <v>5.7175925925925927E-3</v>
      </c>
      <c r="X280" s="57"/>
      <c r="Y280" s="57"/>
      <c r="Z280" s="59">
        <f t="shared" si="68"/>
        <v>5.7175925925925927E-3</v>
      </c>
      <c r="AA280" s="57">
        <v>5.7754629629629623E-3</v>
      </c>
      <c r="AB280" s="57"/>
      <c r="AC280" s="59">
        <f t="shared" si="69"/>
        <v>5.7175925925925927E-3</v>
      </c>
      <c r="AD280" s="57">
        <v>5.7638888888888887E-3</v>
      </c>
      <c r="AE280" s="57"/>
      <c r="AF280" s="59"/>
    </row>
    <row r="281" spans="1:32">
      <c r="A281" s="24"/>
      <c r="B281" s="26" t="s">
        <v>405</v>
      </c>
      <c r="C281" s="26" t="s">
        <v>450</v>
      </c>
      <c r="D281" s="50"/>
      <c r="E281" s="51"/>
      <c r="F281" s="50"/>
      <c r="G281" s="52"/>
      <c r="H281" s="50"/>
      <c r="I281" s="53"/>
      <c r="J281" s="50" t="s">
        <v>455</v>
      </c>
      <c r="K281" s="53"/>
      <c r="L281" s="50"/>
      <c r="M281" s="57"/>
      <c r="N281" s="55"/>
      <c r="O281" s="57"/>
      <c r="P281" s="57"/>
      <c r="Q281" s="59" t="str">
        <f t="shared" si="70"/>
        <v/>
      </c>
      <c r="R281" s="57"/>
      <c r="S281" s="57"/>
      <c r="T281" s="59" t="str">
        <f t="shared" si="71"/>
        <v/>
      </c>
      <c r="U281" s="57"/>
      <c r="V281" s="57"/>
      <c r="W281" s="59" t="str">
        <f t="shared" si="72"/>
        <v/>
      </c>
      <c r="X281" s="57"/>
      <c r="Y281" s="57"/>
      <c r="Z281" s="59" t="str">
        <f t="shared" si="68"/>
        <v/>
      </c>
      <c r="AA281" s="57"/>
      <c r="AB281" s="57"/>
      <c r="AC281" s="59" t="str">
        <f t="shared" si="69"/>
        <v/>
      </c>
      <c r="AD281" s="57"/>
      <c r="AE281" s="57"/>
      <c r="AF281" s="59"/>
    </row>
    <row r="282" spans="1:32">
      <c r="A282" s="24"/>
      <c r="B282" s="26" t="s">
        <v>281</v>
      </c>
      <c r="C282" s="26" t="s">
        <v>450</v>
      </c>
      <c r="D282" s="50"/>
      <c r="E282" s="51"/>
      <c r="F282" s="50" t="s">
        <v>455</v>
      </c>
      <c r="G282" s="52"/>
      <c r="H282" s="50"/>
      <c r="I282" s="53"/>
      <c r="J282" s="50" t="s">
        <v>455</v>
      </c>
      <c r="K282" s="53"/>
      <c r="L282" s="50"/>
      <c r="M282" s="57"/>
      <c r="N282" s="55"/>
      <c r="O282" s="57"/>
      <c r="P282" s="57"/>
      <c r="Q282" s="59" t="str">
        <f t="shared" si="70"/>
        <v/>
      </c>
      <c r="R282" s="57"/>
      <c r="S282" s="57"/>
      <c r="T282" s="59" t="str">
        <f t="shared" si="71"/>
        <v/>
      </c>
      <c r="U282" s="57"/>
      <c r="V282" s="57"/>
      <c r="W282" s="59" t="str">
        <f t="shared" si="72"/>
        <v/>
      </c>
      <c r="X282" s="57"/>
      <c r="Y282" s="57"/>
      <c r="Z282" s="59" t="str">
        <f t="shared" si="68"/>
        <v/>
      </c>
      <c r="AA282" s="57"/>
      <c r="AB282" s="57"/>
      <c r="AC282" s="59" t="str">
        <f t="shared" si="69"/>
        <v/>
      </c>
      <c r="AD282" s="57"/>
      <c r="AE282" s="57"/>
      <c r="AF282" s="59"/>
    </row>
    <row r="283" spans="1:32">
      <c r="A283" s="24" t="s">
        <v>326</v>
      </c>
      <c r="B283" s="26" t="s">
        <v>714</v>
      </c>
      <c r="C283" s="26"/>
      <c r="D283" s="50"/>
      <c r="E283" s="51"/>
      <c r="F283" s="50"/>
      <c r="G283" s="52"/>
      <c r="H283" s="50"/>
      <c r="I283" s="53"/>
      <c r="J283" s="50"/>
      <c r="K283" s="53"/>
      <c r="L283" s="50"/>
      <c r="M283" s="57"/>
      <c r="N283" s="55"/>
      <c r="O283" s="57"/>
      <c r="P283" s="57"/>
      <c r="Q283" s="59"/>
      <c r="R283" s="57"/>
      <c r="S283" s="57"/>
      <c r="T283" s="59"/>
      <c r="U283" s="57"/>
      <c r="V283" s="57"/>
      <c r="W283" s="59"/>
      <c r="X283" s="57"/>
      <c r="Y283" s="57"/>
      <c r="Z283" s="59"/>
      <c r="AA283" s="57"/>
      <c r="AB283" s="57"/>
      <c r="AC283" s="59" t="str">
        <f t="shared" si="69"/>
        <v/>
      </c>
      <c r="AD283" s="57">
        <v>8.1365740740740738E-3</v>
      </c>
      <c r="AE283" s="57"/>
      <c r="AF283" s="59"/>
    </row>
    <row r="284" spans="1:32">
      <c r="A284" s="24"/>
      <c r="B284" s="26" t="s">
        <v>653</v>
      </c>
      <c r="C284" s="26"/>
      <c r="D284" s="50"/>
      <c r="E284" s="51"/>
      <c r="F284" s="50"/>
      <c r="G284" s="52"/>
      <c r="H284" s="50"/>
      <c r="I284" s="53"/>
      <c r="J284" s="50"/>
      <c r="K284" s="53"/>
      <c r="L284" s="50"/>
      <c r="M284" s="57"/>
      <c r="N284" s="55"/>
      <c r="O284" s="57"/>
      <c r="P284" s="57"/>
      <c r="Q284" s="59"/>
      <c r="R284" s="57"/>
      <c r="S284" s="57"/>
      <c r="T284" s="59"/>
      <c r="U284" s="57"/>
      <c r="V284" s="57"/>
      <c r="W284" s="59"/>
      <c r="X284" s="57">
        <v>5.7407407407407416E-3</v>
      </c>
      <c r="Y284" s="57"/>
      <c r="Z284" s="59">
        <f t="shared" ref="Z284:Z304" si="73">IF(MIN(IF(ISBLANK(X284),W284,X284),IF(ISBLANK(W284),X284,W284))=0,"",MIN(IF(ISBLANK(X284),W284,X284),IF(ISBLANK(W284),X284,W284)))</f>
        <v>5.7407407407407416E-3</v>
      </c>
      <c r="AA284" s="57"/>
      <c r="AB284" s="57"/>
      <c r="AC284" s="59">
        <f t="shared" si="69"/>
        <v>5.7407407407407416E-3</v>
      </c>
      <c r="AD284" s="57"/>
      <c r="AE284" s="57"/>
      <c r="AF284" s="59"/>
    </row>
    <row r="285" spans="1:32">
      <c r="A285" s="24" t="s">
        <v>326</v>
      </c>
      <c r="B285" s="26" t="s">
        <v>654</v>
      </c>
      <c r="C285" s="26"/>
      <c r="D285" s="50"/>
      <c r="E285" s="51"/>
      <c r="F285" s="50"/>
      <c r="G285" s="52"/>
      <c r="H285" s="50"/>
      <c r="I285" s="53"/>
      <c r="J285" s="50"/>
      <c r="K285" s="53"/>
      <c r="L285" s="50"/>
      <c r="M285" s="57"/>
      <c r="N285" s="55"/>
      <c r="O285" s="57"/>
      <c r="P285" s="57"/>
      <c r="Q285" s="59"/>
      <c r="R285" s="57"/>
      <c r="S285" s="57"/>
      <c r="T285" s="59"/>
      <c r="U285" s="57"/>
      <c r="V285" s="57"/>
      <c r="W285" s="59"/>
      <c r="X285" s="57"/>
      <c r="Y285" s="57"/>
      <c r="Z285" s="59" t="str">
        <f t="shared" si="73"/>
        <v/>
      </c>
      <c r="AA285" s="57">
        <v>7.2337962962962963E-3</v>
      </c>
      <c r="AB285" s="57"/>
      <c r="AC285" s="59">
        <f t="shared" si="69"/>
        <v>7.2337962962962963E-3</v>
      </c>
      <c r="AD285" s="57"/>
      <c r="AE285" s="57"/>
      <c r="AF285" s="59"/>
    </row>
    <row r="286" spans="1:32">
      <c r="A286" s="24"/>
      <c r="B286" s="26" t="s">
        <v>9</v>
      </c>
      <c r="C286" s="26" t="s">
        <v>451</v>
      </c>
      <c r="D286" s="50">
        <v>9.5299999999999994</v>
      </c>
      <c r="E286" s="51"/>
      <c r="F286" s="50">
        <v>9.5299999999999994</v>
      </c>
      <c r="G286" s="52"/>
      <c r="H286" s="50">
        <v>9.5299999999999994</v>
      </c>
      <c r="I286" s="53"/>
      <c r="J286" s="50">
        <v>9.5299999999999994</v>
      </c>
      <c r="K286" s="53"/>
      <c r="L286" s="50">
        <v>9.5299999999999994</v>
      </c>
      <c r="M286" s="57"/>
      <c r="N286" s="55">
        <v>6.8634259259259256E-3</v>
      </c>
      <c r="O286" s="57"/>
      <c r="P286" s="57"/>
      <c r="Q286" s="59">
        <f>IF(MIN(IF(ISBLANK(O286),N286,O286),IF(ISBLANK(N286),O286,N286))=0,"",MIN(IF(ISBLANK(O286),N286,O286),IF(ISBLANK(N286),O286,N286)))</f>
        <v>6.8634259259259256E-3</v>
      </c>
      <c r="R286" s="57"/>
      <c r="S286" s="57"/>
      <c r="T286" s="59">
        <f>IF(MIN(IF(ISBLANK(R286),Q286,R286),IF(ISBLANK(Q286),R286,Q286))=0,"",MIN(IF(ISBLANK(R286),Q286,R286),IF(ISBLANK(Q286),R286,Q286)))</f>
        <v>6.8634259259259256E-3</v>
      </c>
      <c r="U286" s="57"/>
      <c r="V286" s="57"/>
      <c r="W286" s="59">
        <f>IF(MIN(IF(ISBLANK(U286),T286,U286),IF(ISBLANK(T286),U286,T286))=0,"",MIN(IF(ISBLANK(U286),T286,U286),IF(ISBLANK(T286),U286,T286)))</f>
        <v>6.8634259259259256E-3</v>
      </c>
      <c r="X286" s="57"/>
      <c r="Y286" s="57"/>
      <c r="Z286" s="59">
        <f t="shared" si="73"/>
        <v>6.8634259259259256E-3</v>
      </c>
      <c r="AA286" s="57"/>
      <c r="AB286" s="57"/>
      <c r="AC286" s="59">
        <f t="shared" si="69"/>
        <v>6.8634259259259256E-3</v>
      </c>
      <c r="AD286" s="57"/>
      <c r="AE286" s="57"/>
      <c r="AF286" s="59"/>
    </row>
    <row r="287" spans="1:32">
      <c r="A287" s="24"/>
      <c r="B287" s="26" t="s">
        <v>532</v>
      </c>
      <c r="C287" s="26" t="s">
        <v>450</v>
      </c>
      <c r="D287" s="50"/>
      <c r="E287" s="51"/>
      <c r="F287" s="50"/>
      <c r="G287" s="52"/>
      <c r="H287" s="50"/>
      <c r="I287" s="53"/>
      <c r="J287" s="50"/>
      <c r="K287" s="53"/>
      <c r="L287" s="50"/>
      <c r="M287" s="57"/>
      <c r="N287" s="55"/>
      <c r="O287" s="57"/>
      <c r="P287" s="57"/>
      <c r="Q287" s="59" t="str">
        <f>IF(MIN(IF(ISBLANK(O287),N287,O287),IF(ISBLANK(N287),O287,N287))=0,"",MIN(IF(ISBLANK(O287),N287,O287),IF(ISBLANK(N287),O287,N287)))</f>
        <v/>
      </c>
      <c r="R287" s="57"/>
      <c r="S287" s="57"/>
      <c r="T287" s="59" t="str">
        <f>IF(MIN(IF(ISBLANK(R287),Q287,R287),IF(ISBLANK(Q287),R287,Q287))=0,"",MIN(IF(ISBLANK(R287),Q287,R287),IF(ISBLANK(Q287),R287,Q287)))</f>
        <v/>
      </c>
      <c r="U287" s="57"/>
      <c r="V287" s="57"/>
      <c r="W287" s="59" t="str">
        <f>IF(MIN(IF(ISBLANK(U287),T287,U287),IF(ISBLANK(T287),U287,T287))=0,"",MIN(IF(ISBLANK(U287),T287,U287),IF(ISBLANK(T287),U287,T287)))</f>
        <v/>
      </c>
      <c r="X287" s="57"/>
      <c r="Y287" s="57"/>
      <c r="Z287" s="59" t="str">
        <f t="shared" si="73"/>
        <v/>
      </c>
      <c r="AA287" s="57"/>
      <c r="AB287" s="57"/>
      <c r="AC287" s="59" t="str">
        <f t="shared" si="69"/>
        <v/>
      </c>
      <c r="AD287" s="57"/>
      <c r="AE287" s="57"/>
      <c r="AF287" s="59"/>
    </row>
    <row r="288" spans="1:32">
      <c r="A288" s="24"/>
      <c r="B288" s="26" t="s">
        <v>655</v>
      </c>
      <c r="C288" s="26"/>
      <c r="D288" s="50"/>
      <c r="E288" s="51"/>
      <c r="F288" s="50"/>
      <c r="G288" s="52"/>
      <c r="H288" s="50"/>
      <c r="I288" s="53"/>
      <c r="J288" s="50"/>
      <c r="K288" s="53"/>
      <c r="L288" s="50"/>
      <c r="M288" s="57"/>
      <c r="N288" s="55"/>
      <c r="O288" s="57"/>
      <c r="P288" s="57"/>
      <c r="Q288" s="59"/>
      <c r="R288" s="57"/>
      <c r="S288" s="57"/>
      <c r="T288" s="59"/>
      <c r="U288" s="57"/>
      <c r="V288" s="57"/>
      <c r="W288" s="59"/>
      <c r="X288" s="57"/>
      <c r="Y288" s="57"/>
      <c r="Z288" s="59" t="str">
        <f t="shared" si="73"/>
        <v/>
      </c>
      <c r="AA288" s="57"/>
      <c r="AB288" s="57"/>
      <c r="AC288" s="59" t="str">
        <f t="shared" si="69"/>
        <v/>
      </c>
      <c r="AD288" s="57"/>
      <c r="AE288" s="57"/>
      <c r="AF288" s="59"/>
    </row>
    <row r="289" spans="1:32">
      <c r="A289" s="24"/>
      <c r="B289" s="26" t="s">
        <v>256</v>
      </c>
      <c r="C289" s="26" t="s">
        <v>450</v>
      </c>
      <c r="D289" s="50">
        <v>8.02</v>
      </c>
      <c r="E289" s="51" t="s">
        <v>288</v>
      </c>
      <c r="F289" s="50">
        <v>8.02</v>
      </c>
      <c r="G289" s="52"/>
      <c r="H289" s="50">
        <v>8.02</v>
      </c>
      <c r="I289" s="53"/>
      <c r="J289" s="50">
        <v>8.02</v>
      </c>
      <c r="K289" s="53"/>
      <c r="L289" s="50">
        <v>8.02</v>
      </c>
      <c r="M289" s="57"/>
      <c r="N289" s="55">
        <v>5.5787037037037038E-3</v>
      </c>
      <c r="O289" s="57"/>
      <c r="P289" s="57"/>
      <c r="Q289" s="59">
        <f>IF(MIN(IF(ISBLANK(O289),N289,O289),IF(ISBLANK(N289),O289,N289))=0,"",MIN(IF(ISBLANK(O289),N289,O289),IF(ISBLANK(N289),O289,N289)))</f>
        <v>5.5787037037037038E-3</v>
      </c>
      <c r="R289" s="57"/>
      <c r="S289" s="57"/>
      <c r="T289" s="59">
        <f>IF(MIN(IF(ISBLANK(R289),Q289,R289),IF(ISBLANK(Q289),R289,Q289))=0,"",MIN(IF(ISBLANK(R289),Q289,R289),IF(ISBLANK(Q289),R289,Q289)))</f>
        <v>5.5787037037037038E-3</v>
      </c>
      <c r="U289" s="57"/>
      <c r="V289" s="57"/>
      <c r="W289" s="59">
        <f>IF(MIN(IF(ISBLANK(U289),T289,U289),IF(ISBLANK(T289),U289,T289))=0,"",MIN(IF(ISBLANK(U289),T289,U289),IF(ISBLANK(T289),U289,T289)))</f>
        <v>5.5787037037037038E-3</v>
      </c>
      <c r="X289" s="57"/>
      <c r="Y289" s="57"/>
      <c r="Z289" s="59">
        <f t="shared" si="73"/>
        <v>5.5787037037037038E-3</v>
      </c>
      <c r="AA289" s="57"/>
      <c r="AB289" s="57"/>
      <c r="AC289" s="59">
        <f t="shared" si="69"/>
        <v>5.5787037037037038E-3</v>
      </c>
      <c r="AD289" s="57"/>
      <c r="AE289" s="57"/>
      <c r="AF289" s="59"/>
    </row>
    <row r="290" spans="1:32">
      <c r="A290" s="24"/>
      <c r="B290" s="26" t="s">
        <v>15</v>
      </c>
      <c r="C290" s="26" t="s">
        <v>450</v>
      </c>
      <c r="D290" s="50"/>
      <c r="E290" s="51"/>
      <c r="F290" s="50" t="s">
        <v>455</v>
      </c>
      <c r="G290" s="52"/>
      <c r="H290" s="50"/>
      <c r="I290" s="53"/>
      <c r="J290" s="50" t="s">
        <v>455</v>
      </c>
      <c r="K290" s="53"/>
      <c r="L290" s="50"/>
      <c r="M290" s="57"/>
      <c r="N290" s="55"/>
      <c r="O290" s="57"/>
      <c r="P290" s="57"/>
      <c r="Q290" s="59" t="str">
        <f>IF(MIN(IF(ISBLANK(O290),N290,O290),IF(ISBLANK(N290),O290,N290))=0,"",MIN(IF(ISBLANK(O290),N290,O290),IF(ISBLANK(N290),O290,N290)))</f>
        <v/>
      </c>
      <c r="R290" s="57"/>
      <c r="S290" s="57"/>
      <c r="T290" s="59" t="str">
        <f>IF(MIN(IF(ISBLANK(R290),Q290,R290),IF(ISBLANK(Q290),R290,Q290))=0,"",MIN(IF(ISBLANK(R290),Q290,R290),IF(ISBLANK(Q290),R290,Q290)))</f>
        <v/>
      </c>
      <c r="U290" s="57"/>
      <c r="V290" s="57"/>
      <c r="W290" s="59" t="str">
        <f>IF(MIN(IF(ISBLANK(U290),T290,U290),IF(ISBLANK(T290),U290,T290))=0,"",MIN(IF(ISBLANK(U290),T290,U290),IF(ISBLANK(T290),U290,T290)))</f>
        <v/>
      </c>
      <c r="X290" s="57"/>
      <c r="Y290" s="57"/>
      <c r="Z290" s="59" t="str">
        <f t="shared" si="73"/>
        <v/>
      </c>
      <c r="AA290" s="57"/>
      <c r="AB290" s="57"/>
      <c r="AC290" s="59" t="str">
        <f t="shared" si="69"/>
        <v/>
      </c>
      <c r="AD290" s="57"/>
      <c r="AE290" s="57"/>
      <c r="AF290" s="59"/>
    </row>
    <row r="291" spans="1:32">
      <c r="A291" s="24"/>
      <c r="B291" s="26" t="s">
        <v>656</v>
      </c>
      <c r="C291" s="26"/>
      <c r="D291" s="50"/>
      <c r="E291" s="51"/>
      <c r="F291" s="50"/>
      <c r="G291" s="52"/>
      <c r="H291" s="50"/>
      <c r="I291" s="53"/>
      <c r="J291" s="50"/>
      <c r="K291" s="53"/>
      <c r="L291" s="50"/>
      <c r="M291" s="57"/>
      <c r="N291" s="55"/>
      <c r="O291" s="57"/>
      <c r="P291" s="57"/>
      <c r="Q291" s="59"/>
      <c r="R291" s="57"/>
      <c r="S291" s="57"/>
      <c r="T291" s="59"/>
      <c r="U291" s="57"/>
      <c r="V291" s="57"/>
      <c r="W291" s="59"/>
      <c r="X291" s="57"/>
      <c r="Y291" s="57"/>
      <c r="Z291" s="59" t="str">
        <f t="shared" si="73"/>
        <v/>
      </c>
      <c r="AA291" s="57"/>
      <c r="AB291" s="57"/>
      <c r="AC291" s="59" t="str">
        <f t="shared" si="69"/>
        <v/>
      </c>
      <c r="AD291" s="57"/>
      <c r="AE291" s="57"/>
      <c r="AF291" s="59"/>
    </row>
    <row r="292" spans="1:32">
      <c r="A292" s="24"/>
      <c r="B292" s="26" t="s">
        <v>471</v>
      </c>
      <c r="C292" s="26" t="s">
        <v>451</v>
      </c>
      <c r="D292" s="50"/>
      <c r="E292" s="51"/>
      <c r="F292" s="50"/>
      <c r="G292" s="52"/>
      <c r="H292" s="50"/>
      <c r="I292" s="53"/>
      <c r="J292" s="50"/>
      <c r="K292" s="53"/>
      <c r="L292" s="50"/>
      <c r="M292" s="57"/>
      <c r="N292" s="55"/>
      <c r="O292" s="57"/>
      <c r="P292" s="57"/>
      <c r="Q292" s="59" t="str">
        <f>IF(MIN(IF(ISBLANK(O292),N292,O292),IF(ISBLANK(N292),O292,N292))=0,"",MIN(IF(ISBLANK(O292),N292,O292),IF(ISBLANK(N292),O292,N292)))</f>
        <v/>
      </c>
      <c r="R292" s="57"/>
      <c r="S292" s="57"/>
      <c r="T292" s="59" t="str">
        <f>IF(MIN(IF(ISBLANK(R292),Q292,R292),IF(ISBLANK(Q292),R292,Q292))=0,"",MIN(IF(ISBLANK(R292),Q292,R292),IF(ISBLANK(Q292),R292,Q292)))</f>
        <v/>
      </c>
      <c r="U292" s="57"/>
      <c r="V292" s="57"/>
      <c r="W292" s="59" t="str">
        <f>IF(MIN(IF(ISBLANK(U292),T292,U292),IF(ISBLANK(T292),U292,T292))=0,"",MIN(IF(ISBLANK(U292),T292,U292),IF(ISBLANK(T292),U292,T292)))</f>
        <v/>
      </c>
      <c r="X292" s="57"/>
      <c r="Y292" s="57"/>
      <c r="Z292" s="59" t="str">
        <f t="shared" si="73"/>
        <v/>
      </c>
      <c r="AA292" s="57"/>
      <c r="AB292" s="57"/>
      <c r="AC292" s="59" t="str">
        <f t="shared" si="69"/>
        <v/>
      </c>
      <c r="AD292" s="57"/>
      <c r="AE292" s="57"/>
      <c r="AF292" s="59"/>
    </row>
    <row r="293" spans="1:32">
      <c r="A293" s="24" t="s">
        <v>326</v>
      </c>
      <c r="B293" s="26" t="s">
        <v>657</v>
      </c>
      <c r="C293" s="26"/>
      <c r="D293" s="50"/>
      <c r="E293" s="51"/>
      <c r="F293" s="50"/>
      <c r="G293" s="52"/>
      <c r="H293" s="50"/>
      <c r="I293" s="53"/>
      <c r="J293" s="50"/>
      <c r="K293" s="53"/>
      <c r="L293" s="50"/>
      <c r="M293" s="57"/>
      <c r="N293" s="55"/>
      <c r="O293" s="57"/>
      <c r="P293" s="57"/>
      <c r="Q293" s="59"/>
      <c r="R293" s="57"/>
      <c r="S293" s="57"/>
      <c r="T293" s="59"/>
      <c r="U293" s="57"/>
      <c r="V293" s="57"/>
      <c r="W293" s="59"/>
      <c r="X293" s="57">
        <v>7.3263888888888892E-3</v>
      </c>
      <c r="Y293" s="57"/>
      <c r="Z293" s="59">
        <f t="shared" si="73"/>
        <v>7.3263888888888892E-3</v>
      </c>
      <c r="AA293" s="57"/>
      <c r="AB293" s="57"/>
      <c r="AC293" s="59">
        <f t="shared" si="69"/>
        <v>7.3263888888888892E-3</v>
      </c>
      <c r="AD293" s="57"/>
      <c r="AE293" s="57"/>
      <c r="AF293" s="59"/>
    </row>
    <row r="294" spans="1:32">
      <c r="A294" s="24"/>
      <c r="B294" s="26" t="s">
        <v>37</v>
      </c>
      <c r="C294" s="26" t="s">
        <v>451</v>
      </c>
      <c r="D294" s="50">
        <v>10.35</v>
      </c>
      <c r="E294" s="51"/>
      <c r="F294" s="50">
        <v>10.35</v>
      </c>
      <c r="G294" s="52"/>
      <c r="H294" s="50">
        <v>10.35</v>
      </c>
      <c r="I294" s="53"/>
      <c r="J294" s="50">
        <v>10.35</v>
      </c>
      <c r="K294" s="53"/>
      <c r="L294" s="50">
        <v>10.35</v>
      </c>
      <c r="M294" s="57"/>
      <c r="N294" s="55">
        <v>7.3495370370370372E-3</v>
      </c>
      <c r="O294" s="57"/>
      <c r="P294" s="57"/>
      <c r="Q294" s="59">
        <f>IF(MIN(IF(ISBLANK(O294),N294,O294),IF(ISBLANK(N294),O294,N294))=0,"",MIN(IF(ISBLANK(O294),N294,O294),IF(ISBLANK(N294),O294,N294)))</f>
        <v>7.3495370370370372E-3</v>
      </c>
      <c r="R294" s="57"/>
      <c r="S294" s="57"/>
      <c r="T294" s="59">
        <f>IF(MIN(IF(ISBLANK(R294),Q294,R294),IF(ISBLANK(Q294),R294,Q294))=0,"",MIN(IF(ISBLANK(R294),Q294,R294),IF(ISBLANK(Q294),R294,Q294)))</f>
        <v>7.3495370370370372E-3</v>
      </c>
      <c r="U294" s="57"/>
      <c r="V294" s="57"/>
      <c r="W294" s="59">
        <f>IF(MIN(IF(ISBLANK(U294),T294,U294),IF(ISBLANK(T294),U294,T294))=0,"",MIN(IF(ISBLANK(U294),T294,U294),IF(ISBLANK(T294),U294,T294)))</f>
        <v>7.3495370370370372E-3</v>
      </c>
      <c r="X294" s="57"/>
      <c r="Y294" s="57"/>
      <c r="Z294" s="59">
        <f t="shared" si="73"/>
        <v>7.3495370370370372E-3</v>
      </c>
      <c r="AA294" s="57"/>
      <c r="AB294" s="57"/>
      <c r="AC294" s="59">
        <f t="shared" si="69"/>
        <v>7.3495370370370372E-3</v>
      </c>
      <c r="AD294" s="57"/>
      <c r="AE294" s="57"/>
      <c r="AF294" s="59"/>
    </row>
    <row r="295" spans="1:32">
      <c r="A295" s="24"/>
      <c r="B295" s="26" t="s">
        <v>658</v>
      </c>
      <c r="C295" s="26"/>
      <c r="D295" s="50"/>
      <c r="E295" s="51"/>
      <c r="F295" s="50"/>
      <c r="G295" s="52"/>
      <c r="H295" s="50"/>
      <c r="I295" s="53"/>
      <c r="J295" s="50"/>
      <c r="K295" s="53"/>
      <c r="L295" s="50"/>
      <c r="M295" s="57"/>
      <c r="N295" s="55"/>
      <c r="O295" s="57"/>
      <c r="P295" s="57"/>
      <c r="Q295" s="59"/>
      <c r="R295" s="57"/>
      <c r="S295" s="57"/>
      <c r="T295" s="59"/>
      <c r="U295" s="57"/>
      <c r="V295" s="57"/>
      <c r="W295" s="59"/>
      <c r="X295" s="57">
        <v>5.9606481481481489E-3</v>
      </c>
      <c r="Y295" s="57"/>
      <c r="Z295" s="59">
        <f t="shared" si="73"/>
        <v>5.9606481481481489E-3</v>
      </c>
      <c r="AA295" s="57"/>
      <c r="AB295" s="57"/>
      <c r="AC295" s="59">
        <f t="shared" si="69"/>
        <v>5.9606481481481489E-3</v>
      </c>
      <c r="AD295" s="57"/>
      <c r="AE295" s="57"/>
      <c r="AF295" s="59"/>
    </row>
    <row r="296" spans="1:32">
      <c r="A296" s="24" t="s">
        <v>326</v>
      </c>
      <c r="B296" s="26" t="s">
        <v>373</v>
      </c>
      <c r="C296" s="26" t="s">
        <v>450</v>
      </c>
      <c r="D296" s="50"/>
      <c r="E296" s="51"/>
      <c r="F296" s="50"/>
      <c r="G296" s="52" t="s">
        <v>360</v>
      </c>
      <c r="H296" s="50">
        <v>7.57</v>
      </c>
      <c r="I296" s="53">
        <v>7.47</v>
      </c>
      <c r="J296" s="50">
        <v>7.47</v>
      </c>
      <c r="K296" s="53"/>
      <c r="L296" s="50">
        <v>7.47</v>
      </c>
      <c r="M296" s="57"/>
      <c r="N296" s="55">
        <v>5.4050925925925924E-3</v>
      </c>
      <c r="O296" s="57"/>
      <c r="P296" s="57"/>
      <c r="Q296" s="59">
        <f>IF(MIN(IF(ISBLANK(O296),N296,O296),IF(ISBLANK(N296),O296,N296))=0,"",MIN(IF(ISBLANK(O296),N296,O296),IF(ISBLANK(N296),O296,N296)))</f>
        <v>5.4050925925925924E-3</v>
      </c>
      <c r="R296" s="57"/>
      <c r="S296" s="57"/>
      <c r="T296" s="59">
        <f>IF(MIN(IF(ISBLANK(R296),Q296,R296),IF(ISBLANK(Q296),R296,Q296))=0,"",MIN(IF(ISBLANK(R296),Q296,R296),IF(ISBLANK(Q296),R296,Q296)))</f>
        <v>5.4050925925925924E-3</v>
      </c>
      <c r="U296" s="57">
        <v>5.4513888888888884E-3</v>
      </c>
      <c r="V296" s="57"/>
      <c r="W296" s="59">
        <f>IF(MIN(IF(ISBLANK(U296),T296,U296),IF(ISBLANK(T296),U296,T296))=0,"",MIN(IF(ISBLANK(U296),T296,U296),IF(ISBLANK(T296),U296,T296)))</f>
        <v>5.4050925925925924E-3</v>
      </c>
      <c r="X296" s="57">
        <v>5.347222222222222E-3</v>
      </c>
      <c r="Y296" s="57"/>
      <c r="Z296" s="59">
        <f t="shared" si="73"/>
        <v>5.347222222222222E-3</v>
      </c>
      <c r="AA296" s="57"/>
      <c r="AB296" s="57"/>
      <c r="AC296" s="59">
        <f t="shared" si="69"/>
        <v>5.347222222222222E-3</v>
      </c>
      <c r="AD296" s="57"/>
      <c r="AE296" s="57"/>
      <c r="AF296" s="59"/>
    </row>
    <row r="297" spans="1:32">
      <c r="A297" s="24" t="s">
        <v>326</v>
      </c>
      <c r="B297" s="26" t="s">
        <v>31</v>
      </c>
      <c r="C297" s="26" t="s">
        <v>450</v>
      </c>
      <c r="D297" s="50" t="s">
        <v>221</v>
      </c>
      <c r="E297" s="51"/>
      <c r="F297" s="50" t="s">
        <v>221</v>
      </c>
      <c r="G297" s="52"/>
      <c r="H297" s="50" t="s">
        <v>221</v>
      </c>
      <c r="I297" s="53"/>
      <c r="J297" s="50" t="s">
        <v>221</v>
      </c>
      <c r="K297" s="53"/>
      <c r="L297" s="50" t="s">
        <v>221</v>
      </c>
      <c r="M297" s="57"/>
      <c r="N297" s="55">
        <v>6.1342592592592594E-3</v>
      </c>
      <c r="O297" s="57"/>
      <c r="P297" s="57"/>
      <c r="Q297" s="59">
        <f>IF(MIN(IF(ISBLANK(O297),N297,O297),IF(ISBLANK(N297),O297,N297))=0,"",MIN(IF(ISBLANK(O297),N297,O297),IF(ISBLANK(N297),O297,N297)))</f>
        <v>6.1342592592592594E-3</v>
      </c>
      <c r="R297" s="57"/>
      <c r="S297" s="57"/>
      <c r="T297" s="59">
        <f>IF(MIN(IF(ISBLANK(R297),Q297,R297),IF(ISBLANK(Q297),R297,Q297))=0,"",MIN(IF(ISBLANK(R297),Q297,R297),IF(ISBLANK(Q297),R297,Q297)))</f>
        <v>6.1342592592592594E-3</v>
      </c>
      <c r="U297" s="57"/>
      <c r="V297" s="57"/>
      <c r="W297" s="59">
        <f>IF(MIN(IF(ISBLANK(U297),T297,U297),IF(ISBLANK(T297),U297,T297))=0,"",MIN(IF(ISBLANK(U297),T297,U297),IF(ISBLANK(T297),U297,T297)))</f>
        <v>6.1342592592592594E-3</v>
      </c>
      <c r="X297" s="57"/>
      <c r="Y297" s="57"/>
      <c r="Z297" s="59">
        <f t="shared" si="73"/>
        <v>6.1342592592592594E-3</v>
      </c>
      <c r="AA297" s="57"/>
      <c r="AB297" s="57"/>
      <c r="AC297" s="59">
        <f t="shared" si="69"/>
        <v>6.1342592592592594E-3</v>
      </c>
      <c r="AD297" s="57"/>
      <c r="AE297" s="57"/>
      <c r="AF297" s="59"/>
    </row>
    <row r="298" spans="1:32">
      <c r="A298" s="24" t="s">
        <v>326</v>
      </c>
      <c r="B298" s="26" t="s">
        <v>44</v>
      </c>
      <c r="C298" s="26" t="s">
        <v>450</v>
      </c>
      <c r="D298" s="50">
        <v>8.1199999999999992</v>
      </c>
      <c r="E298" s="51"/>
      <c r="F298" s="50">
        <v>8.1199999999999992</v>
      </c>
      <c r="G298" s="52"/>
      <c r="H298" s="50">
        <v>8.1199999999999992</v>
      </c>
      <c r="I298" s="53">
        <v>8.26</v>
      </c>
      <c r="J298" s="50">
        <v>8.1199999999999992</v>
      </c>
      <c r="K298" s="53">
        <v>8</v>
      </c>
      <c r="L298" s="50" t="s">
        <v>287</v>
      </c>
      <c r="M298" s="57"/>
      <c r="N298" s="55">
        <v>5.5555555555555558E-3</v>
      </c>
      <c r="O298" s="57">
        <v>5.7407407407407416E-3</v>
      </c>
      <c r="P298" s="57"/>
      <c r="Q298" s="59">
        <f>IF(MIN(IF(ISBLANK(O298),N298,O298),IF(ISBLANK(N298),O298,N298))=0,"",MIN(IF(ISBLANK(O298),N298,O298),IF(ISBLANK(N298),O298,N298)))</f>
        <v>5.5555555555555558E-3</v>
      </c>
      <c r="R298" s="57">
        <v>5.7060185185185191E-3</v>
      </c>
      <c r="S298" s="57"/>
      <c r="T298" s="59">
        <f>IF(MIN(IF(ISBLANK(R298),Q298,R298),IF(ISBLANK(Q298),R298,Q298))=0,"",MIN(IF(ISBLANK(R298),Q298,R298),IF(ISBLANK(Q298),R298,Q298)))</f>
        <v>5.5555555555555558E-3</v>
      </c>
      <c r="U298" s="57">
        <v>5.5902777777777782E-3</v>
      </c>
      <c r="V298" s="57"/>
      <c r="W298" s="59">
        <f>IF(MIN(IF(ISBLANK(U298),T298,U298),IF(ISBLANK(T298),U298,T298))=0,"",MIN(IF(ISBLANK(U298),T298,U298),IF(ISBLANK(T298),U298,T298)))</f>
        <v>5.5555555555555558E-3</v>
      </c>
      <c r="X298" s="57"/>
      <c r="Y298" s="57"/>
      <c r="Z298" s="59">
        <f t="shared" si="73"/>
        <v>5.5555555555555558E-3</v>
      </c>
      <c r="AA298" s="57">
        <v>5.4282407407407404E-3</v>
      </c>
      <c r="AB298" s="57"/>
      <c r="AC298" s="59">
        <f t="shared" si="69"/>
        <v>5.4282407407407404E-3</v>
      </c>
      <c r="AD298" s="57">
        <v>5.4166666666666669E-3</v>
      </c>
      <c r="AE298" s="57"/>
      <c r="AF298" s="59"/>
    </row>
    <row r="299" spans="1:32">
      <c r="A299" s="24"/>
      <c r="B299" s="26" t="s">
        <v>51</v>
      </c>
      <c r="C299" s="26"/>
      <c r="D299" s="50"/>
      <c r="E299" s="51"/>
      <c r="F299" s="50" t="s">
        <v>455</v>
      </c>
      <c r="G299" s="52"/>
      <c r="H299" s="50"/>
      <c r="I299" s="53"/>
      <c r="J299" s="50" t="s">
        <v>455</v>
      </c>
      <c r="K299" s="53"/>
      <c r="L299" s="50"/>
      <c r="M299" s="57"/>
      <c r="N299" s="55"/>
      <c r="O299" s="57"/>
      <c r="P299" s="57"/>
      <c r="Q299" s="59" t="str">
        <f>IF(MIN(IF(ISBLANK(O299),N299,O299),IF(ISBLANK(N299),O299,N299))=0,"",MIN(IF(ISBLANK(O299),N299,O299),IF(ISBLANK(N299),O299,N299)))</f>
        <v/>
      </c>
      <c r="R299" s="57"/>
      <c r="S299" s="57"/>
      <c r="T299" s="59" t="str">
        <f>IF(MIN(IF(ISBLANK(R299),Q299,R299),IF(ISBLANK(Q299),R299,Q299))=0,"",MIN(IF(ISBLANK(R299),Q299,R299),IF(ISBLANK(Q299),R299,Q299)))</f>
        <v/>
      </c>
      <c r="U299" s="57"/>
      <c r="V299" s="57"/>
      <c r="W299" s="59" t="str">
        <f>IF(MIN(IF(ISBLANK(U299),T299,U299),IF(ISBLANK(T299),U299,T299))=0,"",MIN(IF(ISBLANK(U299),T299,U299),IF(ISBLANK(T299),U299,T299)))</f>
        <v/>
      </c>
      <c r="X299" s="57"/>
      <c r="Y299" s="57"/>
      <c r="Z299" s="59" t="str">
        <f t="shared" si="73"/>
        <v/>
      </c>
      <c r="AA299" s="57"/>
      <c r="AB299" s="57"/>
      <c r="AC299" s="59" t="str">
        <f t="shared" si="69"/>
        <v/>
      </c>
      <c r="AD299" s="57"/>
      <c r="AE299" s="57"/>
      <c r="AF299" s="59"/>
    </row>
    <row r="300" spans="1:32">
      <c r="A300" s="24"/>
      <c r="B300" s="26" t="s">
        <v>659</v>
      </c>
      <c r="C300" s="26"/>
      <c r="D300" s="50"/>
      <c r="E300" s="51"/>
      <c r="F300" s="50"/>
      <c r="G300" s="52"/>
      <c r="H300" s="50"/>
      <c r="I300" s="53"/>
      <c r="J300" s="50"/>
      <c r="K300" s="53"/>
      <c r="L300" s="50"/>
      <c r="M300" s="57"/>
      <c r="N300" s="55"/>
      <c r="O300" s="57"/>
      <c r="P300" s="57"/>
      <c r="Q300" s="59"/>
      <c r="R300" s="57"/>
      <c r="S300" s="57"/>
      <c r="T300" s="59"/>
      <c r="U300" s="57"/>
      <c r="V300" s="57"/>
      <c r="W300" s="59"/>
      <c r="X300" s="57"/>
      <c r="Y300" s="57"/>
      <c r="Z300" s="59" t="str">
        <f t="shared" si="73"/>
        <v/>
      </c>
      <c r="AA300" s="57"/>
      <c r="AB300" s="57"/>
      <c r="AC300" s="59" t="str">
        <f t="shared" si="69"/>
        <v/>
      </c>
      <c r="AD300" s="57"/>
      <c r="AE300" s="57"/>
      <c r="AF300" s="59"/>
    </row>
    <row r="301" spans="1:32">
      <c r="A301" s="24"/>
      <c r="B301" s="26" t="s">
        <v>56</v>
      </c>
      <c r="C301" s="26" t="s">
        <v>451</v>
      </c>
      <c r="D301" s="50">
        <v>8.4499999999999993</v>
      </c>
      <c r="E301" s="51" t="s">
        <v>302</v>
      </c>
      <c r="F301" s="50">
        <v>8.4499999999999993</v>
      </c>
      <c r="G301" s="52"/>
      <c r="H301" s="50">
        <v>8.4499999999999993</v>
      </c>
      <c r="I301" s="53"/>
      <c r="J301" s="50">
        <v>8.4499999999999993</v>
      </c>
      <c r="K301" s="53"/>
      <c r="L301" s="50">
        <v>8.4499999999999993</v>
      </c>
      <c r="M301" s="57"/>
      <c r="N301" s="55">
        <v>6.076388888888889E-3</v>
      </c>
      <c r="O301" s="57"/>
      <c r="P301" s="57"/>
      <c r="Q301" s="59">
        <f>IF(MIN(IF(ISBLANK(O301),N301,O301),IF(ISBLANK(N301),O301,N301))=0,"",MIN(IF(ISBLANK(O301),N301,O301),IF(ISBLANK(N301),O301,N301)))</f>
        <v>6.076388888888889E-3</v>
      </c>
      <c r="R301" s="57"/>
      <c r="S301" s="57"/>
      <c r="T301" s="59">
        <f>IF(MIN(IF(ISBLANK(R301),Q301,R301),IF(ISBLANK(Q301),R301,Q301))=0,"",MIN(IF(ISBLANK(R301),Q301,R301),IF(ISBLANK(Q301),R301,Q301)))</f>
        <v>6.076388888888889E-3</v>
      </c>
      <c r="U301" s="57"/>
      <c r="V301" s="57"/>
      <c r="W301" s="59">
        <f>IF(MIN(IF(ISBLANK(U301),T301,U301),IF(ISBLANK(T301),U301,T301))=0,"",MIN(IF(ISBLANK(U301),T301,U301),IF(ISBLANK(T301),U301,T301)))</f>
        <v>6.076388888888889E-3</v>
      </c>
      <c r="X301" s="57"/>
      <c r="Y301" s="57"/>
      <c r="Z301" s="59">
        <f t="shared" si="73"/>
        <v>6.076388888888889E-3</v>
      </c>
      <c r="AA301" s="57"/>
      <c r="AB301" s="57"/>
      <c r="AC301" s="59">
        <f t="shared" si="69"/>
        <v>6.076388888888889E-3</v>
      </c>
      <c r="AD301" s="57"/>
      <c r="AE301" s="57"/>
      <c r="AF301" s="59"/>
    </row>
    <row r="302" spans="1:32">
      <c r="A302" s="24"/>
      <c r="B302" s="26" t="s">
        <v>660</v>
      </c>
      <c r="C302" s="26"/>
      <c r="D302" s="50"/>
      <c r="E302" s="51"/>
      <c r="F302" s="50"/>
      <c r="G302" s="52"/>
      <c r="H302" s="50"/>
      <c r="I302" s="53"/>
      <c r="J302" s="50"/>
      <c r="K302" s="53"/>
      <c r="L302" s="50"/>
      <c r="M302" s="57"/>
      <c r="N302" s="55"/>
      <c r="O302" s="57"/>
      <c r="P302" s="57"/>
      <c r="Q302" s="59"/>
      <c r="R302" s="57"/>
      <c r="S302" s="57"/>
      <c r="T302" s="59"/>
      <c r="U302" s="57"/>
      <c r="V302" s="57"/>
      <c r="W302" s="59"/>
      <c r="X302" s="57"/>
      <c r="Y302" s="57"/>
      <c r="Z302" s="59" t="str">
        <f t="shared" si="73"/>
        <v/>
      </c>
      <c r="AA302" s="57"/>
      <c r="AB302" s="57"/>
      <c r="AC302" s="59" t="str">
        <f t="shared" si="69"/>
        <v/>
      </c>
      <c r="AD302" s="57"/>
      <c r="AE302" s="57"/>
      <c r="AF302" s="59"/>
    </row>
    <row r="303" spans="1:32">
      <c r="A303" s="24"/>
      <c r="B303" s="26" t="s">
        <v>661</v>
      </c>
      <c r="C303" s="26"/>
      <c r="D303" s="50"/>
      <c r="E303" s="51"/>
      <c r="F303" s="50"/>
      <c r="G303" s="52"/>
      <c r="H303" s="50"/>
      <c r="I303" s="53"/>
      <c r="J303" s="50"/>
      <c r="K303" s="53"/>
      <c r="L303" s="50"/>
      <c r="M303" s="57"/>
      <c r="N303" s="55"/>
      <c r="O303" s="57"/>
      <c r="P303" s="57"/>
      <c r="Q303" s="59"/>
      <c r="R303" s="57"/>
      <c r="S303" s="57"/>
      <c r="T303" s="59"/>
      <c r="U303" s="57"/>
      <c r="V303" s="57"/>
      <c r="W303" s="59"/>
      <c r="X303" s="57"/>
      <c r="Y303" s="57"/>
      <c r="Z303" s="59" t="str">
        <f t="shared" si="73"/>
        <v/>
      </c>
      <c r="AA303" s="57"/>
      <c r="AB303" s="57"/>
      <c r="AC303" s="59" t="str">
        <f t="shared" si="69"/>
        <v/>
      </c>
      <c r="AD303" s="57"/>
      <c r="AE303" s="57"/>
      <c r="AF303" s="59"/>
    </row>
    <row r="304" spans="1:32">
      <c r="A304" s="24"/>
      <c r="B304" s="26" t="s">
        <v>269</v>
      </c>
      <c r="C304" s="26" t="s">
        <v>451</v>
      </c>
      <c r="D304" s="50">
        <v>9.41</v>
      </c>
      <c r="E304" s="51"/>
      <c r="F304" s="50">
        <v>9.41</v>
      </c>
      <c r="G304" s="52"/>
      <c r="H304" s="50">
        <v>9.41</v>
      </c>
      <c r="I304" s="53"/>
      <c r="J304" s="50">
        <v>9.41</v>
      </c>
      <c r="K304" s="53"/>
      <c r="L304" s="50">
        <v>9.41</v>
      </c>
      <c r="M304" s="57"/>
      <c r="N304" s="55">
        <v>6.7245370370370367E-3</v>
      </c>
      <c r="O304" s="57"/>
      <c r="P304" s="57"/>
      <c r="Q304" s="59">
        <f>IF(MIN(IF(ISBLANK(O304),N304,O304),IF(ISBLANK(N304),O304,N304))=0,"",MIN(IF(ISBLANK(O304),N304,O304),IF(ISBLANK(N304),O304,N304)))</f>
        <v>6.7245370370370367E-3</v>
      </c>
      <c r="R304" s="57"/>
      <c r="S304" s="57"/>
      <c r="T304" s="59">
        <f>IF(MIN(IF(ISBLANK(R304),Q304,R304),IF(ISBLANK(Q304),R304,Q304))=0,"",MIN(IF(ISBLANK(R304),Q304,R304),IF(ISBLANK(Q304),R304,Q304)))</f>
        <v>6.7245370370370367E-3</v>
      </c>
      <c r="U304" s="57"/>
      <c r="V304" s="57"/>
      <c r="W304" s="59">
        <f>IF(MIN(IF(ISBLANK(U304),T304,U304),IF(ISBLANK(T304),U304,T304))=0,"",MIN(IF(ISBLANK(U304),T304,U304),IF(ISBLANK(T304),U304,T304)))</f>
        <v>6.7245370370370367E-3</v>
      </c>
      <c r="X304" s="57"/>
      <c r="Y304" s="57"/>
      <c r="Z304" s="59">
        <f t="shared" si="73"/>
        <v>6.7245370370370367E-3</v>
      </c>
      <c r="AA304" s="57"/>
      <c r="AB304" s="57"/>
      <c r="AC304" s="59">
        <f t="shared" si="69"/>
        <v>6.7245370370370367E-3</v>
      </c>
      <c r="AD304" s="57"/>
      <c r="AE304" s="57"/>
      <c r="AF304" s="59"/>
    </row>
    <row r="305" spans="1:32">
      <c r="A305" s="24" t="s">
        <v>326</v>
      </c>
      <c r="B305" s="26" t="s">
        <v>715</v>
      </c>
      <c r="C305" s="26"/>
      <c r="D305" s="50"/>
      <c r="E305" s="51"/>
      <c r="F305" s="50"/>
      <c r="G305" s="52"/>
      <c r="H305" s="50"/>
      <c r="I305" s="53"/>
      <c r="J305" s="50"/>
      <c r="K305" s="53"/>
      <c r="L305" s="50"/>
      <c r="M305" s="57"/>
      <c r="N305" s="55"/>
      <c r="O305" s="57"/>
      <c r="P305" s="57"/>
      <c r="Q305" s="59"/>
      <c r="R305" s="57"/>
      <c r="S305" s="57"/>
      <c r="T305" s="59"/>
      <c r="U305" s="57"/>
      <c r="V305" s="57"/>
      <c r="W305" s="59"/>
      <c r="X305" s="57"/>
      <c r="Y305" s="57"/>
      <c r="Z305" s="59"/>
      <c r="AA305" s="57"/>
      <c r="AB305" s="57"/>
      <c r="AC305" s="59" t="str">
        <f t="shared" si="69"/>
        <v/>
      </c>
      <c r="AD305" s="57"/>
      <c r="AE305" s="57"/>
      <c r="AF305" s="59"/>
    </row>
    <row r="306" spans="1:32">
      <c r="A306" s="24"/>
      <c r="B306" s="26" t="s">
        <v>66</v>
      </c>
      <c r="C306" s="26" t="s">
        <v>451</v>
      </c>
      <c r="D306" s="50" t="s">
        <v>286</v>
      </c>
      <c r="E306" s="51"/>
      <c r="F306" s="50" t="s">
        <v>286</v>
      </c>
      <c r="G306" s="52"/>
      <c r="H306" s="50" t="s">
        <v>286</v>
      </c>
      <c r="I306" s="53"/>
      <c r="J306" s="50" t="s">
        <v>286</v>
      </c>
      <c r="K306" s="53"/>
      <c r="L306" s="50" t="s">
        <v>286</v>
      </c>
      <c r="M306" s="57"/>
      <c r="N306" s="55">
        <v>7.1759259259259259E-3</v>
      </c>
      <c r="O306" s="57"/>
      <c r="P306" s="57"/>
      <c r="Q306" s="59">
        <f>IF(MIN(IF(ISBLANK(O306),N306,O306),IF(ISBLANK(N306),O306,N306))=0,"",MIN(IF(ISBLANK(O306),N306,O306),IF(ISBLANK(N306),O306,N306)))</f>
        <v>7.1759259259259259E-3</v>
      </c>
      <c r="R306" s="57"/>
      <c r="S306" s="57"/>
      <c r="T306" s="59">
        <f>IF(MIN(IF(ISBLANK(R306),Q306,R306),IF(ISBLANK(Q306),R306,Q306))=0,"",MIN(IF(ISBLANK(R306),Q306,R306),IF(ISBLANK(Q306),R306,Q306)))</f>
        <v>7.1759259259259259E-3</v>
      </c>
      <c r="U306" s="57"/>
      <c r="V306" s="57"/>
      <c r="W306" s="59">
        <f>IF(MIN(IF(ISBLANK(U306),T306,U306),IF(ISBLANK(T306),U306,T306))=0,"",MIN(IF(ISBLANK(U306),T306,U306),IF(ISBLANK(T306),U306,T306)))</f>
        <v>7.1759259259259259E-3</v>
      </c>
      <c r="X306" s="57"/>
      <c r="Y306" s="57"/>
      <c r="Z306" s="59">
        <f t="shared" ref="Z306:Z319" si="74">IF(MIN(IF(ISBLANK(X306),W306,X306),IF(ISBLANK(W306),X306,W306))=0,"",MIN(IF(ISBLANK(X306),W306,X306),IF(ISBLANK(W306),X306,W306)))</f>
        <v>7.1759259259259259E-3</v>
      </c>
      <c r="AA306" s="57"/>
      <c r="AB306" s="57"/>
      <c r="AC306" s="59">
        <f t="shared" si="69"/>
        <v>7.1759259259259259E-3</v>
      </c>
      <c r="AD306" s="57"/>
      <c r="AE306" s="57"/>
      <c r="AF306" s="59"/>
    </row>
    <row r="307" spans="1:32">
      <c r="A307" s="24"/>
      <c r="B307" s="26" t="s">
        <v>406</v>
      </c>
      <c r="C307" s="26" t="s">
        <v>451</v>
      </c>
      <c r="D307" s="50"/>
      <c r="E307" s="51"/>
      <c r="F307" s="50"/>
      <c r="G307" s="52"/>
      <c r="H307" s="50"/>
      <c r="I307" s="53"/>
      <c r="J307" s="50" t="s">
        <v>455</v>
      </c>
      <c r="K307" s="53"/>
      <c r="L307" s="50"/>
      <c r="M307" s="57"/>
      <c r="N307" s="55"/>
      <c r="O307" s="57"/>
      <c r="P307" s="57"/>
      <c r="Q307" s="59" t="str">
        <f>IF(MIN(IF(ISBLANK(O307),N307,O307),IF(ISBLANK(N307),O307,N307))=0,"",MIN(IF(ISBLANK(O307),N307,O307),IF(ISBLANK(N307),O307,N307)))</f>
        <v/>
      </c>
      <c r="R307" s="57"/>
      <c r="S307" s="57"/>
      <c r="T307" s="59" t="str">
        <f>IF(MIN(IF(ISBLANK(R307),Q307,R307),IF(ISBLANK(Q307),R307,Q307))=0,"",MIN(IF(ISBLANK(R307),Q307,R307),IF(ISBLANK(Q307),R307,Q307)))</f>
        <v/>
      </c>
      <c r="U307" s="57"/>
      <c r="V307" s="57"/>
      <c r="W307" s="59" t="str">
        <f>IF(MIN(IF(ISBLANK(U307),T307,U307),IF(ISBLANK(T307),U307,T307))=0,"",MIN(IF(ISBLANK(U307),T307,U307),IF(ISBLANK(T307),U307,T307)))</f>
        <v/>
      </c>
      <c r="X307" s="57"/>
      <c r="Y307" s="57"/>
      <c r="Z307" s="59" t="str">
        <f t="shared" si="74"/>
        <v/>
      </c>
      <c r="AA307" s="57"/>
      <c r="AB307" s="57"/>
      <c r="AC307" s="59" t="str">
        <f t="shared" si="69"/>
        <v/>
      </c>
      <c r="AD307" s="57"/>
      <c r="AE307" s="57"/>
      <c r="AF307" s="59"/>
    </row>
    <row r="308" spans="1:32">
      <c r="A308" s="24"/>
      <c r="B308" s="26" t="s">
        <v>699</v>
      </c>
      <c r="C308" s="26"/>
      <c r="D308" s="50"/>
      <c r="E308" s="51"/>
      <c r="F308" s="50"/>
      <c r="G308" s="52"/>
      <c r="H308" s="50"/>
      <c r="I308" s="53"/>
      <c r="J308" s="50"/>
      <c r="K308" s="53"/>
      <c r="L308" s="50"/>
      <c r="M308" s="57"/>
      <c r="N308" s="55"/>
      <c r="O308" s="57"/>
      <c r="P308" s="57"/>
      <c r="Q308" s="59"/>
      <c r="R308" s="57"/>
      <c r="S308" s="57"/>
      <c r="T308" s="59"/>
      <c r="U308" s="57"/>
      <c r="V308" s="57"/>
      <c r="W308" s="59"/>
      <c r="X308" s="57"/>
      <c r="Y308" s="57"/>
      <c r="Z308" s="59" t="str">
        <f t="shared" si="74"/>
        <v/>
      </c>
      <c r="AA308" s="57"/>
      <c r="AB308" s="57"/>
      <c r="AC308" s="59" t="str">
        <f t="shared" si="69"/>
        <v/>
      </c>
      <c r="AD308" s="57"/>
      <c r="AE308" s="57"/>
      <c r="AF308" s="59"/>
    </row>
    <row r="309" spans="1:32">
      <c r="A309" s="24"/>
      <c r="B309" s="26" t="s">
        <v>407</v>
      </c>
      <c r="C309" s="26" t="s">
        <v>450</v>
      </c>
      <c r="D309" s="50"/>
      <c r="E309" s="51"/>
      <c r="F309" s="50"/>
      <c r="G309" s="52"/>
      <c r="H309" s="50"/>
      <c r="I309" s="53">
        <v>9.49</v>
      </c>
      <c r="J309" s="50">
        <v>9.49</v>
      </c>
      <c r="K309" s="53"/>
      <c r="L309" s="50">
        <v>9.49</v>
      </c>
      <c r="M309" s="57"/>
      <c r="N309" s="55">
        <v>6.8171296296296287E-3</v>
      </c>
      <c r="O309" s="57"/>
      <c r="P309" s="57"/>
      <c r="Q309" s="59">
        <f>IF(MIN(IF(ISBLANK(O309),N309,O309),IF(ISBLANK(N309),O309,N309))=0,"",MIN(IF(ISBLANK(O309),N309,O309),IF(ISBLANK(N309),O309,N309)))</f>
        <v>6.8171296296296287E-3</v>
      </c>
      <c r="R309" s="57"/>
      <c r="S309" s="57"/>
      <c r="T309" s="59">
        <f>IF(MIN(IF(ISBLANK(R309),Q309,R309),IF(ISBLANK(Q309),R309,Q309))=0,"",MIN(IF(ISBLANK(R309),Q309,R309),IF(ISBLANK(Q309),R309,Q309)))</f>
        <v>6.8171296296296287E-3</v>
      </c>
      <c r="U309" s="57"/>
      <c r="V309" s="57"/>
      <c r="W309" s="59">
        <f>IF(MIN(IF(ISBLANK(U309),T309,U309),IF(ISBLANK(T309),U309,T309))=0,"",MIN(IF(ISBLANK(U309),T309,U309),IF(ISBLANK(T309),U309,T309)))</f>
        <v>6.8171296296296287E-3</v>
      </c>
      <c r="X309" s="57"/>
      <c r="Y309" s="57"/>
      <c r="Z309" s="59">
        <f t="shared" si="74"/>
        <v>6.8171296296296287E-3</v>
      </c>
      <c r="AA309" s="57"/>
      <c r="AB309" s="57"/>
      <c r="AC309" s="59">
        <f t="shared" si="69"/>
        <v>6.8171296296296287E-3</v>
      </c>
      <c r="AD309" s="57"/>
      <c r="AE309" s="57"/>
      <c r="AF309" s="59"/>
    </row>
    <row r="310" spans="1:32">
      <c r="A310" s="24"/>
      <c r="B310" s="26" t="s">
        <v>470</v>
      </c>
      <c r="C310" s="26" t="s">
        <v>451</v>
      </c>
      <c r="D310" s="50"/>
      <c r="E310" s="51"/>
      <c r="F310" s="50"/>
      <c r="G310" s="52"/>
      <c r="H310" s="50"/>
      <c r="I310" s="53"/>
      <c r="J310" s="50"/>
      <c r="K310" s="53">
        <v>11.38</v>
      </c>
      <c r="L310" s="50">
        <v>11.38</v>
      </c>
      <c r="M310" s="57"/>
      <c r="N310" s="55">
        <v>8.0787037037037043E-3</v>
      </c>
      <c r="O310" s="57"/>
      <c r="P310" s="57"/>
      <c r="Q310" s="59">
        <f>IF(MIN(IF(ISBLANK(O310),N310,O310),IF(ISBLANK(N310),O310,N310))=0,"",MIN(IF(ISBLANK(O310),N310,O310),IF(ISBLANK(N310),O310,N310)))</f>
        <v>8.0787037037037043E-3</v>
      </c>
      <c r="R310" s="57"/>
      <c r="S310" s="57"/>
      <c r="T310" s="59">
        <f>IF(MIN(IF(ISBLANK(R310),Q310,R310),IF(ISBLANK(Q310),R310,Q310))=0,"",MIN(IF(ISBLANK(R310),Q310,R310),IF(ISBLANK(Q310),R310,Q310)))</f>
        <v>8.0787037037037043E-3</v>
      </c>
      <c r="U310" s="57"/>
      <c r="V310" s="57"/>
      <c r="W310" s="59">
        <f>IF(MIN(IF(ISBLANK(U310),T310,U310),IF(ISBLANK(T310),U310,T310))=0,"",MIN(IF(ISBLANK(U310),T310,U310),IF(ISBLANK(T310),U310,T310)))</f>
        <v>8.0787037037037043E-3</v>
      </c>
      <c r="X310" s="57"/>
      <c r="Y310" s="57"/>
      <c r="Z310" s="59">
        <f t="shared" si="74"/>
        <v>8.0787037037037043E-3</v>
      </c>
      <c r="AA310" s="57"/>
      <c r="AB310" s="57"/>
      <c r="AC310" s="59">
        <f t="shared" si="69"/>
        <v>8.0787037037037043E-3</v>
      </c>
      <c r="AD310" s="57"/>
      <c r="AE310" s="57"/>
      <c r="AF310" s="59"/>
    </row>
    <row r="311" spans="1:32">
      <c r="A311" s="24"/>
      <c r="B311" s="26" t="s">
        <v>239</v>
      </c>
      <c r="C311" s="26" t="s">
        <v>451</v>
      </c>
      <c r="D311" s="50"/>
      <c r="E311" s="51"/>
      <c r="F311" s="50" t="s">
        <v>455</v>
      </c>
      <c r="G311" s="52"/>
      <c r="H311" s="50"/>
      <c r="I311" s="53"/>
      <c r="J311" s="50" t="s">
        <v>455</v>
      </c>
      <c r="K311" s="53"/>
      <c r="L311" s="50"/>
      <c r="M311" s="57"/>
      <c r="N311" s="55"/>
      <c r="O311" s="57"/>
      <c r="P311" s="57"/>
      <c r="Q311" s="59" t="str">
        <f>IF(MIN(IF(ISBLANK(O311),N311,O311),IF(ISBLANK(N311),O311,N311))=0,"",MIN(IF(ISBLANK(O311),N311,O311),IF(ISBLANK(N311),O311,N311)))</f>
        <v/>
      </c>
      <c r="R311" s="57"/>
      <c r="S311" s="57"/>
      <c r="T311" s="59" t="str">
        <f>IF(MIN(IF(ISBLANK(R311),Q311,R311),IF(ISBLANK(Q311),R311,Q311))=0,"",MIN(IF(ISBLANK(R311),Q311,R311),IF(ISBLANK(Q311),R311,Q311)))</f>
        <v/>
      </c>
      <c r="U311" s="57"/>
      <c r="V311" s="57"/>
      <c r="W311" s="59" t="str">
        <f>IF(MIN(IF(ISBLANK(U311),T311,U311),IF(ISBLANK(T311),U311,T311))=0,"",MIN(IF(ISBLANK(U311),T311,U311),IF(ISBLANK(T311),U311,T311)))</f>
        <v/>
      </c>
      <c r="X311" s="57"/>
      <c r="Y311" s="57"/>
      <c r="Z311" s="59" t="str">
        <f t="shared" si="74"/>
        <v/>
      </c>
      <c r="AA311" s="57"/>
      <c r="AB311" s="57"/>
      <c r="AC311" s="59" t="str">
        <f t="shared" si="69"/>
        <v/>
      </c>
      <c r="AD311" s="57"/>
      <c r="AE311" s="57"/>
      <c r="AF311" s="59"/>
    </row>
    <row r="312" spans="1:32">
      <c r="A312" s="24"/>
      <c r="B312" s="26" t="s">
        <v>702</v>
      </c>
      <c r="C312" s="26"/>
      <c r="D312" s="50"/>
      <c r="E312" s="51"/>
      <c r="F312" s="50"/>
      <c r="G312" s="52"/>
      <c r="H312" s="50"/>
      <c r="I312" s="53"/>
      <c r="J312" s="50"/>
      <c r="K312" s="54"/>
      <c r="L312" s="50"/>
      <c r="M312" s="56"/>
      <c r="N312" s="55"/>
      <c r="O312" s="56"/>
      <c r="P312" s="56"/>
      <c r="Q312" s="59"/>
      <c r="R312" s="56"/>
      <c r="S312" s="56"/>
      <c r="T312" s="59"/>
      <c r="U312" s="56"/>
      <c r="V312" s="56"/>
      <c r="W312" s="59"/>
      <c r="X312" s="56"/>
      <c r="Y312" s="56"/>
      <c r="Z312" s="59" t="str">
        <f t="shared" si="74"/>
        <v/>
      </c>
      <c r="AA312" s="56"/>
      <c r="AB312" s="56"/>
      <c r="AC312" s="59" t="str">
        <f t="shared" si="69"/>
        <v/>
      </c>
      <c r="AD312" s="56"/>
      <c r="AE312" s="56"/>
      <c r="AF312" s="59"/>
    </row>
    <row r="313" spans="1:32">
      <c r="A313" s="24"/>
      <c r="B313" s="26" t="s">
        <v>78</v>
      </c>
      <c r="C313" s="26" t="s">
        <v>450</v>
      </c>
      <c r="D313" s="50">
        <v>10.050000000000001</v>
      </c>
      <c r="E313" s="51"/>
      <c r="F313" s="50">
        <v>10.050000000000001</v>
      </c>
      <c r="G313" s="52"/>
      <c r="H313" s="50">
        <v>10.050000000000001</v>
      </c>
      <c r="I313" s="53"/>
      <c r="J313" s="50">
        <v>10.050000000000001</v>
      </c>
      <c r="K313" s="53"/>
      <c r="L313" s="50">
        <v>10.050000000000001</v>
      </c>
      <c r="M313" s="57"/>
      <c r="N313" s="55">
        <v>7.0023148148148154E-3</v>
      </c>
      <c r="O313" s="57"/>
      <c r="P313" s="57"/>
      <c r="Q313" s="59">
        <f>IF(MIN(IF(ISBLANK(O313),N313,O313),IF(ISBLANK(N313),O313,N313))=0,"",MIN(IF(ISBLANK(O313),N313,O313),IF(ISBLANK(N313),O313,N313)))</f>
        <v>7.0023148148148154E-3</v>
      </c>
      <c r="R313" s="57"/>
      <c r="S313" s="57"/>
      <c r="T313" s="59">
        <f>IF(MIN(IF(ISBLANK(R313),Q313,R313),IF(ISBLANK(Q313),R313,Q313))=0,"",MIN(IF(ISBLANK(R313),Q313,R313),IF(ISBLANK(Q313),R313,Q313)))</f>
        <v>7.0023148148148154E-3</v>
      </c>
      <c r="U313" s="57"/>
      <c r="V313" s="57"/>
      <c r="W313" s="59">
        <f>IF(MIN(IF(ISBLANK(U313),T313,U313),IF(ISBLANK(T313),U313,T313))=0,"",MIN(IF(ISBLANK(U313),T313,U313),IF(ISBLANK(T313),U313,T313)))</f>
        <v>7.0023148148148154E-3</v>
      </c>
      <c r="X313" s="57"/>
      <c r="Y313" s="57"/>
      <c r="Z313" s="59">
        <f t="shared" si="74"/>
        <v>7.0023148148148154E-3</v>
      </c>
      <c r="AA313" s="57"/>
      <c r="AB313" s="57"/>
      <c r="AC313" s="59">
        <f t="shared" si="69"/>
        <v>7.0023148148148154E-3</v>
      </c>
      <c r="AD313" s="57"/>
      <c r="AE313" s="57"/>
      <c r="AF313" s="59"/>
    </row>
    <row r="314" spans="1:32">
      <c r="A314" s="24"/>
      <c r="B314" s="26" t="s">
        <v>588</v>
      </c>
      <c r="C314" s="26"/>
      <c r="D314" s="50"/>
      <c r="E314" s="51"/>
      <c r="F314" s="50"/>
      <c r="G314" s="52"/>
      <c r="H314" s="50"/>
      <c r="I314" s="53"/>
      <c r="J314" s="50"/>
      <c r="K314" s="53"/>
      <c r="L314" s="50"/>
      <c r="M314" s="57"/>
      <c r="N314" s="55"/>
      <c r="O314" s="57"/>
      <c r="P314" s="57"/>
      <c r="Q314" s="59"/>
      <c r="R314" s="57"/>
      <c r="S314" s="57"/>
      <c r="T314" s="59" t="str">
        <f>IF(MIN(IF(ISBLANK(R314),Q314,R314),IF(ISBLANK(Q314),R314,Q314))=0,"",MIN(IF(ISBLANK(R314),Q314,R314),IF(ISBLANK(Q314),R314,Q314)))</f>
        <v/>
      </c>
      <c r="U314" s="57"/>
      <c r="V314" s="57"/>
      <c r="W314" s="59" t="str">
        <f>IF(MIN(IF(ISBLANK(U314),T314,U314),IF(ISBLANK(T314),U314,T314))=0,"",MIN(IF(ISBLANK(U314),T314,U314),IF(ISBLANK(T314),U314,T314)))</f>
        <v/>
      </c>
      <c r="X314" s="57"/>
      <c r="Y314" s="57"/>
      <c r="Z314" s="59" t="str">
        <f t="shared" si="74"/>
        <v/>
      </c>
      <c r="AA314" s="57"/>
      <c r="AB314" s="57"/>
      <c r="AC314" s="59" t="str">
        <f t="shared" si="69"/>
        <v/>
      </c>
      <c r="AD314" s="57"/>
      <c r="AE314" s="57"/>
      <c r="AF314" s="59"/>
    </row>
    <row r="315" spans="1:32">
      <c r="A315" s="24" t="s">
        <v>326</v>
      </c>
      <c r="B315" s="26" t="s">
        <v>662</v>
      </c>
      <c r="C315" s="26"/>
      <c r="D315" s="50"/>
      <c r="E315" s="51"/>
      <c r="F315" s="50"/>
      <c r="G315" s="52"/>
      <c r="H315" s="50"/>
      <c r="I315" s="53"/>
      <c r="J315" s="50"/>
      <c r="K315" s="53"/>
      <c r="L315" s="50"/>
      <c r="M315" s="57"/>
      <c r="N315" s="55"/>
      <c r="O315" s="57"/>
      <c r="P315" s="57"/>
      <c r="Q315" s="59"/>
      <c r="R315" s="57"/>
      <c r="S315" s="57"/>
      <c r="T315" s="59"/>
      <c r="U315" s="57"/>
      <c r="V315" s="57"/>
      <c r="W315" s="59"/>
      <c r="X315" s="57">
        <v>5.9027777777777776E-3</v>
      </c>
      <c r="Y315" s="57"/>
      <c r="Z315" s="59">
        <f t="shared" si="74"/>
        <v>5.9027777777777776E-3</v>
      </c>
      <c r="AA315" s="57"/>
      <c r="AB315" s="57"/>
      <c r="AC315" s="59">
        <f t="shared" si="69"/>
        <v>5.9027777777777776E-3</v>
      </c>
      <c r="AD315" s="57"/>
      <c r="AE315" s="57"/>
      <c r="AF315" s="59"/>
    </row>
    <row r="316" spans="1:32">
      <c r="A316" s="24" t="s">
        <v>326</v>
      </c>
      <c r="B316" s="26" t="s">
        <v>234</v>
      </c>
      <c r="C316" s="26" t="s">
        <v>451</v>
      </c>
      <c r="D316" s="50"/>
      <c r="E316" s="51"/>
      <c r="F316" s="50" t="s">
        <v>455</v>
      </c>
      <c r="G316" s="52"/>
      <c r="H316" s="50"/>
      <c r="I316" s="53"/>
      <c r="J316" s="50" t="s">
        <v>455</v>
      </c>
      <c r="K316" s="53"/>
      <c r="L316" s="50"/>
      <c r="M316" s="57"/>
      <c r="N316" s="55"/>
      <c r="O316" s="57"/>
      <c r="P316" s="57"/>
      <c r="Q316" s="59" t="str">
        <f>IF(MIN(IF(ISBLANK(O316),N316,O316),IF(ISBLANK(N316),O316,N316))=0,"",MIN(IF(ISBLANK(O316),N316,O316),IF(ISBLANK(N316),O316,N316)))</f>
        <v/>
      </c>
      <c r="R316" s="57"/>
      <c r="S316" s="57"/>
      <c r="T316" s="59" t="str">
        <f>IF(MIN(IF(ISBLANK(R316),Q316,R316),IF(ISBLANK(Q316),R316,Q316))=0,"",MIN(IF(ISBLANK(R316),Q316,R316),IF(ISBLANK(Q316),R316,Q316)))</f>
        <v/>
      </c>
      <c r="U316" s="57"/>
      <c r="V316" s="57"/>
      <c r="W316" s="59" t="str">
        <f>IF(MIN(IF(ISBLANK(U316),T316,U316),IF(ISBLANK(T316),U316,T316))=0,"",MIN(IF(ISBLANK(U316),T316,U316),IF(ISBLANK(T316),U316,T316)))</f>
        <v/>
      </c>
      <c r="X316" s="57"/>
      <c r="Y316" s="57"/>
      <c r="Z316" s="59" t="str">
        <f t="shared" si="74"/>
        <v/>
      </c>
      <c r="AA316" s="57"/>
      <c r="AB316" s="57"/>
      <c r="AC316" s="59" t="str">
        <f t="shared" si="69"/>
        <v/>
      </c>
      <c r="AD316" s="57"/>
      <c r="AE316" s="57"/>
      <c r="AF316" s="59"/>
    </row>
    <row r="317" spans="1:32">
      <c r="A317" s="24"/>
      <c r="B317" s="26" t="s">
        <v>510</v>
      </c>
      <c r="C317" s="26" t="s">
        <v>451</v>
      </c>
      <c r="D317" s="50"/>
      <c r="E317" s="51"/>
      <c r="F317" s="50"/>
      <c r="G317" s="52"/>
      <c r="H317" s="50"/>
      <c r="I317" s="53"/>
      <c r="J317" s="50"/>
      <c r="K317" s="53"/>
      <c r="L317" s="50"/>
      <c r="M317" s="57"/>
      <c r="N317" s="55"/>
      <c r="O317" s="57">
        <v>6.9444444444444441E-3</v>
      </c>
      <c r="P317" s="57"/>
      <c r="Q317" s="59">
        <f>IF(MIN(IF(ISBLANK(O317),N317,O317),IF(ISBLANK(N317),O317,N317))=0,"",MIN(IF(ISBLANK(O317),N317,O317),IF(ISBLANK(N317),O317,N317)))</f>
        <v>6.9444444444444441E-3</v>
      </c>
      <c r="R317" s="57"/>
      <c r="S317" s="57"/>
      <c r="T317" s="59">
        <f>IF(MIN(IF(ISBLANK(R317),Q317,R317),IF(ISBLANK(Q317),R317,Q317))=0,"",MIN(IF(ISBLANK(R317),Q317,R317),IF(ISBLANK(Q317),R317,Q317)))</f>
        <v>6.9444444444444441E-3</v>
      </c>
      <c r="U317" s="57"/>
      <c r="V317" s="57"/>
      <c r="W317" s="59">
        <f>IF(MIN(IF(ISBLANK(U317),T317,U317),IF(ISBLANK(T317),U317,T317))=0,"",MIN(IF(ISBLANK(U317),T317,U317),IF(ISBLANK(T317),U317,T317)))</f>
        <v>6.9444444444444441E-3</v>
      </c>
      <c r="X317" s="57"/>
      <c r="Y317" s="57"/>
      <c r="Z317" s="59">
        <f t="shared" si="74"/>
        <v>6.9444444444444441E-3</v>
      </c>
      <c r="AA317" s="57"/>
      <c r="AB317" s="57"/>
      <c r="AC317" s="59">
        <f t="shared" si="69"/>
        <v>6.9444444444444441E-3</v>
      </c>
      <c r="AD317" s="57"/>
      <c r="AE317" s="57"/>
      <c r="AF317" s="59"/>
    </row>
    <row r="318" spans="1:32">
      <c r="A318" s="24"/>
      <c r="B318" s="26" t="s">
        <v>587</v>
      </c>
      <c r="C318" s="26"/>
      <c r="D318" s="50"/>
      <c r="E318" s="51"/>
      <c r="F318" s="50"/>
      <c r="G318" s="52"/>
      <c r="H318" s="50"/>
      <c r="I318" s="53"/>
      <c r="J318" s="50"/>
      <c r="K318" s="53"/>
      <c r="L318" s="50"/>
      <c r="M318" s="57"/>
      <c r="N318" s="55"/>
      <c r="O318" s="57"/>
      <c r="P318" s="57"/>
      <c r="Q318" s="59"/>
      <c r="R318" s="57">
        <v>5.3819444444444453E-3</v>
      </c>
      <c r="S318" s="57"/>
      <c r="T318" s="59">
        <f>IF(MIN(IF(ISBLANK(R318),Q318,R318),IF(ISBLANK(Q318),R318,Q318))=0,"",MIN(IF(ISBLANK(R318),Q318,R318),IF(ISBLANK(Q318),R318,Q318)))</f>
        <v>5.3819444444444453E-3</v>
      </c>
      <c r="U318" s="57">
        <v>5.347222222222222E-3</v>
      </c>
      <c r="V318" s="57"/>
      <c r="W318" s="59">
        <f>IF(MIN(IF(ISBLANK(U318),T318,U318),IF(ISBLANK(T318),U318,T318))=0,"",MIN(IF(ISBLANK(U318),T318,U318),IF(ISBLANK(T318),U318,T318)))</f>
        <v>5.347222222222222E-3</v>
      </c>
      <c r="X318" s="57"/>
      <c r="Y318" s="57"/>
      <c r="Z318" s="59">
        <f t="shared" si="74"/>
        <v>5.347222222222222E-3</v>
      </c>
      <c r="AA318" s="57"/>
      <c r="AB318" s="57"/>
      <c r="AC318" s="59">
        <f t="shared" si="69"/>
        <v>5.347222222222222E-3</v>
      </c>
      <c r="AD318" s="57"/>
      <c r="AE318" s="57"/>
      <c r="AF318" s="59"/>
    </row>
    <row r="319" spans="1:32">
      <c r="A319" s="24"/>
      <c r="B319" s="26" t="s">
        <v>580</v>
      </c>
      <c r="C319" s="26"/>
      <c r="D319" s="50"/>
      <c r="E319" s="51"/>
      <c r="F319" s="50"/>
      <c r="G319" s="52"/>
      <c r="H319" s="50"/>
      <c r="I319" s="53"/>
      <c r="J319" s="50"/>
      <c r="K319" s="53"/>
      <c r="L319" s="50"/>
      <c r="M319" s="57"/>
      <c r="N319" s="55"/>
      <c r="O319" s="57"/>
      <c r="P319" s="57"/>
      <c r="Q319" s="59"/>
      <c r="R319" s="57">
        <v>6.8402777777777776E-3</v>
      </c>
      <c r="S319" s="57"/>
      <c r="T319" s="59">
        <f>IF(MIN(IF(ISBLANK(R319),Q319,R319),IF(ISBLANK(Q319),R319,Q319))=0,"",MIN(IF(ISBLANK(R319),Q319,R319),IF(ISBLANK(Q319),R319,Q319)))</f>
        <v>6.8402777777777776E-3</v>
      </c>
      <c r="U319" s="57"/>
      <c r="V319" s="57"/>
      <c r="W319" s="59">
        <f>IF(MIN(IF(ISBLANK(U319),T319,U319),IF(ISBLANK(T319),U319,T319))=0,"",MIN(IF(ISBLANK(U319),T319,U319),IF(ISBLANK(T319),U319,T319)))</f>
        <v>6.8402777777777776E-3</v>
      </c>
      <c r="X319" s="57"/>
      <c r="Y319" s="57"/>
      <c r="Z319" s="59">
        <f t="shared" si="74"/>
        <v>6.8402777777777776E-3</v>
      </c>
      <c r="AA319" s="57"/>
      <c r="AB319" s="57"/>
      <c r="AC319" s="59">
        <f t="shared" si="69"/>
        <v>6.8402777777777776E-3</v>
      </c>
      <c r="AD319" s="57"/>
      <c r="AE319" s="57"/>
      <c r="AF319" s="59"/>
    </row>
    <row r="320" spans="1:32">
      <c r="A320" s="24"/>
      <c r="B320" s="26" t="s">
        <v>716</v>
      </c>
      <c r="C320" s="26"/>
      <c r="D320" s="50"/>
      <c r="E320" s="51"/>
      <c r="F320" s="50"/>
      <c r="G320" s="52"/>
      <c r="H320" s="50"/>
      <c r="I320" s="53"/>
      <c r="J320" s="50"/>
      <c r="K320" s="53"/>
      <c r="L320" s="50"/>
      <c r="M320" s="57"/>
      <c r="N320" s="55"/>
      <c r="O320" s="57"/>
      <c r="P320" s="57"/>
      <c r="Q320" s="59"/>
      <c r="R320" s="57"/>
      <c r="S320" s="57"/>
      <c r="T320" s="59"/>
      <c r="U320" s="57"/>
      <c r="V320" s="57"/>
      <c r="W320" s="59"/>
      <c r="X320" s="57"/>
      <c r="Y320" s="57"/>
      <c r="Z320" s="59"/>
      <c r="AA320" s="57"/>
      <c r="AB320" s="57"/>
      <c r="AC320" s="59" t="str">
        <f t="shared" si="69"/>
        <v/>
      </c>
      <c r="AD320" s="57"/>
      <c r="AE320" s="57"/>
      <c r="AF320" s="59"/>
    </row>
    <row r="321" spans="1:32">
      <c r="A321" s="24"/>
      <c r="B321" s="26" t="s">
        <v>612</v>
      </c>
      <c r="C321" s="26"/>
      <c r="D321" s="50"/>
      <c r="E321" s="51"/>
      <c r="F321" s="50"/>
      <c r="G321" s="52"/>
      <c r="H321" s="50"/>
      <c r="I321" s="53"/>
      <c r="J321" s="50"/>
      <c r="K321" s="53"/>
      <c r="L321" s="50"/>
      <c r="M321" s="57"/>
      <c r="N321" s="55"/>
      <c r="O321" s="57"/>
      <c r="P321" s="57"/>
      <c r="Q321" s="59"/>
      <c r="R321" s="57"/>
      <c r="S321" s="57"/>
      <c r="T321" s="59" t="str">
        <f>IF(MIN(IF(ISBLANK(R321),Q321,R321),IF(ISBLANK(Q321),R321,Q321))=0,"",MIN(IF(ISBLANK(R321),Q321,R321),IF(ISBLANK(Q321),R321,Q321)))</f>
        <v/>
      </c>
      <c r="U321" s="57"/>
      <c r="V321" s="57"/>
      <c r="W321" s="59" t="str">
        <f>IF(MIN(IF(ISBLANK(U321),T321,U321),IF(ISBLANK(T321),U321,T321))=0,"",MIN(IF(ISBLANK(U321),T321,U321),IF(ISBLANK(T321),U321,T321)))</f>
        <v/>
      </c>
      <c r="X321" s="57"/>
      <c r="Y321" s="57"/>
      <c r="Z321" s="59" t="str">
        <f t="shared" ref="Z321:Z329" si="75">IF(MIN(IF(ISBLANK(X321),W321,X321),IF(ISBLANK(W321),X321,W321))=0,"",MIN(IF(ISBLANK(X321),W321,X321),IF(ISBLANK(W321),X321,W321)))</f>
        <v/>
      </c>
      <c r="AA321" s="57"/>
      <c r="AB321" s="57"/>
      <c r="AC321" s="59" t="str">
        <f t="shared" si="69"/>
        <v/>
      </c>
      <c r="AD321" s="57"/>
      <c r="AE321" s="57"/>
      <c r="AF321" s="59"/>
    </row>
    <row r="322" spans="1:32">
      <c r="A322" s="24"/>
      <c r="B322" s="26" t="s">
        <v>520</v>
      </c>
      <c r="C322" s="26"/>
      <c r="D322" s="50"/>
      <c r="E322" s="51"/>
      <c r="F322" s="50"/>
      <c r="G322" s="52"/>
      <c r="H322" s="50"/>
      <c r="I322" s="53"/>
      <c r="J322" s="50"/>
      <c r="K322" s="53"/>
      <c r="L322" s="50"/>
      <c r="M322" s="57"/>
      <c r="N322" s="55"/>
      <c r="O322" s="57"/>
      <c r="P322" s="57"/>
      <c r="Q322" s="59" t="str">
        <f>IF(MIN(IF(ISBLANK(O322),N322,O322),IF(ISBLANK(N322),O322,N322))=0,"",MIN(IF(ISBLANK(O322),N322,O322),IF(ISBLANK(N322),O322,N322)))</f>
        <v/>
      </c>
      <c r="R322" s="57"/>
      <c r="S322" s="57"/>
      <c r="T322" s="59" t="str">
        <f>IF(MIN(IF(ISBLANK(R322),Q322,R322),IF(ISBLANK(Q322),R322,Q322))=0,"",MIN(IF(ISBLANK(R322),Q322,R322),IF(ISBLANK(Q322),R322,Q322)))</f>
        <v/>
      </c>
      <c r="U322" s="57"/>
      <c r="V322" s="57"/>
      <c r="W322" s="59" t="str">
        <f>IF(MIN(IF(ISBLANK(U322),T322,U322),IF(ISBLANK(T322),U322,T322))=0,"",MIN(IF(ISBLANK(U322),T322,U322),IF(ISBLANK(T322),U322,T322)))</f>
        <v/>
      </c>
      <c r="X322" s="57"/>
      <c r="Y322" s="57"/>
      <c r="Z322" s="59" t="str">
        <f t="shared" si="75"/>
        <v/>
      </c>
      <c r="AA322" s="57"/>
      <c r="AB322" s="57"/>
      <c r="AC322" s="59" t="str">
        <f t="shared" ref="AC322:AC386" si="76">IF(MIN(IF(ISBLANK(Z322),AA322,Z322),IF(ISBLANK(AA322),Z322,AA322))=0,"",MIN(IF(ISBLANK(Z322),AA322,Z322),IF(ISBLANK(AA322),Z322,AA322)))</f>
        <v/>
      </c>
      <c r="AD322" s="57"/>
      <c r="AE322" s="57"/>
      <c r="AF322" s="59"/>
    </row>
    <row r="323" spans="1:32">
      <c r="A323" s="24"/>
      <c r="B323" s="26" t="s">
        <v>546</v>
      </c>
      <c r="C323" s="26"/>
      <c r="D323" s="50"/>
      <c r="E323" s="51"/>
      <c r="F323" s="50"/>
      <c r="G323" s="52"/>
      <c r="H323" s="50"/>
      <c r="I323" s="53"/>
      <c r="J323" s="50"/>
      <c r="K323" s="53"/>
      <c r="L323" s="50"/>
      <c r="M323" s="57"/>
      <c r="N323" s="55"/>
      <c r="O323" s="57"/>
      <c r="P323" s="57"/>
      <c r="Q323" s="59" t="str">
        <f>IF(MIN(IF(ISBLANK(O323),N323,O323),IF(ISBLANK(N323),O323,N323))=0,"",MIN(IF(ISBLANK(O323),N323,O323),IF(ISBLANK(N323),O323,N323)))</f>
        <v/>
      </c>
      <c r="R323" s="57"/>
      <c r="S323" s="57"/>
      <c r="T323" s="59" t="str">
        <f>IF(MIN(IF(ISBLANK(R323),Q323,R323),IF(ISBLANK(Q323),R323,Q323))=0,"",MIN(IF(ISBLANK(R323),Q323,R323),IF(ISBLANK(Q323),R323,Q323)))</f>
        <v/>
      </c>
      <c r="U323" s="57"/>
      <c r="V323" s="57"/>
      <c r="W323" s="59" t="str">
        <f>IF(MIN(IF(ISBLANK(U323),T323,U323),IF(ISBLANK(T323),U323,T323))=0,"",MIN(IF(ISBLANK(U323),T323,U323),IF(ISBLANK(T323),U323,T323)))</f>
        <v/>
      </c>
      <c r="X323" s="57"/>
      <c r="Y323" s="57"/>
      <c r="Z323" s="59" t="str">
        <f t="shared" si="75"/>
        <v/>
      </c>
      <c r="AA323" s="57"/>
      <c r="AB323" s="57"/>
      <c r="AC323" s="59" t="str">
        <f t="shared" si="76"/>
        <v/>
      </c>
      <c r="AD323" s="57"/>
      <c r="AE323" s="57"/>
      <c r="AF323" s="59"/>
    </row>
    <row r="324" spans="1:32">
      <c r="A324" s="24"/>
      <c r="B324" s="26" t="s">
        <v>547</v>
      </c>
      <c r="C324" s="26"/>
      <c r="D324" s="50"/>
      <c r="E324" s="51"/>
      <c r="F324" s="50"/>
      <c r="G324" s="52"/>
      <c r="H324" s="50"/>
      <c r="I324" s="53"/>
      <c r="J324" s="50"/>
      <c r="K324" s="53"/>
      <c r="L324" s="50"/>
      <c r="M324" s="57"/>
      <c r="N324" s="55"/>
      <c r="O324" s="57"/>
      <c r="P324" s="57"/>
      <c r="Q324" s="59" t="str">
        <f>IF(MIN(IF(ISBLANK(O324),N324,O324),IF(ISBLANK(N324),O324,N324))=0,"",MIN(IF(ISBLANK(O324),N324,O324),IF(ISBLANK(N324),O324,N324)))</f>
        <v/>
      </c>
      <c r="R324" s="57"/>
      <c r="S324" s="57"/>
      <c r="T324" s="59" t="str">
        <f>IF(MIN(IF(ISBLANK(R324),Q324,R324),IF(ISBLANK(Q324),R324,Q324))=0,"",MIN(IF(ISBLANK(R324),Q324,R324),IF(ISBLANK(Q324),R324,Q324)))</f>
        <v/>
      </c>
      <c r="U324" s="57"/>
      <c r="V324" s="57"/>
      <c r="W324" s="59" t="str">
        <f>IF(MIN(IF(ISBLANK(U324),T324,U324),IF(ISBLANK(T324),U324,T324))=0,"",MIN(IF(ISBLANK(U324),T324,U324),IF(ISBLANK(T324),U324,T324)))</f>
        <v/>
      </c>
      <c r="X324" s="57"/>
      <c r="Y324" s="57"/>
      <c r="Z324" s="59" t="str">
        <f t="shared" si="75"/>
        <v/>
      </c>
      <c r="AA324" s="57"/>
      <c r="AB324" s="57"/>
      <c r="AC324" s="59" t="str">
        <f t="shared" si="76"/>
        <v/>
      </c>
      <c r="AD324" s="57"/>
      <c r="AE324" s="57"/>
      <c r="AF324" s="59"/>
    </row>
    <row r="325" spans="1:32">
      <c r="A325" s="24"/>
      <c r="B325" s="26" t="s">
        <v>663</v>
      </c>
      <c r="C325" s="26"/>
      <c r="D325" s="50"/>
      <c r="E325" s="51"/>
      <c r="F325" s="50"/>
      <c r="G325" s="52"/>
      <c r="H325" s="50"/>
      <c r="I325" s="53"/>
      <c r="J325" s="50"/>
      <c r="K325" s="53"/>
      <c r="L325" s="50"/>
      <c r="M325" s="57"/>
      <c r="N325" s="55"/>
      <c r="O325" s="57"/>
      <c r="P325" s="57"/>
      <c r="Q325" s="59"/>
      <c r="R325" s="57"/>
      <c r="S325" s="57"/>
      <c r="T325" s="59"/>
      <c r="U325" s="57"/>
      <c r="V325" s="57"/>
      <c r="W325" s="59"/>
      <c r="X325" s="57"/>
      <c r="Y325" s="57"/>
      <c r="Z325" s="59" t="str">
        <f t="shared" si="75"/>
        <v/>
      </c>
      <c r="AA325" s="57"/>
      <c r="AB325" s="57"/>
      <c r="AC325" s="59" t="str">
        <f t="shared" si="76"/>
        <v/>
      </c>
      <c r="AD325" s="57"/>
      <c r="AE325" s="57"/>
      <c r="AF325" s="59"/>
    </row>
    <row r="326" spans="1:32">
      <c r="A326" s="24" t="s">
        <v>326</v>
      </c>
      <c r="B326" s="26" t="s">
        <v>664</v>
      </c>
      <c r="C326" s="26"/>
      <c r="D326" s="50"/>
      <c r="E326" s="51"/>
      <c r="F326" s="50"/>
      <c r="G326" s="52"/>
      <c r="H326" s="50"/>
      <c r="I326" s="53"/>
      <c r="J326" s="50"/>
      <c r="K326" s="53"/>
      <c r="L326" s="50"/>
      <c r="M326" s="57"/>
      <c r="N326" s="55"/>
      <c r="O326" s="57"/>
      <c r="P326" s="57"/>
      <c r="Q326" s="59"/>
      <c r="R326" s="57"/>
      <c r="S326" s="57"/>
      <c r="T326" s="59"/>
      <c r="U326" s="57"/>
      <c r="V326" s="57"/>
      <c r="W326" s="59"/>
      <c r="X326" s="57"/>
      <c r="Y326" s="57"/>
      <c r="Z326" s="59" t="str">
        <f t="shared" si="75"/>
        <v/>
      </c>
      <c r="AA326" s="57"/>
      <c r="AB326" s="57"/>
      <c r="AC326" s="59" t="str">
        <f t="shared" si="76"/>
        <v/>
      </c>
      <c r="AD326" s="57"/>
      <c r="AE326" s="57"/>
      <c r="AF326" s="59"/>
    </row>
    <row r="327" spans="1:32">
      <c r="A327" s="24"/>
      <c r="B327" s="26" t="s">
        <v>449</v>
      </c>
      <c r="C327" s="26"/>
      <c r="D327" s="50"/>
      <c r="E327" s="51"/>
      <c r="F327" s="50"/>
      <c r="G327" s="52"/>
      <c r="H327" s="50"/>
      <c r="I327" s="53">
        <v>12.4</v>
      </c>
      <c r="J327" s="50" t="s">
        <v>481</v>
      </c>
      <c r="K327" s="53"/>
      <c r="L327" s="50" t="s">
        <v>481</v>
      </c>
      <c r="M327" s="57"/>
      <c r="N327" s="55">
        <v>8.7962962962962968E-3</v>
      </c>
      <c r="O327" s="57"/>
      <c r="P327" s="57"/>
      <c r="Q327" s="59">
        <f>IF(MIN(IF(ISBLANK(O327),N327,O327),IF(ISBLANK(N327),O327,N327))=0,"",MIN(IF(ISBLANK(O327),N327,O327),IF(ISBLANK(N327),O327,N327)))</f>
        <v>8.7962962962962968E-3</v>
      </c>
      <c r="R327" s="57"/>
      <c r="S327" s="57"/>
      <c r="T327" s="59">
        <f>IF(MIN(IF(ISBLANK(R327),Q327,R327),IF(ISBLANK(Q327),R327,Q327))=0,"",MIN(IF(ISBLANK(R327),Q327,R327),IF(ISBLANK(Q327),R327,Q327)))</f>
        <v>8.7962962962962968E-3</v>
      </c>
      <c r="U327" s="57"/>
      <c r="V327" s="57"/>
      <c r="W327" s="59">
        <f>IF(MIN(IF(ISBLANK(U327),T327,U327),IF(ISBLANK(T327),U327,T327))=0,"",MIN(IF(ISBLANK(U327),T327,U327),IF(ISBLANK(T327),U327,T327)))</f>
        <v>8.7962962962962968E-3</v>
      </c>
      <c r="X327" s="57"/>
      <c r="Y327" s="57"/>
      <c r="Z327" s="59">
        <f t="shared" si="75"/>
        <v>8.7962962962962968E-3</v>
      </c>
      <c r="AA327" s="57"/>
      <c r="AB327" s="57"/>
      <c r="AC327" s="59">
        <f t="shared" si="76"/>
        <v>8.7962962962962968E-3</v>
      </c>
      <c r="AD327" s="57"/>
      <c r="AE327" s="57"/>
      <c r="AF327" s="59"/>
    </row>
    <row r="328" spans="1:32">
      <c r="A328" s="24"/>
      <c r="B328" s="26" t="s">
        <v>93</v>
      </c>
      <c r="C328" s="26"/>
      <c r="D328" s="50">
        <v>10.25</v>
      </c>
      <c r="E328" s="51"/>
      <c r="F328" s="50">
        <v>10.25</v>
      </c>
      <c r="G328" s="52"/>
      <c r="H328" s="50">
        <v>10.25</v>
      </c>
      <c r="I328" s="53"/>
      <c r="J328" s="50">
        <v>10.25</v>
      </c>
      <c r="K328" s="53"/>
      <c r="L328" s="50">
        <v>10.25</v>
      </c>
      <c r="M328" s="57"/>
      <c r="N328" s="55">
        <v>7.2337962962962963E-3</v>
      </c>
      <c r="O328" s="57"/>
      <c r="P328" s="57"/>
      <c r="Q328" s="59">
        <f>IF(MIN(IF(ISBLANK(O328),N328,O328),IF(ISBLANK(N328),O328,N328))=0,"",MIN(IF(ISBLANK(O328),N328,O328),IF(ISBLANK(N328),O328,N328)))</f>
        <v>7.2337962962962963E-3</v>
      </c>
      <c r="R328" s="57"/>
      <c r="S328" s="57"/>
      <c r="T328" s="59">
        <f>IF(MIN(IF(ISBLANK(R328),Q328,R328),IF(ISBLANK(Q328),R328,Q328))=0,"",MIN(IF(ISBLANK(R328),Q328,R328),IF(ISBLANK(Q328),R328,Q328)))</f>
        <v>7.2337962962962963E-3</v>
      </c>
      <c r="U328" s="57"/>
      <c r="V328" s="57"/>
      <c r="W328" s="59">
        <f>IF(MIN(IF(ISBLANK(U328),T328,U328),IF(ISBLANK(T328),U328,T328))=0,"",MIN(IF(ISBLANK(U328),T328,U328),IF(ISBLANK(T328),U328,T328)))</f>
        <v>7.2337962962962963E-3</v>
      </c>
      <c r="X328" s="57"/>
      <c r="Y328" s="57"/>
      <c r="Z328" s="59">
        <f t="shared" si="75"/>
        <v>7.2337962962962963E-3</v>
      </c>
      <c r="AA328" s="57"/>
      <c r="AB328" s="57"/>
      <c r="AC328" s="59">
        <f t="shared" si="76"/>
        <v>7.2337962962962963E-3</v>
      </c>
      <c r="AD328" s="57"/>
      <c r="AE328" s="57"/>
      <c r="AF328" s="59"/>
    </row>
    <row r="329" spans="1:32">
      <c r="A329" s="24"/>
      <c r="B329" s="26" t="s">
        <v>511</v>
      </c>
      <c r="C329" s="26" t="s">
        <v>451</v>
      </c>
      <c r="D329" s="50"/>
      <c r="E329" s="51"/>
      <c r="F329" s="50"/>
      <c r="G329" s="52"/>
      <c r="H329" s="50"/>
      <c r="I329" s="53"/>
      <c r="J329" s="50"/>
      <c r="K329" s="53"/>
      <c r="L329" s="50"/>
      <c r="M329" s="57"/>
      <c r="N329" s="55"/>
      <c r="O329" s="57"/>
      <c r="P329" s="57"/>
      <c r="Q329" s="59" t="str">
        <f>IF(MIN(IF(ISBLANK(O329),N329,O329),IF(ISBLANK(N329),O329,N329))=0,"",MIN(IF(ISBLANK(O329),N329,O329),IF(ISBLANK(N329),O329,N329)))</f>
        <v/>
      </c>
      <c r="R329" s="57"/>
      <c r="S329" s="57"/>
      <c r="T329" s="59" t="str">
        <f>IF(MIN(IF(ISBLANK(R329),Q329,R329),IF(ISBLANK(Q329),R329,Q329))=0,"",MIN(IF(ISBLANK(R329),Q329,R329),IF(ISBLANK(Q329),R329,Q329)))</f>
        <v/>
      </c>
      <c r="U329" s="57"/>
      <c r="V329" s="57"/>
      <c r="W329" s="59" t="str">
        <f>IF(MIN(IF(ISBLANK(U329),T329,U329),IF(ISBLANK(T329),U329,T329))=0,"",MIN(IF(ISBLANK(U329),T329,U329),IF(ISBLANK(T329),U329,T329)))</f>
        <v/>
      </c>
      <c r="X329" s="57"/>
      <c r="Y329" s="57"/>
      <c r="Z329" s="59" t="str">
        <f t="shared" si="75"/>
        <v/>
      </c>
      <c r="AA329" s="57"/>
      <c r="AB329" s="57"/>
      <c r="AC329" s="59" t="str">
        <f t="shared" si="76"/>
        <v/>
      </c>
      <c r="AD329" s="57"/>
      <c r="AE329" s="57"/>
      <c r="AF329" s="59"/>
    </row>
    <row r="330" spans="1:32">
      <c r="A330" s="24"/>
      <c r="B330" s="26" t="s">
        <v>710</v>
      </c>
      <c r="C330" s="26"/>
      <c r="D330" s="50"/>
      <c r="E330" s="51"/>
      <c r="F330" s="50"/>
      <c r="G330" s="52"/>
      <c r="H330" s="50"/>
      <c r="I330" s="53"/>
      <c r="J330" s="50"/>
      <c r="K330" s="54"/>
      <c r="L330" s="50"/>
      <c r="M330" s="56"/>
      <c r="N330" s="55"/>
      <c r="O330" s="56"/>
      <c r="P330" s="56"/>
      <c r="Q330" s="59"/>
      <c r="R330" s="56"/>
      <c r="S330" s="56"/>
      <c r="T330" s="59"/>
      <c r="U330" s="56"/>
      <c r="V330" s="56"/>
      <c r="W330" s="59"/>
      <c r="X330" s="56"/>
      <c r="Y330" s="56"/>
      <c r="Z330" s="59"/>
      <c r="AA330" s="56"/>
      <c r="AB330" s="56"/>
      <c r="AC330" s="59" t="str">
        <f t="shared" si="76"/>
        <v/>
      </c>
      <c r="AD330" s="56"/>
      <c r="AE330" s="56"/>
      <c r="AF330" s="59"/>
    </row>
    <row r="331" spans="1:32">
      <c r="A331" s="24" t="s">
        <v>326</v>
      </c>
      <c r="B331" s="26" t="s">
        <v>99</v>
      </c>
      <c r="C331" s="26" t="s">
        <v>451</v>
      </c>
      <c r="D331" s="50">
        <v>7.05</v>
      </c>
      <c r="E331" s="51" t="s">
        <v>303</v>
      </c>
      <c r="F331" s="50">
        <v>7.05</v>
      </c>
      <c r="G331" s="52"/>
      <c r="H331" s="50">
        <v>7.05</v>
      </c>
      <c r="I331" s="53"/>
      <c r="J331" s="50">
        <v>7.05</v>
      </c>
      <c r="K331" s="53">
        <v>7.27</v>
      </c>
      <c r="L331" s="50">
        <v>7.05</v>
      </c>
      <c r="M331" s="57"/>
      <c r="N331" s="55">
        <v>4.9189814814814816E-3</v>
      </c>
      <c r="O331" s="57">
        <v>5.2430555555555555E-3</v>
      </c>
      <c r="P331" s="57"/>
      <c r="Q331" s="59">
        <f t="shared" ref="Q331:Q345" si="77">IF(MIN(IF(ISBLANK(O331),N331,O331),IF(ISBLANK(N331),O331,N331))=0,"",MIN(IF(ISBLANK(O331),N331,O331),IF(ISBLANK(N331),O331,N331)))</f>
        <v>4.9189814814814816E-3</v>
      </c>
      <c r="R331" s="57"/>
      <c r="S331" s="57"/>
      <c r="T331" s="59">
        <f t="shared" ref="T331:T345" si="78">IF(MIN(IF(ISBLANK(R331),Q331,R331),IF(ISBLANK(Q331),R331,Q331))=0,"",MIN(IF(ISBLANK(R331),Q331,R331),IF(ISBLANK(Q331),R331,Q331)))</f>
        <v>4.9189814814814816E-3</v>
      </c>
      <c r="U331" s="57">
        <v>5.0578703703703706E-3</v>
      </c>
      <c r="V331" s="57"/>
      <c r="W331" s="59">
        <f t="shared" ref="W331:W345" si="79">IF(MIN(IF(ISBLANK(U331),T331,U331),IF(ISBLANK(T331),U331,T331))=0,"",MIN(IF(ISBLANK(U331),T331,U331),IF(ISBLANK(T331),U331,T331)))</f>
        <v>4.9189814814814816E-3</v>
      </c>
      <c r="X331" s="57"/>
      <c r="Y331" s="57"/>
      <c r="Z331" s="59">
        <f t="shared" ref="Z331:Z353" si="80">IF(MIN(IF(ISBLANK(X331),W331,X331),IF(ISBLANK(W331),X331,W331))=0,"",MIN(IF(ISBLANK(X331),W331,X331),IF(ISBLANK(W331),X331,W331)))</f>
        <v>4.9189814814814816E-3</v>
      </c>
      <c r="AA331" s="57"/>
      <c r="AB331" s="57"/>
      <c r="AC331" s="59">
        <f t="shared" si="76"/>
        <v>4.9189814814814816E-3</v>
      </c>
      <c r="AD331" s="57"/>
      <c r="AE331" s="57"/>
      <c r="AF331" s="59"/>
    </row>
    <row r="332" spans="1:32">
      <c r="A332" s="24" t="s">
        <v>326</v>
      </c>
      <c r="B332" s="26" t="s">
        <v>106</v>
      </c>
      <c r="C332" s="26" t="s">
        <v>451</v>
      </c>
      <c r="D332" s="50">
        <v>9.0500000000000007</v>
      </c>
      <c r="E332" s="51"/>
      <c r="F332" s="50">
        <v>9.0500000000000007</v>
      </c>
      <c r="G332" s="52"/>
      <c r="H332" s="50">
        <v>9.0500000000000007</v>
      </c>
      <c r="I332" s="53"/>
      <c r="J332" s="50">
        <v>9.0500000000000007</v>
      </c>
      <c r="K332" s="53">
        <v>9.0500000000000007</v>
      </c>
      <c r="L332" s="50">
        <v>9.0500000000000007</v>
      </c>
      <c r="M332" s="57">
        <v>7.6736111111111111E-3</v>
      </c>
      <c r="N332" s="55">
        <v>6.3078703703703708E-3</v>
      </c>
      <c r="O332" s="57"/>
      <c r="P332" s="57"/>
      <c r="Q332" s="59">
        <f t="shared" si="77"/>
        <v>6.3078703703703708E-3</v>
      </c>
      <c r="R332" s="57"/>
      <c r="S332" s="57"/>
      <c r="T332" s="59">
        <f t="shared" si="78"/>
        <v>6.3078703703703708E-3</v>
      </c>
      <c r="U332" s="57"/>
      <c r="V332" s="57"/>
      <c r="W332" s="59">
        <f t="shared" si="79"/>
        <v>6.3078703703703708E-3</v>
      </c>
      <c r="X332" s="57"/>
      <c r="Y332" s="57"/>
      <c r="Z332" s="59">
        <f t="shared" si="80"/>
        <v>6.3078703703703708E-3</v>
      </c>
      <c r="AA332" s="57">
        <v>6.2615740740740748E-3</v>
      </c>
      <c r="AB332" s="57"/>
      <c r="AC332" s="59">
        <f t="shared" si="76"/>
        <v>6.2615740740740748E-3</v>
      </c>
      <c r="AD332" s="57">
        <v>7.3842592592592597E-3</v>
      </c>
      <c r="AE332" s="57"/>
      <c r="AF332" s="59"/>
    </row>
    <row r="333" spans="1:32">
      <c r="A333" s="24"/>
      <c r="B333" s="26" t="s">
        <v>409</v>
      </c>
      <c r="C333" s="26" t="s">
        <v>451</v>
      </c>
      <c r="D333" s="50"/>
      <c r="E333" s="51"/>
      <c r="F333" s="50"/>
      <c r="G333" s="52"/>
      <c r="H333" s="50"/>
      <c r="I333" s="53">
        <v>9.2200000000000006</v>
      </c>
      <c r="J333" s="50">
        <v>9.2200000000000006</v>
      </c>
      <c r="K333" s="53">
        <v>9.2100000000000009</v>
      </c>
      <c r="L333" s="50">
        <v>9.2100000000000009</v>
      </c>
      <c r="M333" s="57"/>
      <c r="N333" s="55">
        <v>6.4930555555555549E-3</v>
      </c>
      <c r="O333" s="57"/>
      <c r="P333" s="57"/>
      <c r="Q333" s="59">
        <f t="shared" si="77"/>
        <v>6.4930555555555549E-3</v>
      </c>
      <c r="R333" s="57"/>
      <c r="S333" s="57"/>
      <c r="T333" s="59">
        <f t="shared" si="78"/>
        <v>6.4930555555555549E-3</v>
      </c>
      <c r="U333" s="57"/>
      <c r="V333" s="57"/>
      <c r="W333" s="59">
        <f t="shared" si="79"/>
        <v>6.4930555555555549E-3</v>
      </c>
      <c r="X333" s="57"/>
      <c r="Y333" s="57"/>
      <c r="Z333" s="59">
        <f t="shared" si="80"/>
        <v>6.4930555555555549E-3</v>
      </c>
      <c r="AA333" s="57"/>
      <c r="AB333" s="57"/>
      <c r="AC333" s="59">
        <f t="shared" si="76"/>
        <v>6.4930555555555549E-3</v>
      </c>
      <c r="AD333" s="57"/>
      <c r="AE333" s="57"/>
      <c r="AF333" s="59"/>
    </row>
    <row r="334" spans="1:32">
      <c r="A334" s="24"/>
      <c r="B334" s="26" t="s">
        <v>408</v>
      </c>
      <c r="C334" s="26" t="s">
        <v>451</v>
      </c>
      <c r="D334" s="50"/>
      <c r="E334" s="51"/>
      <c r="F334" s="50"/>
      <c r="G334" s="52"/>
      <c r="H334" s="50"/>
      <c r="I334" s="53"/>
      <c r="J334" s="50" t="s">
        <v>455</v>
      </c>
      <c r="K334" s="53"/>
      <c r="L334" s="50"/>
      <c r="M334" s="57"/>
      <c r="N334" s="55"/>
      <c r="O334" s="57"/>
      <c r="P334" s="57"/>
      <c r="Q334" s="59" t="str">
        <f t="shared" si="77"/>
        <v/>
      </c>
      <c r="R334" s="57"/>
      <c r="S334" s="57"/>
      <c r="T334" s="59" t="str">
        <f t="shared" si="78"/>
        <v/>
      </c>
      <c r="U334" s="57"/>
      <c r="V334" s="57"/>
      <c r="W334" s="59" t="str">
        <f t="shared" si="79"/>
        <v/>
      </c>
      <c r="X334" s="57"/>
      <c r="Y334" s="57"/>
      <c r="Z334" s="59" t="str">
        <f t="shared" si="80"/>
        <v/>
      </c>
      <c r="AA334" s="57"/>
      <c r="AB334" s="57"/>
      <c r="AC334" s="59" t="str">
        <f t="shared" si="76"/>
        <v/>
      </c>
      <c r="AD334" s="57"/>
      <c r="AE334" s="57"/>
      <c r="AF334" s="59"/>
    </row>
    <row r="335" spans="1:32">
      <c r="A335" s="24"/>
      <c r="B335" s="26" t="s">
        <v>473</v>
      </c>
      <c r="C335" s="26" t="s">
        <v>451</v>
      </c>
      <c r="D335" s="50"/>
      <c r="E335" s="51"/>
      <c r="F335" s="50"/>
      <c r="G335" s="52"/>
      <c r="H335" s="50"/>
      <c r="I335" s="53"/>
      <c r="J335" s="50"/>
      <c r="K335" s="53">
        <v>9.1199999999999992</v>
      </c>
      <c r="L335" s="50">
        <v>9.1199999999999992</v>
      </c>
      <c r="M335" s="57"/>
      <c r="N335" s="55">
        <v>6.3888888888888884E-3</v>
      </c>
      <c r="O335" s="57"/>
      <c r="P335" s="57"/>
      <c r="Q335" s="59">
        <f t="shared" si="77"/>
        <v>6.3888888888888884E-3</v>
      </c>
      <c r="R335" s="57"/>
      <c r="S335" s="57"/>
      <c r="T335" s="59">
        <f t="shared" si="78"/>
        <v>6.3888888888888884E-3</v>
      </c>
      <c r="U335" s="57"/>
      <c r="V335" s="57"/>
      <c r="W335" s="59">
        <f t="shared" si="79"/>
        <v>6.3888888888888884E-3</v>
      </c>
      <c r="X335" s="57"/>
      <c r="Y335" s="57"/>
      <c r="Z335" s="59">
        <f t="shared" si="80"/>
        <v>6.3888888888888884E-3</v>
      </c>
      <c r="AA335" s="57"/>
      <c r="AB335" s="57"/>
      <c r="AC335" s="59">
        <f t="shared" si="76"/>
        <v>6.3888888888888884E-3</v>
      </c>
      <c r="AD335" s="57"/>
      <c r="AE335" s="57"/>
      <c r="AF335" s="59"/>
    </row>
    <row r="336" spans="1:32">
      <c r="A336" s="24" t="s">
        <v>326</v>
      </c>
      <c r="B336" s="26" t="s">
        <v>337</v>
      </c>
      <c r="C336" s="26" t="s">
        <v>450</v>
      </c>
      <c r="D336" s="50"/>
      <c r="E336" s="51"/>
      <c r="F336" s="50" t="s">
        <v>455</v>
      </c>
      <c r="G336" s="52"/>
      <c r="H336" s="50"/>
      <c r="I336" s="53"/>
      <c r="J336" s="50" t="s">
        <v>455</v>
      </c>
      <c r="K336" s="53"/>
      <c r="L336" s="50"/>
      <c r="M336" s="57"/>
      <c r="N336" s="55"/>
      <c r="O336" s="57"/>
      <c r="P336" s="57"/>
      <c r="Q336" s="59" t="str">
        <f t="shared" si="77"/>
        <v/>
      </c>
      <c r="R336" s="57"/>
      <c r="S336" s="57"/>
      <c r="T336" s="59" t="str">
        <f t="shared" si="78"/>
        <v/>
      </c>
      <c r="U336" s="57"/>
      <c r="V336" s="57"/>
      <c r="W336" s="59" t="str">
        <f t="shared" si="79"/>
        <v/>
      </c>
      <c r="X336" s="57"/>
      <c r="Y336" s="57"/>
      <c r="Z336" s="59" t="str">
        <f t="shared" si="80"/>
        <v/>
      </c>
      <c r="AA336" s="57"/>
      <c r="AB336" s="57"/>
      <c r="AC336" s="59" t="str">
        <f t="shared" si="76"/>
        <v/>
      </c>
      <c r="AD336" s="57"/>
      <c r="AE336" s="57"/>
      <c r="AF336" s="59"/>
    </row>
    <row r="337" spans="1:32">
      <c r="A337" s="24" t="s">
        <v>326</v>
      </c>
      <c r="B337" s="26" t="s">
        <v>112</v>
      </c>
      <c r="C337" s="26" t="s">
        <v>450</v>
      </c>
      <c r="D337" s="50">
        <v>8.2799999999999994</v>
      </c>
      <c r="E337" s="51" t="s">
        <v>304</v>
      </c>
      <c r="F337" s="50">
        <v>8.2799999999999994</v>
      </c>
      <c r="G337" s="52"/>
      <c r="H337" s="50">
        <v>8.2799999999999994</v>
      </c>
      <c r="I337" s="53"/>
      <c r="J337" s="50">
        <v>8.2799999999999994</v>
      </c>
      <c r="K337" s="53">
        <v>9.57</v>
      </c>
      <c r="L337" s="50">
        <v>8.2799999999999994</v>
      </c>
      <c r="M337" s="57">
        <v>7.0601851851851841E-3</v>
      </c>
      <c r="N337" s="55">
        <v>5.8796296296296296E-3</v>
      </c>
      <c r="O337" s="57">
        <v>6.6666666666666671E-3</v>
      </c>
      <c r="P337" s="57"/>
      <c r="Q337" s="59">
        <f t="shared" si="77"/>
        <v>5.8796296296296296E-3</v>
      </c>
      <c r="R337" s="57">
        <v>6.6319444444444446E-3</v>
      </c>
      <c r="S337" s="57"/>
      <c r="T337" s="59">
        <f t="shared" si="78"/>
        <v>5.8796296296296296E-3</v>
      </c>
      <c r="U337" s="57">
        <v>6.7476851851851856E-3</v>
      </c>
      <c r="V337" s="57"/>
      <c r="W337" s="59">
        <f t="shared" si="79"/>
        <v>5.8796296296296296E-3</v>
      </c>
      <c r="X337" s="57">
        <v>6.851851851851852E-3</v>
      </c>
      <c r="Y337" s="57"/>
      <c r="Z337" s="59">
        <f t="shared" si="80"/>
        <v>5.8796296296296296E-3</v>
      </c>
      <c r="AA337" s="57">
        <v>6.828703703703704E-3</v>
      </c>
      <c r="AB337" s="57"/>
      <c r="AC337" s="59">
        <f t="shared" si="76"/>
        <v>5.8796296296296296E-3</v>
      </c>
      <c r="AD337" s="57"/>
      <c r="AE337" s="57"/>
      <c r="AF337" s="59"/>
    </row>
    <row r="338" spans="1:32">
      <c r="A338" s="24" t="s">
        <v>326</v>
      </c>
      <c r="B338" s="26" t="s">
        <v>119</v>
      </c>
      <c r="C338" s="26" t="s">
        <v>451</v>
      </c>
      <c r="D338" s="50">
        <v>9.59</v>
      </c>
      <c r="E338" s="51" t="s">
        <v>305</v>
      </c>
      <c r="F338" s="50">
        <v>9.59</v>
      </c>
      <c r="G338" s="52"/>
      <c r="H338" s="50">
        <v>9.59</v>
      </c>
      <c r="I338" s="53"/>
      <c r="J338" s="50">
        <v>9.59</v>
      </c>
      <c r="K338" s="53">
        <v>10.53</v>
      </c>
      <c r="L338" s="50">
        <v>9.59</v>
      </c>
      <c r="M338" s="57"/>
      <c r="N338" s="55">
        <v>6.9328703703703696E-3</v>
      </c>
      <c r="O338" s="57"/>
      <c r="P338" s="57"/>
      <c r="Q338" s="59">
        <f t="shared" si="77"/>
        <v>6.9328703703703696E-3</v>
      </c>
      <c r="R338" s="57"/>
      <c r="S338" s="57"/>
      <c r="T338" s="59">
        <f t="shared" si="78"/>
        <v>6.9328703703703696E-3</v>
      </c>
      <c r="U338" s="57"/>
      <c r="V338" s="57"/>
      <c r="W338" s="59">
        <f t="shared" si="79"/>
        <v>6.9328703703703696E-3</v>
      </c>
      <c r="X338" s="57"/>
      <c r="Y338" s="57"/>
      <c r="Z338" s="59">
        <f t="shared" si="80"/>
        <v>6.9328703703703696E-3</v>
      </c>
      <c r="AA338" s="57"/>
      <c r="AB338" s="57"/>
      <c r="AC338" s="59">
        <f t="shared" si="76"/>
        <v>6.9328703703703696E-3</v>
      </c>
      <c r="AD338" s="57"/>
      <c r="AE338" s="57"/>
      <c r="AF338" s="59"/>
    </row>
    <row r="339" spans="1:32">
      <c r="A339" s="24" t="s">
        <v>326</v>
      </c>
      <c r="B339" s="26" t="s">
        <v>441</v>
      </c>
      <c r="C339" s="26" t="s">
        <v>450</v>
      </c>
      <c r="D339" s="50"/>
      <c r="E339" s="51"/>
      <c r="F339" s="50"/>
      <c r="G339" s="52"/>
      <c r="H339" s="50"/>
      <c r="I339" s="53">
        <v>8.4</v>
      </c>
      <c r="J339" s="50" t="s">
        <v>261</v>
      </c>
      <c r="K339" s="53">
        <v>7.51</v>
      </c>
      <c r="L339" s="50">
        <v>7.51</v>
      </c>
      <c r="M339" s="57"/>
      <c r="N339" s="55">
        <v>5.4513888888888884E-3</v>
      </c>
      <c r="O339" s="57"/>
      <c r="P339" s="57"/>
      <c r="Q339" s="59">
        <f t="shared" si="77"/>
        <v>5.4513888888888884E-3</v>
      </c>
      <c r="R339" s="57"/>
      <c r="S339" s="57"/>
      <c r="T339" s="59">
        <f t="shared" si="78"/>
        <v>5.4513888888888884E-3</v>
      </c>
      <c r="U339" s="57"/>
      <c r="V339" s="57"/>
      <c r="W339" s="59">
        <f t="shared" si="79"/>
        <v>5.4513888888888884E-3</v>
      </c>
      <c r="X339" s="57"/>
      <c r="Y339" s="57"/>
      <c r="Z339" s="59">
        <f t="shared" si="80"/>
        <v>5.4513888888888884E-3</v>
      </c>
      <c r="AA339" s="57"/>
      <c r="AB339" s="57"/>
      <c r="AC339" s="59">
        <f t="shared" si="76"/>
        <v>5.4513888888888884E-3</v>
      </c>
      <c r="AD339" s="57">
        <v>5.5787037037037038E-3</v>
      </c>
      <c r="AE339" s="57"/>
      <c r="AF339" s="59"/>
    </row>
    <row r="340" spans="1:32">
      <c r="A340" s="24"/>
      <c r="B340" s="26" t="s">
        <v>129</v>
      </c>
      <c r="C340" s="26"/>
      <c r="D340" s="50">
        <v>6.09</v>
      </c>
      <c r="E340" s="51"/>
      <c r="F340" s="50">
        <v>6.09</v>
      </c>
      <c r="G340" s="52"/>
      <c r="H340" s="50">
        <v>6.09</v>
      </c>
      <c r="I340" s="53"/>
      <c r="J340" s="50">
        <v>6.09</v>
      </c>
      <c r="K340" s="53"/>
      <c r="L340" s="50">
        <v>6.09</v>
      </c>
      <c r="M340" s="57"/>
      <c r="N340" s="55">
        <v>4.2708333333333339E-3</v>
      </c>
      <c r="O340" s="57"/>
      <c r="P340" s="57"/>
      <c r="Q340" s="59">
        <f t="shared" si="77"/>
        <v>4.2708333333333339E-3</v>
      </c>
      <c r="R340" s="57"/>
      <c r="S340" s="57"/>
      <c r="T340" s="59">
        <f t="shared" si="78"/>
        <v>4.2708333333333339E-3</v>
      </c>
      <c r="U340" s="57"/>
      <c r="V340" s="57"/>
      <c r="W340" s="59">
        <f t="shared" si="79"/>
        <v>4.2708333333333339E-3</v>
      </c>
      <c r="X340" s="57"/>
      <c r="Y340" s="57"/>
      <c r="Z340" s="59">
        <f t="shared" si="80"/>
        <v>4.2708333333333339E-3</v>
      </c>
      <c r="AA340" s="57"/>
      <c r="AB340" s="57"/>
      <c r="AC340" s="59">
        <f t="shared" si="76"/>
        <v>4.2708333333333339E-3</v>
      </c>
      <c r="AD340" s="57"/>
      <c r="AE340" s="57"/>
      <c r="AF340" s="59"/>
    </row>
    <row r="341" spans="1:32">
      <c r="A341" s="24"/>
      <c r="B341" s="26" t="s">
        <v>512</v>
      </c>
      <c r="C341" s="26"/>
      <c r="D341" s="50"/>
      <c r="E341" s="51"/>
      <c r="F341" s="50"/>
      <c r="G341" s="52"/>
      <c r="H341" s="50"/>
      <c r="I341" s="53"/>
      <c r="J341" s="50"/>
      <c r="K341" s="53"/>
      <c r="L341" s="50"/>
      <c r="M341" s="57"/>
      <c r="N341" s="55"/>
      <c r="O341" s="57"/>
      <c r="P341" s="57"/>
      <c r="Q341" s="59" t="str">
        <f t="shared" si="77"/>
        <v/>
      </c>
      <c r="R341" s="57"/>
      <c r="S341" s="57"/>
      <c r="T341" s="59" t="str">
        <f t="shared" si="78"/>
        <v/>
      </c>
      <c r="U341" s="57"/>
      <c r="V341" s="57"/>
      <c r="W341" s="59" t="str">
        <f t="shared" si="79"/>
        <v/>
      </c>
      <c r="X341" s="57"/>
      <c r="Y341" s="57"/>
      <c r="Z341" s="59" t="str">
        <f t="shared" si="80"/>
        <v/>
      </c>
      <c r="AA341" s="57"/>
      <c r="AB341" s="57"/>
      <c r="AC341" s="59" t="str">
        <f t="shared" si="76"/>
        <v/>
      </c>
      <c r="AD341" s="57"/>
      <c r="AE341" s="57"/>
      <c r="AF341" s="59"/>
    </row>
    <row r="342" spans="1:32">
      <c r="A342" s="24"/>
      <c r="B342" s="26" t="s">
        <v>142</v>
      </c>
      <c r="C342" s="26" t="s">
        <v>450</v>
      </c>
      <c r="D342" s="50">
        <v>7.16</v>
      </c>
      <c r="E342" s="51"/>
      <c r="F342" s="50">
        <v>7.16</v>
      </c>
      <c r="G342" s="52"/>
      <c r="H342" s="50">
        <v>7.16</v>
      </c>
      <c r="I342" s="53"/>
      <c r="J342" s="50">
        <v>7.16</v>
      </c>
      <c r="K342" s="53"/>
      <c r="L342" s="50">
        <v>7.16</v>
      </c>
      <c r="M342" s="57"/>
      <c r="N342" s="55">
        <v>5.0462962962962961E-3</v>
      </c>
      <c r="O342" s="57"/>
      <c r="P342" s="57"/>
      <c r="Q342" s="59">
        <f t="shared" si="77"/>
        <v>5.0462962962962961E-3</v>
      </c>
      <c r="R342" s="57"/>
      <c r="S342" s="57"/>
      <c r="T342" s="59">
        <f t="shared" si="78"/>
        <v>5.0462962962962961E-3</v>
      </c>
      <c r="U342" s="57"/>
      <c r="V342" s="57"/>
      <c r="W342" s="59">
        <f t="shared" si="79"/>
        <v>5.0462962962962961E-3</v>
      </c>
      <c r="X342" s="57"/>
      <c r="Y342" s="57"/>
      <c r="Z342" s="59">
        <f t="shared" si="80"/>
        <v>5.0462962962962961E-3</v>
      </c>
      <c r="AA342" s="57"/>
      <c r="AB342" s="57"/>
      <c r="AC342" s="59">
        <f t="shared" si="76"/>
        <v>5.0462962962962961E-3</v>
      </c>
      <c r="AD342" s="57"/>
      <c r="AE342" s="57"/>
      <c r="AF342" s="59"/>
    </row>
    <row r="343" spans="1:32">
      <c r="A343" s="24" t="s">
        <v>326</v>
      </c>
      <c r="B343" s="26" t="s">
        <v>250</v>
      </c>
      <c r="C343" s="26" t="s">
        <v>451</v>
      </c>
      <c r="D343" s="50"/>
      <c r="E343" s="51"/>
      <c r="F343" s="50" t="s">
        <v>455</v>
      </c>
      <c r="G343" s="52"/>
      <c r="H343" s="50"/>
      <c r="I343" s="53"/>
      <c r="J343" s="50" t="s">
        <v>455</v>
      </c>
      <c r="K343" s="53"/>
      <c r="L343" s="50"/>
      <c r="M343" s="57"/>
      <c r="N343" s="55"/>
      <c r="O343" s="57"/>
      <c r="P343" s="57"/>
      <c r="Q343" s="59" t="str">
        <f t="shared" si="77"/>
        <v/>
      </c>
      <c r="R343" s="57"/>
      <c r="S343" s="57"/>
      <c r="T343" s="59" t="str">
        <f t="shared" si="78"/>
        <v/>
      </c>
      <c r="U343" s="57">
        <v>7.037037037037037E-3</v>
      </c>
      <c r="V343" s="57"/>
      <c r="W343" s="59">
        <f t="shared" si="79"/>
        <v>7.037037037037037E-3</v>
      </c>
      <c r="X343" s="57"/>
      <c r="Y343" s="57"/>
      <c r="Z343" s="59">
        <f t="shared" si="80"/>
        <v>7.037037037037037E-3</v>
      </c>
      <c r="AA343" s="57"/>
      <c r="AB343" s="57"/>
      <c r="AC343" s="59">
        <f t="shared" si="76"/>
        <v>7.037037037037037E-3</v>
      </c>
      <c r="AD343" s="57"/>
      <c r="AE343" s="57"/>
      <c r="AF343" s="59"/>
    </row>
    <row r="344" spans="1:32">
      <c r="A344" s="24"/>
      <c r="B344" s="26" t="s">
        <v>442</v>
      </c>
      <c r="C344" s="26" t="s">
        <v>451</v>
      </c>
      <c r="D344" s="50"/>
      <c r="E344" s="51"/>
      <c r="F344" s="50"/>
      <c r="G344" s="52"/>
      <c r="H344" s="50"/>
      <c r="I344" s="53"/>
      <c r="J344" s="50" t="s">
        <v>455</v>
      </c>
      <c r="K344" s="53"/>
      <c r="L344" s="50"/>
      <c r="M344" s="57"/>
      <c r="N344" s="55"/>
      <c r="O344" s="57"/>
      <c r="P344" s="57"/>
      <c r="Q344" s="59" t="str">
        <f t="shared" si="77"/>
        <v/>
      </c>
      <c r="R344" s="57"/>
      <c r="S344" s="57"/>
      <c r="T344" s="59" t="str">
        <f t="shared" si="78"/>
        <v/>
      </c>
      <c r="U344" s="57"/>
      <c r="V344" s="57"/>
      <c r="W344" s="59" t="str">
        <f t="shared" si="79"/>
        <v/>
      </c>
      <c r="X344" s="57"/>
      <c r="Y344" s="57"/>
      <c r="Z344" s="59" t="str">
        <f t="shared" si="80"/>
        <v/>
      </c>
      <c r="AA344" s="57"/>
      <c r="AB344" s="57"/>
      <c r="AC344" s="59" t="str">
        <f t="shared" si="76"/>
        <v/>
      </c>
      <c r="AD344" s="57"/>
      <c r="AE344" s="57"/>
      <c r="AF344" s="59"/>
    </row>
    <row r="345" spans="1:32">
      <c r="A345" s="24"/>
      <c r="B345" s="26" t="s">
        <v>149</v>
      </c>
      <c r="C345" s="26" t="s">
        <v>451</v>
      </c>
      <c r="D345" s="50">
        <v>8.5399999999999991</v>
      </c>
      <c r="E345" s="51"/>
      <c r="F345" s="50">
        <v>8.5399999999999991</v>
      </c>
      <c r="G345" s="52"/>
      <c r="H345" s="50">
        <v>8.5399999999999991</v>
      </c>
      <c r="I345" s="53"/>
      <c r="J345" s="50">
        <v>8.5399999999999991</v>
      </c>
      <c r="K345" s="53"/>
      <c r="L345" s="50">
        <v>8.5399999999999991</v>
      </c>
      <c r="M345" s="57"/>
      <c r="N345" s="55">
        <v>6.1805555555555563E-3</v>
      </c>
      <c r="O345" s="57"/>
      <c r="P345" s="57"/>
      <c r="Q345" s="59">
        <f t="shared" si="77"/>
        <v>6.1805555555555563E-3</v>
      </c>
      <c r="R345" s="57"/>
      <c r="S345" s="57"/>
      <c r="T345" s="59">
        <f t="shared" si="78"/>
        <v>6.1805555555555563E-3</v>
      </c>
      <c r="U345" s="57"/>
      <c r="V345" s="57"/>
      <c r="W345" s="59">
        <f t="shared" si="79"/>
        <v>6.1805555555555563E-3</v>
      </c>
      <c r="X345" s="57"/>
      <c r="Y345" s="57"/>
      <c r="Z345" s="59">
        <f t="shared" si="80"/>
        <v>6.1805555555555563E-3</v>
      </c>
      <c r="AA345" s="57"/>
      <c r="AB345" s="57"/>
      <c r="AC345" s="59">
        <f t="shared" si="76"/>
        <v>6.1805555555555563E-3</v>
      </c>
      <c r="AD345" s="57"/>
      <c r="AE345" s="57"/>
      <c r="AF345" s="59"/>
    </row>
    <row r="346" spans="1:32">
      <c r="A346" s="24"/>
      <c r="B346" s="26" t="s">
        <v>697</v>
      </c>
      <c r="C346" s="26"/>
      <c r="D346" s="50"/>
      <c r="E346" s="51"/>
      <c r="F346" s="50"/>
      <c r="G346" s="52"/>
      <c r="H346" s="50"/>
      <c r="I346" s="53"/>
      <c r="J346" s="50"/>
      <c r="K346" s="53"/>
      <c r="L346" s="50"/>
      <c r="M346" s="57"/>
      <c r="N346" s="55"/>
      <c r="O346" s="57"/>
      <c r="P346" s="57"/>
      <c r="Q346" s="59"/>
      <c r="R346" s="57"/>
      <c r="S346" s="57"/>
      <c r="T346" s="59"/>
      <c r="U346" s="57"/>
      <c r="V346" s="57"/>
      <c r="W346" s="59"/>
      <c r="X346" s="57"/>
      <c r="Y346" s="57"/>
      <c r="Z346" s="59" t="str">
        <f t="shared" si="80"/>
        <v/>
      </c>
      <c r="AA346" s="57"/>
      <c r="AB346" s="57"/>
      <c r="AC346" s="59" t="str">
        <f t="shared" si="76"/>
        <v/>
      </c>
      <c r="AD346" s="57"/>
      <c r="AE346" s="57"/>
      <c r="AF346" s="59"/>
    </row>
    <row r="347" spans="1:32">
      <c r="A347" s="24" t="s">
        <v>326</v>
      </c>
      <c r="B347" s="26" t="s">
        <v>154</v>
      </c>
      <c r="C347" s="26" t="s">
        <v>450</v>
      </c>
      <c r="D347" s="50">
        <v>8.39</v>
      </c>
      <c r="E347" s="51"/>
      <c r="F347" s="50">
        <v>8.39</v>
      </c>
      <c r="G347" s="52" t="s">
        <v>356</v>
      </c>
      <c r="H347" s="50">
        <v>8.39</v>
      </c>
      <c r="I347" s="53"/>
      <c r="J347" s="50">
        <v>8.39</v>
      </c>
      <c r="K347" s="53"/>
      <c r="L347" s="50">
        <v>8.39</v>
      </c>
      <c r="M347" s="57"/>
      <c r="N347" s="55">
        <v>6.0069444444444441E-3</v>
      </c>
      <c r="O347" s="57">
        <v>6.5972222222222222E-3</v>
      </c>
      <c r="P347" s="57"/>
      <c r="Q347" s="59">
        <f>IF(MIN(IF(ISBLANK(O347),N347,O347),IF(ISBLANK(N347),O347,N347))=0,"",MIN(IF(ISBLANK(O347),N347,O347),IF(ISBLANK(N347),O347,N347)))</f>
        <v>6.0069444444444441E-3</v>
      </c>
      <c r="R347" s="57"/>
      <c r="S347" s="57"/>
      <c r="T347" s="59">
        <f>IF(MIN(IF(ISBLANK(R347),Q347,R347),IF(ISBLANK(Q347),R347,Q347))=0,"",MIN(IF(ISBLANK(R347),Q347,R347),IF(ISBLANK(Q347),R347,Q347)))</f>
        <v>6.0069444444444441E-3</v>
      </c>
      <c r="U347" s="57">
        <v>6.9560185185185185E-3</v>
      </c>
      <c r="V347" s="57"/>
      <c r="W347" s="59">
        <f>IF(MIN(IF(ISBLANK(U347),T347,U347),IF(ISBLANK(T347),U347,T347))=0,"",MIN(IF(ISBLANK(U347),T347,U347),IF(ISBLANK(T347),U347,T347)))</f>
        <v>6.0069444444444441E-3</v>
      </c>
      <c r="X347" s="57"/>
      <c r="Y347" s="57"/>
      <c r="Z347" s="59">
        <f t="shared" si="80"/>
        <v>6.0069444444444441E-3</v>
      </c>
      <c r="AA347" s="57"/>
      <c r="AB347" s="57"/>
      <c r="AC347" s="59">
        <f t="shared" si="76"/>
        <v>6.0069444444444441E-3</v>
      </c>
      <c r="AD347" s="57">
        <v>7.4189814814814813E-3</v>
      </c>
      <c r="AE347" s="57"/>
      <c r="AF347" s="59"/>
    </row>
    <row r="348" spans="1:32">
      <c r="A348" s="24"/>
      <c r="B348" s="26" t="s">
        <v>279</v>
      </c>
      <c r="C348" s="26" t="s">
        <v>451</v>
      </c>
      <c r="D348" s="50"/>
      <c r="E348" s="51"/>
      <c r="F348" s="50" t="s">
        <v>455</v>
      </c>
      <c r="G348" s="52"/>
      <c r="H348" s="50"/>
      <c r="I348" s="53"/>
      <c r="J348" s="50" t="s">
        <v>455</v>
      </c>
      <c r="K348" s="53"/>
      <c r="L348" s="50"/>
      <c r="M348" s="57"/>
      <c r="N348" s="55"/>
      <c r="O348" s="57"/>
      <c r="P348" s="57"/>
      <c r="Q348" s="59" t="str">
        <f>IF(MIN(IF(ISBLANK(O348),N348,O348),IF(ISBLANK(N348),O348,N348))=0,"",MIN(IF(ISBLANK(O348),N348,O348),IF(ISBLANK(N348),O348,N348)))</f>
        <v/>
      </c>
      <c r="R348" s="57"/>
      <c r="S348" s="57"/>
      <c r="T348" s="59" t="str">
        <f>IF(MIN(IF(ISBLANK(R348),Q348,R348),IF(ISBLANK(Q348),R348,Q348))=0,"",MIN(IF(ISBLANK(R348),Q348,R348),IF(ISBLANK(Q348),R348,Q348)))</f>
        <v/>
      </c>
      <c r="U348" s="57"/>
      <c r="V348" s="57"/>
      <c r="W348" s="59" t="str">
        <f>IF(MIN(IF(ISBLANK(U348),T348,U348),IF(ISBLANK(T348),U348,T348))=0,"",MIN(IF(ISBLANK(U348),T348,U348),IF(ISBLANK(T348),U348,T348)))</f>
        <v/>
      </c>
      <c r="X348" s="57"/>
      <c r="Y348" s="57"/>
      <c r="Z348" s="59" t="str">
        <f t="shared" si="80"/>
        <v/>
      </c>
      <c r="AA348" s="57"/>
      <c r="AB348" s="57"/>
      <c r="AC348" s="59" t="str">
        <f t="shared" si="76"/>
        <v/>
      </c>
      <c r="AD348" s="57"/>
      <c r="AE348" s="57"/>
      <c r="AF348" s="59"/>
    </row>
    <row r="349" spans="1:32">
      <c r="A349" s="24"/>
      <c r="B349" s="26" t="s">
        <v>665</v>
      </c>
      <c r="C349" s="26"/>
      <c r="D349" s="50"/>
      <c r="E349" s="51"/>
      <c r="F349" s="50"/>
      <c r="G349" s="52"/>
      <c r="H349" s="50"/>
      <c r="I349" s="53"/>
      <c r="J349" s="50"/>
      <c r="K349" s="53"/>
      <c r="L349" s="50"/>
      <c r="M349" s="57"/>
      <c r="N349" s="55"/>
      <c r="O349" s="57"/>
      <c r="P349" s="57"/>
      <c r="Q349" s="59"/>
      <c r="R349" s="57"/>
      <c r="S349" s="57"/>
      <c r="T349" s="59"/>
      <c r="U349" s="57"/>
      <c r="V349" s="57"/>
      <c r="W349" s="59"/>
      <c r="X349" s="57">
        <v>6.6203703703703702E-3</v>
      </c>
      <c r="Y349" s="57"/>
      <c r="Z349" s="59">
        <f t="shared" si="80"/>
        <v>6.6203703703703702E-3</v>
      </c>
      <c r="AA349" s="57"/>
      <c r="AB349" s="57"/>
      <c r="AC349" s="59">
        <f t="shared" si="76"/>
        <v>6.6203703703703702E-3</v>
      </c>
      <c r="AD349" s="57"/>
      <c r="AE349" s="57"/>
      <c r="AF349" s="59"/>
    </row>
    <row r="350" spans="1:32">
      <c r="A350" s="24"/>
      <c r="B350" s="26" t="s">
        <v>160</v>
      </c>
      <c r="C350" s="26" t="s">
        <v>451</v>
      </c>
      <c r="D350" s="50">
        <v>9.17</v>
      </c>
      <c r="E350" s="51"/>
      <c r="F350" s="50">
        <v>9.17</v>
      </c>
      <c r="G350" s="52"/>
      <c r="H350" s="50">
        <v>9.17</v>
      </c>
      <c r="I350" s="53"/>
      <c r="J350" s="50">
        <v>9.17</v>
      </c>
      <c r="K350" s="53"/>
      <c r="L350" s="50">
        <v>9.17</v>
      </c>
      <c r="M350" s="57"/>
      <c r="N350" s="55">
        <v>6.4467592592592597E-3</v>
      </c>
      <c r="O350" s="57"/>
      <c r="P350" s="57"/>
      <c r="Q350" s="59">
        <f>IF(MIN(IF(ISBLANK(O350),N350,O350),IF(ISBLANK(N350),O350,N350))=0,"",MIN(IF(ISBLANK(O350),N350,O350),IF(ISBLANK(N350),O350,N350)))</f>
        <v>6.4467592592592597E-3</v>
      </c>
      <c r="R350" s="57"/>
      <c r="S350" s="57"/>
      <c r="T350" s="59">
        <f>IF(MIN(IF(ISBLANK(R350),Q350,R350),IF(ISBLANK(Q350),R350,Q350))=0,"",MIN(IF(ISBLANK(R350),Q350,R350),IF(ISBLANK(Q350),R350,Q350)))</f>
        <v>6.4467592592592597E-3</v>
      </c>
      <c r="U350" s="57"/>
      <c r="V350" s="57"/>
      <c r="W350" s="59">
        <f>IF(MIN(IF(ISBLANK(U350),T350,U350),IF(ISBLANK(T350),U350,T350))=0,"",MIN(IF(ISBLANK(U350),T350,U350),IF(ISBLANK(T350),U350,T350)))</f>
        <v>6.4467592592592597E-3</v>
      </c>
      <c r="X350" s="57"/>
      <c r="Y350" s="57"/>
      <c r="Z350" s="59">
        <f t="shared" si="80"/>
        <v>6.4467592592592597E-3</v>
      </c>
      <c r="AA350" s="57"/>
      <c r="AB350" s="57"/>
      <c r="AC350" s="59">
        <f t="shared" si="76"/>
        <v>6.4467592592592597E-3</v>
      </c>
      <c r="AD350" s="57"/>
      <c r="AE350" s="57"/>
      <c r="AF350" s="59"/>
    </row>
    <row r="351" spans="1:32">
      <c r="A351" s="24"/>
      <c r="B351" s="26" t="s">
        <v>231</v>
      </c>
      <c r="C351" s="26" t="s">
        <v>450</v>
      </c>
      <c r="D351" s="50" t="s">
        <v>261</v>
      </c>
      <c r="E351" s="51"/>
      <c r="F351" s="50" t="s">
        <v>261</v>
      </c>
      <c r="G351" s="52"/>
      <c r="H351" s="50" t="s">
        <v>261</v>
      </c>
      <c r="I351" s="53"/>
      <c r="J351" s="50" t="s">
        <v>261</v>
      </c>
      <c r="K351" s="53"/>
      <c r="L351" s="50" t="s">
        <v>261</v>
      </c>
      <c r="M351" s="57"/>
      <c r="N351" s="55">
        <v>6.0185185185185177E-3</v>
      </c>
      <c r="O351" s="57"/>
      <c r="P351" s="57"/>
      <c r="Q351" s="59">
        <f>IF(MIN(IF(ISBLANK(O351),N351,O351),IF(ISBLANK(N351),O351,N351))=0,"",MIN(IF(ISBLANK(O351),N351,O351),IF(ISBLANK(N351),O351,N351)))</f>
        <v>6.0185185185185177E-3</v>
      </c>
      <c r="R351" s="57"/>
      <c r="S351" s="57"/>
      <c r="T351" s="59">
        <f>IF(MIN(IF(ISBLANK(R351),Q351,R351),IF(ISBLANK(Q351),R351,Q351))=0,"",MIN(IF(ISBLANK(R351),Q351,R351),IF(ISBLANK(Q351),R351,Q351)))</f>
        <v>6.0185185185185177E-3</v>
      </c>
      <c r="U351" s="57"/>
      <c r="V351" s="57"/>
      <c r="W351" s="59">
        <f>IF(MIN(IF(ISBLANK(U351),T351,U351),IF(ISBLANK(T351),U351,T351))=0,"",MIN(IF(ISBLANK(U351),T351,U351),IF(ISBLANK(T351),U351,T351)))</f>
        <v>6.0185185185185177E-3</v>
      </c>
      <c r="X351" s="57"/>
      <c r="Y351" s="57"/>
      <c r="Z351" s="59">
        <f t="shared" si="80"/>
        <v>6.0185185185185177E-3</v>
      </c>
      <c r="AA351" s="57"/>
      <c r="AB351" s="57"/>
      <c r="AC351" s="59">
        <f t="shared" si="76"/>
        <v>6.0185185185185177E-3</v>
      </c>
      <c r="AD351" s="57"/>
      <c r="AE351" s="57"/>
      <c r="AF351" s="59"/>
    </row>
    <row r="352" spans="1:32">
      <c r="A352" s="24"/>
      <c r="B352" s="26" t="s">
        <v>167</v>
      </c>
      <c r="C352" s="26" t="s">
        <v>451</v>
      </c>
      <c r="D352" s="50">
        <v>11.13</v>
      </c>
      <c r="E352" s="51"/>
      <c r="F352" s="50">
        <v>11.13</v>
      </c>
      <c r="G352" s="52"/>
      <c r="H352" s="50">
        <v>11.13</v>
      </c>
      <c r="I352" s="53"/>
      <c r="J352" s="50">
        <v>11.13</v>
      </c>
      <c r="K352" s="53"/>
      <c r="L352" s="50">
        <v>11.13</v>
      </c>
      <c r="M352" s="57"/>
      <c r="N352" s="55">
        <v>7.789351851851852E-3</v>
      </c>
      <c r="O352" s="57"/>
      <c r="P352" s="57"/>
      <c r="Q352" s="59">
        <f>IF(MIN(IF(ISBLANK(O352),N352,O352),IF(ISBLANK(N352),O352,N352))=0,"",MIN(IF(ISBLANK(O352),N352,O352),IF(ISBLANK(N352),O352,N352)))</f>
        <v>7.789351851851852E-3</v>
      </c>
      <c r="R352" s="57"/>
      <c r="S352" s="57"/>
      <c r="T352" s="59">
        <f>IF(MIN(IF(ISBLANK(R352),Q352,R352),IF(ISBLANK(Q352),R352,Q352))=0,"",MIN(IF(ISBLANK(R352),Q352,R352),IF(ISBLANK(Q352),R352,Q352)))</f>
        <v>7.789351851851852E-3</v>
      </c>
      <c r="U352" s="57"/>
      <c r="V352" s="57"/>
      <c r="W352" s="59">
        <f>IF(MIN(IF(ISBLANK(U352),T352,U352),IF(ISBLANK(T352),U352,T352))=0,"",MIN(IF(ISBLANK(U352),T352,U352),IF(ISBLANK(T352),U352,T352)))</f>
        <v>7.789351851851852E-3</v>
      </c>
      <c r="X352" s="57"/>
      <c r="Y352" s="57"/>
      <c r="Z352" s="59">
        <f t="shared" si="80"/>
        <v>7.789351851851852E-3</v>
      </c>
      <c r="AA352" s="57"/>
      <c r="AB352" s="57"/>
      <c r="AC352" s="59">
        <f t="shared" si="76"/>
        <v>7.789351851851852E-3</v>
      </c>
      <c r="AD352" s="57"/>
      <c r="AE352" s="57"/>
      <c r="AF352" s="59"/>
    </row>
    <row r="353" spans="1:32">
      <c r="A353" s="24" t="s">
        <v>326</v>
      </c>
      <c r="B353" s="26" t="s">
        <v>410</v>
      </c>
      <c r="C353" s="26" t="s">
        <v>451</v>
      </c>
      <c r="D353" s="50"/>
      <c r="E353" s="51"/>
      <c r="F353" s="50"/>
      <c r="G353" s="52"/>
      <c r="H353" s="50"/>
      <c r="I353" s="53"/>
      <c r="J353" s="50" t="s">
        <v>455</v>
      </c>
      <c r="K353" s="53"/>
      <c r="L353" s="50"/>
      <c r="M353" s="57"/>
      <c r="N353" s="55"/>
      <c r="O353" s="57"/>
      <c r="P353" s="57"/>
      <c r="Q353" s="59" t="str">
        <f>IF(MIN(IF(ISBLANK(O353),N353,O353),IF(ISBLANK(N353),O353,N353))=0,"",MIN(IF(ISBLANK(O353),N353,O353),IF(ISBLANK(N353),O353,N353)))</f>
        <v/>
      </c>
      <c r="R353" s="57"/>
      <c r="S353" s="57"/>
      <c r="T353" s="59" t="str">
        <f>IF(MIN(IF(ISBLANK(R353),Q353,R353),IF(ISBLANK(Q353),R353,Q353))=0,"",MIN(IF(ISBLANK(R353),Q353,R353),IF(ISBLANK(Q353),R353,Q353)))</f>
        <v/>
      </c>
      <c r="U353" s="57"/>
      <c r="V353" s="57"/>
      <c r="W353" s="59" t="str">
        <f>IF(MIN(IF(ISBLANK(U353),T353,U353),IF(ISBLANK(T353),U353,T353))=0,"",MIN(IF(ISBLANK(U353),T353,U353),IF(ISBLANK(T353),U353,T353)))</f>
        <v/>
      </c>
      <c r="X353" s="57"/>
      <c r="Y353" s="57"/>
      <c r="Z353" s="59" t="str">
        <f t="shared" si="80"/>
        <v/>
      </c>
      <c r="AA353" s="57"/>
      <c r="AB353" s="57"/>
      <c r="AC353" s="59" t="str">
        <f t="shared" si="76"/>
        <v/>
      </c>
      <c r="AD353" s="57"/>
      <c r="AE353" s="57"/>
      <c r="AF353" s="59"/>
    </row>
    <row r="354" spans="1:32">
      <c r="A354" s="24" t="s">
        <v>326</v>
      </c>
      <c r="B354" s="26" t="s">
        <v>724</v>
      </c>
      <c r="C354" s="26"/>
      <c r="D354" s="50"/>
      <c r="E354" s="51"/>
      <c r="F354" s="50"/>
      <c r="G354" s="52"/>
      <c r="H354" s="50"/>
      <c r="I354" s="53"/>
      <c r="J354" s="50"/>
      <c r="K354" s="53"/>
      <c r="L354" s="50"/>
      <c r="M354" s="57"/>
      <c r="N354" s="55"/>
      <c r="O354" s="57"/>
      <c r="P354" s="57"/>
      <c r="Q354" s="59"/>
      <c r="R354" s="57"/>
      <c r="S354" s="57"/>
      <c r="T354" s="59"/>
      <c r="U354" s="57"/>
      <c r="V354" s="57"/>
      <c r="W354" s="59"/>
      <c r="X354" s="57"/>
      <c r="Y354" s="57"/>
      <c r="Z354" s="59"/>
      <c r="AA354" s="57">
        <v>8.1249999999999985E-3</v>
      </c>
      <c r="AB354" s="57"/>
      <c r="AC354" s="59">
        <f t="shared" si="76"/>
        <v>8.1249999999999985E-3</v>
      </c>
      <c r="AD354" s="57">
        <v>7.905092592592592E-3</v>
      </c>
      <c r="AE354" s="57"/>
      <c r="AF354" s="59"/>
    </row>
    <row r="355" spans="1:32">
      <c r="A355" s="24"/>
      <c r="B355" s="26" t="s">
        <v>411</v>
      </c>
      <c r="C355" s="26" t="s">
        <v>451</v>
      </c>
      <c r="D355" s="50"/>
      <c r="E355" s="51"/>
      <c r="F355" s="50"/>
      <c r="G355" s="52"/>
      <c r="H355" s="50"/>
      <c r="I355" s="53"/>
      <c r="J355" s="50" t="s">
        <v>455</v>
      </c>
      <c r="K355" s="53"/>
      <c r="L355" s="50"/>
      <c r="M355" s="57"/>
      <c r="N355" s="55"/>
      <c r="O355" s="57"/>
      <c r="P355" s="57"/>
      <c r="Q355" s="59" t="str">
        <f>IF(MIN(IF(ISBLANK(O355),N355,O355),IF(ISBLANK(N355),O355,N355))=0,"",MIN(IF(ISBLANK(O355),N355,O355),IF(ISBLANK(N355),O355,N355)))</f>
        <v/>
      </c>
      <c r="R355" s="57"/>
      <c r="S355" s="57"/>
      <c r="T355" s="59" t="str">
        <f>IF(MIN(IF(ISBLANK(R355),Q355,R355),IF(ISBLANK(Q355),R355,Q355))=0,"",MIN(IF(ISBLANK(R355),Q355,R355),IF(ISBLANK(Q355),R355,Q355)))</f>
        <v/>
      </c>
      <c r="U355" s="57"/>
      <c r="V355" s="57"/>
      <c r="W355" s="59" t="str">
        <f>IF(MIN(IF(ISBLANK(U355),T355,U355),IF(ISBLANK(T355),U355,T355))=0,"",MIN(IF(ISBLANK(U355),T355,U355),IF(ISBLANK(T355),U355,T355)))</f>
        <v/>
      </c>
      <c r="X355" s="57"/>
      <c r="Y355" s="57"/>
      <c r="Z355" s="59" t="str">
        <f>IF(MIN(IF(ISBLANK(X355),W355,X355),IF(ISBLANK(W355),X355,W355))=0,"",MIN(IF(ISBLANK(X355),W355,X355),IF(ISBLANK(W355),X355,W355)))</f>
        <v/>
      </c>
      <c r="AA355" s="57"/>
      <c r="AB355" s="57"/>
      <c r="AC355" s="59" t="str">
        <f t="shared" si="76"/>
        <v/>
      </c>
      <c r="AD355" s="57"/>
      <c r="AE355" s="57"/>
      <c r="AF355" s="59"/>
    </row>
    <row r="356" spans="1:32">
      <c r="A356" s="24" t="s">
        <v>326</v>
      </c>
      <c r="B356" s="26" t="s">
        <v>335</v>
      </c>
      <c r="C356" s="26" t="s">
        <v>451</v>
      </c>
      <c r="D356" s="50"/>
      <c r="E356" s="51"/>
      <c r="F356" s="50" t="s">
        <v>455</v>
      </c>
      <c r="G356" s="52" t="s">
        <v>323</v>
      </c>
      <c r="H356" s="50">
        <v>9.2799999999999994</v>
      </c>
      <c r="I356" s="53">
        <v>9.08</v>
      </c>
      <c r="J356" s="50">
        <v>9.08</v>
      </c>
      <c r="K356" s="53"/>
      <c r="L356" s="50">
        <v>9.08</v>
      </c>
      <c r="M356" s="57">
        <v>6.5972222222222222E-3</v>
      </c>
      <c r="N356" s="55">
        <v>6.3425925925925915E-3</v>
      </c>
      <c r="O356" s="57"/>
      <c r="P356" s="57"/>
      <c r="Q356" s="59">
        <f>IF(MIN(IF(ISBLANK(O356),N356,O356),IF(ISBLANK(N356),O356,N356))=0,"",MIN(IF(ISBLANK(O356),N356,O356),IF(ISBLANK(N356),O356,N356)))</f>
        <v>6.3425925925925915E-3</v>
      </c>
      <c r="R356" s="57"/>
      <c r="S356" s="57"/>
      <c r="T356" s="59">
        <f>IF(MIN(IF(ISBLANK(R356),Q356,R356),IF(ISBLANK(Q356),R356,Q356))=0,"",MIN(IF(ISBLANK(R356),Q356,R356),IF(ISBLANK(Q356),R356,Q356)))</f>
        <v>6.3425925925925915E-3</v>
      </c>
      <c r="U356" s="57"/>
      <c r="V356" s="57"/>
      <c r="W356" s="59">
        <f>IF(MIN(IF(ISBLANK(U356),T356,U356),IF(ISBLANK(T356),U356,T356))=0,"",MIN(IF(ISBLANK(U356),T356,U356),IF(ISBLANK(T356),U356,T356)))</f>
        <v>6.3425925925925915E-3</v>
      </c>
      <c r="X356" s="57"/>
      <c r="Y356" s="57"/>
      <c r="Z356" s="59">
        <f>IF(MIN(IF(ISBLANK(X356),W356,X356),IF(ISBLANK(W356),X356,W356))=0,"",MIN(IF(ISBLANK(X356),W356,X356),IF(ISBLANK(W356),X356,W356)))</f>
        <v>6.3425925925925915E-3</v>
      </c>
      <c r="AA356" s="57"/>
      <c r="AB356" s="57"/>
      <c r="AC356" s="59">
        <f t="shared" si="76"/>
        <v>6.3425925925925915E-3</v>
      </c>
      <c r="AD356" s="57"/>
      <c r="AE356" s="57"/>
      <c r="AF356" s="59"/>
    </row>
    <row r="357" spans="1:32">
      <c r="A357" s="24" t="s">
        <v>326</v>
      </c>
      <c r="B357" s="26" t="s">
        <v>717</v>
      </c>
      <c r="C357" s="26"/>
      <c r="D357" s="50"/>
      <c r="E357" s="51"/>
      <c r="F357" s="50"/>
      <c r="G357" s="52"/>
      <c r="H357" s="50"/>
      <c r="I357" s="53"/>
      <c r="J357" s="50"/>
      <c r="K357" s="53"/>
      <c r="L357" s="50"/>
      <c r="M357" s="57"/>
      <c r="N357" s="55"/>
      <c r="O357" s="57"/>
      <c r="P357" s="57"/>
      <c r="Q357" s="59"/>
      <c r="R357" s="57"/>
      <c r="S357" s="57"/>
      <c r="T357" s="59"/>
      <c r="U357" s="57"/>
      <c r="V357" s="57"/>
      <c r="W357" s="59"/>
      <c r="X357" s="57"/>
      <c r="Y357" s="57"/>
      <c r="Z357" s="59"/>
      <c r="AA357" s="57">
        <v>6.2268518518518515E-3</v>
      </c>
      <c r="AB357" s="57"/>
      <c r="AC357" s="59">
        <f t="shared" si="76"/>
        <v>6.2268518518518515E-3</v>
      </c>
      <c r="AD357" s="57"/>
      <c r="AE357" s="57"/>
      <c r="AF357" s="59"/>
    </row>
    <row r="358" spans="1:32">
      <c r="A358" s="24" t="s">
        <v>326</v>
      </c>
      <c r="B358" s="26" t="s">
        <v>666</v>
      </c>
      <c r="C358" s="26"/>
      <c r="D358" s="50"/>
      <c r="E358" s="51"/>
      <c r="F358" s="50"/>
      <c r="G358" s="52"/>
      <c r="H358" s="50"/>
      <c r="I358" s="53"/>
      <c r="J358" s="50"/>
      <c r="K358" s="53"/>
      <c r="L358" s="50"/>
      <c r="M358" s="57"/>
      <c r="N358" s="55"/>
      <c r="O358" s="57"/>
      <c r="P358" s="57"/>
      <c r="Q358" s="59"/>
      <c r="R358" s="57"/>
      <c r="S358" s="57"/>
      <c r="T358" s="59"/>
      <c r="U358" s="57"/>
      <c r="V358" s="57"/>
      <c r="W358" s="59"/>
      <c r="X358" s="57">
        <v>5.2199074074074066E-3</v>
      </c>
      <c r="Y358" s="57"/>
      <c r="Z358" s="59">
        <f t="shared" ref="Z358:Z364" si="81">IF(MIN(IF(ISBLANK(X358),W358,X358),IF(ISBLANK(W358),X358,W358))=0,"",MIN(IF(ISBLANK(X358),W358,X358),IF(ISBLANK(W358),X358,W358)))</f>
        <v>5.2199074074074066E-3</v>
      </c>
      <c r="AA358" s="57"/>
      <c r="AB358" s="57"/>
      <c r="AC358" s="59">
        <f t="shared" si="76"/>
        <v>5.2199074074074066E-3</v>
      </c>
      <c r="AD358" s="57"/>
      <c r="AE358" s="57"/>
      <c r="AF358" s="59"/>
    </row>
    <row r="359" spans="1:32">
      <c r="A359" s="24"/>
      <c r="B359" s="26" t="s">
        <v>174</v>
      </c>
      <c r="C359" s="26"/>
      <c r="D359" s="50"/>
      <c r="E359" s="51"/>
      <c r="F359" s="50" t="s">
        <v>455</v>
      </c>
      <c r="G359" s="52"/>
      <c r="H359" s="50"/>
      <c r="I359" s="53"/>
      <c r="J359" s="50" t="s">
        <v>455</v>
      </c>
      <c r="K359" s="53"/>
      <c r="L359" s="50"/>
      <c r="M359" s="57"/>
      <c r="N359" s="55"/>
      <c r="O359" s="57"/>
      <c r="P359" s="57"/>
      <c r="Q359" s="59" t="str">
        <f>IF(MIN(IF(ISBLANK(O359),N359,O359),IF(ISBLANK(N359),O359,N359))=0,"",MIN(IF(ISBLANK(O359),N359,O359),IF(ISBLANK(N359),O359,N359)))</f>
        <v/>
      </c>
      <c r="R359" s="57"/>
      <c r="S359" s="57"/>
      <c r="T359" s="59" t="str">
        <f t="shared" ref="T359:T364" si="82">IF(MIN(IF(ISBLANK(R359),Q359,R359),IF(ISBLANK(Q359),R359,Q359))=0,"",MIN(IF(ISBLANK(R359),Q359,R359),IF(ISBLANK(Q359),R359,Q359)))</f>
        <v/>
      </c>
      <c r="U359" s="57"/>
      <c r="V359" s="57"/>
      <c r="W359" s="59" t="str">
        <f t="shared" ref="W359:W364" si="83">IF(MIN(IF(ISBLANK(U359),T359,U359),IF(ISBLANK(T359),U359,T359))=0,"",MIN(IF(ISBLANK(U359),T359,U359),IF(ISBLANK(T359),U359,T359)))</f>
        <v/>
      </c>
      <c r="X359" s="57"/>
      <c r="Y359" s="57"/>
      <c r="Z359" s="59" t="str">
        <f t="shared" si="81"/>
        <v/>
      </c>
      <c r="AA359" s="57"/>
      <c r="AB359" s="57"/>
      <c r="AC359" s="59" t="str">
        <f t="shared" si="76"/>
        <v/>
      </c>
      <c r="AD359" s="57"/>
      <c r="AE359" s="57"/>
      <c r="AF359" s="59"/>
    </row>
    <row r="360" spans="1:32">
      <c r="A360" s="24"/>
      <c r="B360" s="26" t="s">
        <v>181</v>
      </c>
      <c r="C360" s="26"/>
      <c r="D360" s="50">
        <v>8.35</v>
      </c>
      <c r="E360" s="51" t="s">
        <v>306</v>
      </c>
      <c r="F360" s="50">
        <v>8.35</v>
      </c>
      <c r="G360" s="52"/>
      <c r="H360" s="50">
        <v>8.35</v>
      </c>
      <c r="I360" s="53"/>
      <c r="J360" s="50">
        <v>8.35</v>
      </c>
      <c r="K360" s="53"/>
      <c r="L360" s="50">
        <v>8.35</v>
      </c>
      <c r="M360" s="57"/>
      <c r="N360" s="55">
        <v>5.9606481481481489E-3</v>
      </c>
      <c r="O360" s="57"/>
      <c r="P360" s="57"/>
      <c r="Q360" s="59">
        <f>IF(MIN(IF(ISBLANK(O360),N360,O360),IF(ISBLANK(N360),O360,N360))=0,"",MIN(IF(ISBLANK(O360),N360,O360),IF(ISBLANK(N360),O360,N360)))</f>
        <v>5.9606481481481489E-3</v>
      </c>
      <c r="R360" s="57"/>
      <c r="S360" s="57"/>
      <c r="T360" s="59">
        <f t="shared" si="82"/>
        <v>5.9606481481481489E-3</v>
      </c>
      <c r="U360" s="57"/>
      <c r="V360" s="57"/>
      <c r="W360" s="59">
        <f t="shared" si="83"/>
        <v>5.9606481481481489E-3</v>
      </c>
      <c r="X360" s="57"/>
      <c r="Y360" s="57"/>
      <c r="Z360" s="59">
        <f t="shared" si="81"/>
        <v>5.9606481481481489E-3</v>
      </c>
      <c r="AA360" s="57"/>
      <c r="AB360" s="57"/>
      <c r="AC360" s="59">
        <f t="shared" si="76"/>
        <v>5.9606481481481489E-3</v>
      </c>
      <c r="AD360" s="57"/>
      <c r="AE360" s="57"/>
      <c r="AF360" s="59"/>
    </row>
    <row r="361" spans="1:32">
      <c r="A361" s="24"/>
      <c r="B361" s="26" t="s">
        <v>581</v>
      </c>
      <c r="C361" s="26"/>
      <c r="D361" s="50"/>
      <c r="E361" s="51"/>
      <c r="F361" s="50"/>
      <c r="G361" s="52"/>
      <c r="H361" s="50"/>
      <c r="I361" s="53"/>
      <c r="J361" s="50"/>
      <c r="K361" s="53"/>
      <c r="L361" s="50"/>
      <c r="M361" s="57"/>
      <c r="N361" s="55"/>
      <c r="O361" s="57"/>
      <c r="P361" s="57"/>
      <c r="Q361" s="59"/>
      <c r="R361" s="57">
        <v>6.8055555555555569E-3</v>
      </c>
      <c r="S361" s="57"/>
      <c r="T361" s="59">
        <f t="shared" si="82"/>
        <v>6.8055555555555569E-3</v>
      </c>
      <c r="U361" s="57">
        <v>7.9745370370370369E-3</v>
      </c>
      <c r="V361" s="57"/>
      <c r="W361" s="59">
        <f t="shared" si="83"/>
        <v>6.8055555555555569E-3</v>
      </c>
      <c r="X361" s="57"/>
      <c r="Y361" s="57"/>
      <c r="Z361" s="59">
        <f t="shared" si="81"/>
        <v>6.8055555555555569E-3</v>
      </c>
      <c r="AA361" s="57"/>
      <c r="AB361" s="57"/>
      <c r="AC361" s="59">
        <f t="shared" si="76"/>
        <v>6.8055555555555569E-3</v>
      </c>
      <c r="AD361" s="57"/>
      <c r="AE361" s="57"/>
      <c r="AF361" s="59"/>
    </row>
    <row r="362" spans="1:32">
      <c r="A362" s="24"/>
      <c r="B362" s="26" t="s">
        <v>260</v>
      </c>
      <c r="C362" s="26" t="s">
        <v>451</v>
      </c>
      <c r="D362" s="50"/>
      <c r="E362" s="51"/>
      <c r="F362" s="50" t="s">
        <v>455</v>
      </c>
      <c r="G362" s="52"/>
      <c r="H362" s="50"/>
      <c r="I362" s="53"/>
      <c r="J362" s="50" t="s">
        <v>455</v>
      </c>
      <c r="K362" s="53"/>
      <c r="L362" s="50"/>
      <c r="M362" s="57"/>
      <c r="N362" s="55"/>
      <c r="O362" s="57"/>
      <c r="P362" s="57"/>
      <c r="Q362" s="59" t="str">
        <f>IF(MIN(IF(ISBLANK(O362),N362,O362),IF(ISBLANK(N362),O362,N362))=0,"",MIN(IF(ISBLANK(O362),N362,O362),IF(ISBLANK(N362),O362,N362)))</f>
        <v/>
      </c>
      <c r="R362" s="57"/>
      <c r="S362" s="57"/>
      <c r="T362" s="59" t="str">
        <f t="shared" si="82"/>
        <v/>
      </c>
      <c r="U362" s="57"/>
      <c r="V362" s="57"/>
      <c r="W362" s="59" t="str">
        <f t="shared" si="83"/>
        <v/>
      </c>
      <c r="X362" s="57"/>
      <c r="Y362" s="57"/>
      <c r="Z362" s="59" t="str">
        <f t="shared" si="81"/>
        <v/>
      </c>
      <c r="AA362" s="57"/>
      <c r="AB362" s="57"/>
      <c r="AC362" s="59" t="str">
        <f t="shared" si="76"/>
        <v/>
      </c>
      <c r="AD362" s="57"/>
      <c r="AE362" s="57"/>
      <c r="AF362" s="59"/>
    </row>
    <row r="363" spans="1:32">
      <c r="A363" s="24"/>
      <c r="B363" s="26" t="s">
        <v>186</v>
      </c>
      <c r="C363" s="26"/>
      <c r="D363" s="50">
        <v>9.36</v>
      </c>
      <c r="E363" s="51"/>
      <c r="F363" s="50">
        <v>9.36</v>
      </c>
      <c r="G363" s="52"/>
      <c r="H363" s="50">
        <v>9.36</v>
      </c>
      <c r="I363" s="53"/>
      <c r="J363" s="50">
        <v>9.36</v>
      </c>
      <c r="K363" s="53"/>
      <c r="L363" s="50">
        <v>9.36</v>
      </c>
      <c r="M363" s="57"/>
      <c r="N363" s="55">
        <v>6.6666666666666671E-3</v>
      </c>
      <c r="O363" s="57"/>
      <c r="P363" s="57"/>
      <c r="Q363" s="59">
        <f>IF(MIN(IF(ISBLANK(O363),N363,O363),IF(ISBLANK(N363),O363,N363))=0,"",MIN(IF(ISBLANK(O363),N363,O363),IF(ISBLANK(N363),O363,N363)))</f>
        <v>6.6666666666666671E-3</v>
      </c>
      <c r="R363" s="57"/>
      <c r="S363" s="57"/>
      <c r="T363" s="59">
        <f t="shared" si="82"/>
        <v>6.6666666666666671E-3</v>
      </c>
      <c r="U363" s="57"/>
      <c r="V363" s="57"/>
      <c r="W363" s="59">
        <f t="shared" si="83"/>
        <v>6.6666666666666671E-3</v>
      </c>
      <c r="X363" s="57"/>
      <c r="Y363" s="57"/>
      <c r="Z363" s="59">
        <f t="shared" si="81"/>
        <v>6.6666666666666671E-3</v>
      </c>
      <c r="AA363" s="57"/>
      <c r="AB363" s="57"/>
      <c r="AC363" s="59">
        <f t="shared" si="76"/>
        <v>6.6666666666666671E-3</v>
      </c>
      <c r="AD363" s="57"/>
      <c r="AE363" s="57"/>
      <c r="AF363" s="59"/>
    </row>
    <row r="364" spans="1:32">
      <c r="A364" s="24"/>
      <c r="B364" s="26" t="s">
        <v>560</v>
      </c>
      <c r="C364" s="26"/>
      <c r="D364" s="50"/>
      <c r="E364" s="51"/>
      <c r="F364" s="50"/>
      <c r="G364" s="52"/>
      <c r="H364" s="50"/>
      <c r="I364" s="53"/>
      <c r="J364" s="50"/>
      <c r="K364" s="53"/>
      <c r="L364" s="50"/>
      <c r="M364" s="57"/>
      <c r="N364" s="55"/>
      <c r="O364" s="57">
        <v>5.115740740740741E-3</v>
      </c>
      <c r="P364" s="57"/>
      <c r="Q364" s="59">
        <f>IF(MIN(IF(ISBLANK(O364),N364,O364),IF(ISBLANK(N364),O364,N364))=0,"",MIN(IF(ISBLANK(O364),N364,O364),IF(ISBLANK(N364),O364,N364)))</f>
        <v>5.115740740740741E-3</v>
      </c>
      <c r="R364" s="57"/>
      <c r="S364" s="57"/>
      <c r="T364" s="59">
        <f t="shared" si="82"/>
        <v>5.115740740740741E-3</v>
      </c>
      <c r="U364" s="57"/>
      <c r="V364" s="57"/>
      <c r="W364" s="59">
        <f t="shared" si="83"/>
        <v>5.115740740740741E-3</v>
      </c>
      <c r="X364" s="57"/>
      <c r="Y364" s="57"/>
      <c r="Z364" s="59">
        <f t="shared" si="81"/>
        <v>5.115740740740741E-3</v>
      </c>
      <c r="AA364" s="57"/>
      <c r="AB364" s="57"/>
      <c r="AC364" s="59">
        <f t="shared" si="76"/>
        <v>5.115740740740741E-3</v>
      </c>
      <c r="AD364" s="57"/>
      <c r="AE364" s="57"/>
      <c r="AF364" s="59"/>
    </row>
    <row r="365" spans="1:32">
      <c r="A365" s="24" t="s">
        <v>326</v>
      </c>
      <c r="B365" s="26" t="s">
        <v>707</v>
      </c>
      <c r="C365" s="26"/>
      <c r="D365" s="50"/>
      <c r="E365" s="51"/>
      <c r="F365" s="50"/>
      <c r="G365" s="52"/>
      <c r="H365" s="50"/>
      <c r="I365" s="53"/>
      <c r="J365" s="50"/>
      <c r="K365" s="54"/>
      <c r="L365" s="50"/>
      <c r="M365" s="56"/>
      <c r="N365" s="55"/>
      <c r="O365" s="56"/>
      <c r="P365" s="56"/>
      <c r="Q365" s="59"/>
      <c r="R365" s="56"/>
      <c r="S365" s="56"/>
      <c r="T365" s="59"/>
      <c r="U365" s="56"/>
      <c r="V365" s="56"/>
      <c r="W365" s="59"/>
      <c r="X365" s="56"/>
      <c r="Y365" s="56"/>
      <c r="Z365" s="59"/>
      <c r="AA365" s="56"/>
      <c r="AB365" s="56"/>
      <c r="AC365" s="59" t="str">
        <f t="shared" si="76"/>
        <v/>
      </c>
      <c r="AD365" s="56">
        <v>5.5092592592592589E-3</v>
      </c>
      <c r="AE365" s="56"/>
      <c r="AF365" s="59"/>
    </row>
    <row r="366" spans="1:32">
      <c r="A366" s="24"/>
      <c r="B366" s="26" t="s">
        <v>192</v>
      </c>
      <c r="C366" s="26" t="s">
        <v>450</v>
      </c>
      <c r="D366" s="50">
        <v>7.02</v>
      </c>
      <c r="E366" s="51"/>
      <c r="F366" s="50">
        <v>7.02</v>
      </c>
      <c r="G366" s="52" t="s">
        <v>357</v>
      </c>
      <c r="H366" s="50">
        <v>7.02</v>
      </c>
      <c r="I366" s="53">
        <v>6.54</v>
      </c>
      <c r="J366" s="50">
        <v>6.54</v>
      </c>
      <c r="K366" s="53"/>
      <c r="L366" s="50">
        <v>6.54</v>
      </c>
      <c r="M366" s="57"/>
      <c r="N366" s="55">
        <v>4.7916666666666672E-3</v>
      </c>
      <c r="O366" s="57">
        <v>5.0462962962962961E-3</v>
      </c>
      <c r="P366" s="57"/>
      <c r="Q366" s="59">
        <f>IF(MIN(IF(ISBLANK(O366),N366,O366),IF(ISBLANK(N366),O366,N366))=0,"",MIN(IF(ISBLANK(O366),N366,O366),IF(ISBLANK(N366),O366,N366)))</f>
        <v>4.7916666666666672E-3</v>
      </c>
      <c r="R366" s="57">
        <v>4.8263888888888887E-3</v>
      </c>
      <c r="S366" s="57"/>
      <c r="T366" s="59">
        <f>IF(MIN(IF(ISBLANK(R366),Q366,R366),IF(ISBLANK(Q366),R366,Q366))=0,"",MIN(IF(ISBLANK(R366),Q366,R366),IF(ISBLANK(Q366),R366,Q366)))</f>
        <v>4.7916666666666672E-3</v>
      </c>
      <c r="U366" s="57">
        <v>4.9305555555555552E-3</v>
      </c>
      <c r="V366" s="57"/>
      <c r="W366" s="59">
        <f>IF(MIN(IF(ISBLANK(U366),T366,U366),IF(ISBLANK(T366),U366,T366))=0,"",MIN(IF(ISBLANK(U366),T366,U366),IF(ISBLANK(T366),U366,T366)))</f>
        <v>4.7916666666666672E-3</v>
      </c>
      <c r="X366" s="57">
        <v>4.8032407407407407E-3</v>
      </c>
      <c r="Y366" s="57"/>
      <c r="Z366" s="59">
        <f t="shared" ref="Z366:Z397" si="84">IF(MIN(IF(ISBLANK(X366),W366,X366),IF(ISBLANK(W366),X366,W366))=0,"",MIN(IF(ISBLANK(X366),W366,X366),IF(ISBLANK(W366),X366,W366)))</f>
        <v>4.7916666666666672E-3</v>
      </c>
      <c r="AA366" s="57"/>
      <c r="AB366" s="57"/>
      <c r="AC366" s="59">
        <f t="shared" si="76"/>
        <v>4.7916666666666672E-3</v>
      </c>
      <c r="AD366" s="57"/>
      <c r="AE366" s="57"/>
      <c r="AF366" s="59"/>
    </row>
    <row r="367" spans="1:32">
      <c r="A367" s="24"/>
      <c r="B367" s="26" t="s">
        <v>475</v>
      </c>
      <c r="C367" s="26" t="s">
        <v>450</v>
      </c>
      <c r="D367" s="50"/>
      <c r="E367" s="51"/>
      <c r="F367" s="50"/>
      <c r="G367" s="52"/>
      <c r="H367" s="50"/>
      <c r="I367" s="53"/>
      <c r="J367" s="50"/>
      <c r="K367" s="53">
        <v>7.36</v>
      </c>
      <c r="L367" s="50">
        <v>7.36</v>
      </c>
      <c r="M367" s="57"/>
      <c r="N367" s="55">
        <v>5.2777777777777771E-3</v>
      </c>
      <c r="O367" s="57"/>
      <c r="P367" s="57"/>
      <c r="Q367" s="59">
        <f>IF(MIN(IF(ISBLANK(O367),N367,O367),IF(ISBLANK(N367),O367,N367))=0,"",MIN(IF(ISBLANK(O367),N367,O367),IF(ISBLANK(N367),O367,N367)))</f>
        <v>5.2777777777777771E-3</v>
      </c>
      <c r="R367" s="57"/>
      <c r="S367" s="57"/>
      <c r="T367" s="59">
        <f>IF(MIN(IF(ISBLANK(R367),Q367,R367),IF(ISBLANK(Q367),R367,Q367))=0,"",MIN(IF(ISBLANK(R367),Q367,R367),IF(ISBLANK(Q367),R367,Q367)))</f>
        <v>5.2777777777777771E-3</v>
      </c>
      <c r="U367" s="57"/>
      <c r="V367" s="57"/>
      <c r="W367" s="59">
        <f>IF(MIN(IF(ISBLANK(U367),T367,U367),IF(ISBLANK(T367),U367,T367))=0,"",MIN(IF(ISBLANK(U367),T367,U367),IF(ISBLANK(T367),U367,T367)))</f>
        <v>5.2777777777777771E-3</v>
      </c>
      <c r="X367" s="57"/>
      <c r="Y367" s="57"/>
      <c r="Z367" s="59">
        <f t="shared" si="84"/>
        <v>5.2777777777777771E-3</v>
      </c>
      <c r="AA367" s="57"/>
      <c r="AB367" s="57"/>
      <c r="AC367" s="59">
        <f t="shared" si="76"/>
        <v>5.2777777777777771E-3</v>
      </c>
      <c r="AD367" s="57"/>
      <c r="AE367" s="57"/>
      <c r="AF367" s="59"/>
    </row>
    <row r="368" spans="1:32">
      <c r="A368" s="24" t="s">
        <v>326</v>
      </c>
      <c r="B368" s="26" t="s">
        <v>667</v>
      </c>
      <c r="C368" s="26"/>
      <c r="D368" s="50"/>
      <c r="E368" s="51"/>
      <c r="F368" s="50"/>
      <c r="G368" s="52"/>
      <c r="H368" s="50"/>
      <c r="I368" s="53"/>
      <c r="J368" s="50"/>
      <c r="K368" s="53"/>
      <c r="L368" s="50"/>
      <c r="M368" s="57"/>
      <c r="N368" s="55"/>
      <c r="O368" s="57"/>
      <c r="P368" s="57"/>
      <c r="Q368" s="59"/>
      <c r="R368" s="57"/>
      <c r="S368" s="57"/>
      <c r="T368" s="59"/>
      <c r="U368" s="57"/>
      <c r="V368" s="57"/>
      <c r="W368" s="59"/>
      <c r="X368" s="57"/>
      <c r="Y368" s="57"/>
      <c r="Z368" s="59" t="str">
        <f t="shared" si="84"/>
        <v/>
      </c>
      <c r="AA368" s="57"/>
      <c r="AB368" s="57"/>
      <c r="AC368" s="59" t="str">
        <f t="shared" si="76"/>
        <v/>
      </c>
      <c r="AD368" s="57"/>
      <c r="AE368" s="57"/>
      <c r="AF368" s="59"/>
    </row>
    <row r="369" spans="1:32">
      <c r="A369" s="24"/>
      <c r="B369" s="26" t="s">
        <v>199</v>
      </c>
      <c r="C369" s="26" t="s">
        <v>450</v>
      </c>
      <c r="D369" s="50" t="s">
        <v>226</v>
      </c>
      <c r="E369" s="51" t="s">
        <v>293</v>
      </c>
      <c r="F369" s="50" t="s">
        <v>226</v>
      </c>
      <c r="G369" s="52"/>
      <c r="H369" s="50" t="s">
        <v>226</v>
      </c>
      <c r="I369" s="53"/>
      <c r="J369" s="50" t="s">
        <v>226</v>
      </c>
      <c r="K369" s="53"/>
      <c r="L369" s="50" t="s">
        <v>226</v>
      </c>
      <c r="M369" s="57"/>
      <c r="N369" s="55">
        <v>4.7453703703703703E-3</v>
      </c>
      <c r="O369" s="57"/>
      <c r="P369" s="57"/>
      <c r="Q369" s="59">
        <f>IF(MIN(IF(ISBLANK(O369),N369,O369),IF(ISBLANK(N369),O369,N369))=0,"",MIN(IF(ISBLANK(O369),N369,O369),IF(ISBLANK(N369),O369,N369)))</f>
        <v>4.7453703703703703E-3</v>
      </c>
      <c r="R369" s="57"/>
      <c r="S369" s="57"/>
      <c r="T369" s="59">
        <f>IF(MIN(IF(ISBLANK(R369),Q369,R369),IF(ISBLANK(Q369),R369,Q369))=0,"",MIN(IF(ISBLANK(R369),Q369,R369),IF(ISBLANK(Q369),R369,Q369)))</f>
        <v>4.7453703703703703E-3</v>
      </c>
      <c r="U369" s="57"/>
      <c r="V369" s="57"/>
      <c r="W369" s="59">
        <f>IF(MIN(IF(ISBLANK(U369),T369,U369),IF(ISBLANK(T369),U369,T369))=0,"",MIN(IF(ISBLANK(U369),T369,U369),IF(ISBLANK(T369),U369,T369)))</f>
        <v>4.7453703703703703E-3</v>
      </c>
      <c r="X369" s="57"/>
      <c r="Y369" s="57"/>
      <c r="Z369" s="59">
        <f t="shared" si="84"/>
        <v>4.7453703703703703E-3</v>
      </c>
      <c r="AA369" s="57"/>
      <c r="AB369" s="57"/>
      <c r="AC369" s="59">
        <f t="shared" si="76"/>
        <v>4.7453703703703703E-3</v>
      </c>
      <c r="AD369" s="57"/>
      <c r="AE369" s="57"/>
      <c r="AF369" s="59"/>
    </row>
    <row r="370" spans="1:32">
      <c r="A370" s="24"/>
      <c r="B370" s="26" t="s">
        <v>370</v>
      </c>
      <c r="C370" s="26" t="s">
        <v>450</v>
      </c>
      <c r="D370" s="50"/>
      <c r="E370" s="51"/>
      <c r="F370" s="50"/>
      <c r="G370" s="52" t="s">
        <v>350</v>
      </c>
      <c r="H370" s="50">
        <v>6.58</v>
      </c>
      <c r="I370" s="53">
        <v>6.38</v>
      </c>
      <c r="J370" s="50">
        <v>6.38</v>
      </c>
      <c r="K370" s="53"/>
      <c r="L370" s="50">
        <v>6.38</v>
      </c>
      <c r="M370" s="57"/>
      <c r="N370" s="55">
        <v>4.6064814814814814E-3</v>
      </c>
      <c r="O370" s="57"/>
      <c r="P370" s="57"/>
      <c r="Q370" s="59">
        <f>IF(MIN(IF(ISBLANK(O370),N370,O370),IF(ISBLANK(N370),O370,N370))=0,"",MIN(IF(ISBLANK(O370),N370,O370),IF(ISBLANK(N370),O370,N370)))</f>
        <v>4.6064814814814814E-3</v>
      </c>
      <c r="R370" s="57"/>
      <c r="S370" s="57"/>
      <c r="T370" s="59">
        <f>IF(MIN(IF(ISBLANK(R370),Q370,R370),IF(ISBLANK(Q370),R370,Q370))=0,"",MIN(IF(ISBLANK(R370),Q370,R370),IF(ISBLANK(Q370),R370,Q370)))</f>
        <v>4.6064814814814814E-3</v>
      </c>
      <c r="U370" s="57"/>
      <c r="V370" s="57"/>
      <c r="W370" s="59">
        <f>IF(MIN(IF(ISBLANK(U370),T370,U370),IF(ISBLANK(T370),U370,T370))=0,"",MIN(IF(ISBLANK(U370),T370,U370),IF(ISBLANK(T370),U370,T370)))</f>
        <v>4.6064814814814814E-3</v>
      </c>
      <c r="X370" s="57"/>
      <c r="Y370" s="57"/>
      <c r="Z370" s="59">
        <f t="shared" si="84"/>
        <v>4.6064814814814814E-3</v>
      </c>
      <c r="AA370" s="57"/>
      <c r="AB370" s="57"/>
      <c r="AC370" s="59">
        <f t="shared" si="76"/>
        <v>4.6064814814814814E-3</v>
      </c>
      <c r="AD370" s="57"/>
      <c r="AE370" s="57"/>
      <c r="AF370" s="59"/>
    </row>
    <row r="371" spans="1:32">
      <c r="A371" s="24"/>
      <c r="B371" s="26" t="s">
        <v>204</v>
      </c>
      <c r="C371" s="26" t="s">
        <v>450</v>
      </c>
      <c r="D371" s="50">
        <v>12.26</v>
      </c>
      <c r="E371" s="51" t="s">
        <v>307</v>
      </c>
      <c r="F371" s="50">
        <v>12.18</v>
      </c>
      <c r="G371" s="52">
        <v>10.23</v>
      </c>
      <c r="H371" s="50">
        <v>10.23</v>
      </c>
      <c r="I371" s="53">
        <v>10.43</v>
      </c>
      <c r="J371" s="50">
        <v>10.23</v>
      </c>
      <c r="K371" s="53">
        <v>10.43</v>
      </c>
      <c r="L371" s="50">
        <v>10.23</v>
      </c>
      <c r="M371" s="57"/>
      <c r="N371" s="55">
        <v>7.2106481481481475E-3</v>
      </c>
      <c r="O371" s="57">
        <v>6.7245370370370367E-3</v>
      </c>
      <c r="P371" s="57"/>
      <c r="Q371" s="59">
        <f>IF(MIN(IF(ISBLANK(O371),N371,O371),IF(ISBLANK(N371),O371,N371))=0,"",MIN(IF(ISBLANK(O371),N371,O371),IF(ISBLANK(N371),O371,N371)))</f>
        <v>6.7245370370370367E-3</v>
      </c>
      <c r="R371" s="57"/>
      <c r="S371" s="57"/>
      <c r="T371" s="59">
        <f>IF(MIN(IF(ISBLANK(R371),Q371,R371),IF(ISBLANK(Q371),R371,Q371))=0,"",MIN(IF(ISBLANK(R371),Q371,R371),IF(ISBLANK(Q371),R371,Q371)))</f>
        <v>6.7245370370370367E-3</v>
      </c>
      <c r="U371" s="57"/>
      <c r="V371" s="57"/>
      <c r="W371" s="59">
        <f>IF(MIN(IF(ISBLANK(U371),T371,U371),IF(ISBLANK(T371),U371,T371))=0,"",MIN(IF(ISBLANK(U371),T371,U371),IF(ISBLANK(T371),U371,T371)))</f>
        <v>6.7245370370370367E-3</v>
      </c>
      <c r="X371" s="57"/>
      <c r="Y371" s="57"/>
      <c r="Z371" s="59">
        <f t="shared" si="84"/>
        <v>6.7245370370370367E-3</v>
      </c>
      <c r="AA371" s="57"/>
      <c r="AB371" s="57"/>
      <c r="AC371" s="59">
        <f t="shared" si="76"/>
        <v>6.7245370370370367E-3</v>
      </c>
      <c r="AD371" s="57"/>
      <c r="AE371" s="57"/>
      <c r="AF371" s="59"/>
    </row>
    <row r="372" spans="1:32">
      <c r="A372" s="24"/>
      <c r="B372" s="26" t="s">
        <v>218</v>
      </c>
      <c r="C372" s="26" t="s">
        <v>450</v>
      </c>
      <c r="D372" s="50"/>
      <c r="E372" s="51"/>
      <c r="F372" s="50" t="s">
        <v>455</v>
      </c>
      <c r="G372" s="52"/>
      <c r="H372" s="50"/>
      <c r="I372" s="53"/>
      <c r="J372" s="50" t="s">
        <v>455</v>
      </c>
      <c r="K372" s="53"/>
      <c r="L372" s="50"/>
      <c r="M372" s="57"/>
      <c r="N372" s="55"/>
      <c r="O372" s="57"/>
      <c r="P372" s="57"/>
      <c r="Q372" s="59" t="str">
        <f>IF(MIN(IF(ISBLANK(O372),N372,O372),IF(ISBLANK(N372),O372,N372))=0,"",MIN(IF(ISBLANK(O372),N372,O372),IF(ISBLANK(N372),O372,N372)))</f>
        <v/>
      </c>
      <c r="R372" s="57"/>
      <c r="S372" s="57"/>
      <c r="T372" s="59" t="str">
        <f>IF(MIN(IF(ISBLANK(R372),Q372,R372),IF(ISBLANK(Q372),R372,Q372))=0,"",MIN(IF(ISBLANK(R372),Q372,R372),IF(ISBLANK(Q372),R372,Q372)))</f>
        <v/>
      </c>
      <c r="U372" s="57"/>
      <c r="V372" s="57"/>
      <c r="W372" s="59" t="str">
        <f>IF(MIN(IF(ISBLANK(U372),T372,U372),IF(ISBLANK(T372),U372,T372))=0,"",MIN(IF(ISBLANK(U372),T372,U372),IF(ISBLANK(T372),U372,T372)))</f>
        <v/>
      </c>
      <c r="X372" s="57"/>
      <c r="Y372" s="57"/>
      <c r="Z372" s="59" t="str">
        <f t="shared" si="84"/>
        <v/>
      </c>
      <c r="AA372" s="57"/>
      <c r="AB372" s="57"/>
      <c r="AC372" s="59" t="str">
        <f t="shared" si="76"/>
        <v/>
      </c>
      <c r="AD372" s="57"/>
      <c r="AE372" s="57"/>
      <c r="AF372" s="59"/>
    </row>
    <row r="373" spans="1:32">
      <c r="A373" s="24" t="s">
        <v>326</v>
      </c>
      <c r="B373" s="26" t="s">
        <v>668</v>
      </c>
      <c r="C373" s="26"/>
      <c r="D373" s="50"/>
      <c r="E373" s="51"/>
      <c r="F373" s="50"/>
      <c r="G373" s="52"/>
      <c r="H373" s="50"/>
      <c r="I373" s="53"/>
      <c r="J373" s="50"/>
      <c r="K373" s="53"/>
      <c r="L373" s="50"/>
      <c r="M373" s="57"/>
      <c r="N373" s="55"/>
      <c r="O373" s="57"/>
      <c r="P373" s="57"/>
      <c r="Q373" s="59"/>
      <c r="R373" s="57"/>
      <c r="S373" s="57"/>
      <c r="T373" s="59"/>
      <c r="U373" s="57"/>
      <c r="V373" s="57"/>
      <c r="W373" s="59"/>
      <c r="X373" s="57">
        <v>4.5717592592592589E-3</v>
      </c>
      <c r="Y373" s="57"/>
      <c r="Z373" s="59">
        <f t="shared" si="84"/>
        <v>4.5717592592592589E-3</v>
      </c>
      <c r="AA373" s="57">
        <v>4.3749999999999995E-3</v>
      </c>
      <c r="AB373" s="57"/>
      <c r="AC373" s="59">
        <f t="shared" si="76"/>
        <v>4.3749999999999995E-3</v>
      </c>
      <c r="AD373" s="57"/>
      <c r="AE373" s="57"/>
      <c r="AF373" s="59"/>
    </row>
    <row r="374" spans="1:32">
      <c r="A374" s="24" t="s">
        <v>326</v>
      </c>
      <c r="B374" s="26" t="s">
        <v>742</v>
      </c>
      <c r="C374" s="26"/>
      <c r="D374" s="50"/>
      <c r="E374" s="51"/>
      <c r="F374" s="50"/>
      <c r="G374" s="52"/>
      <c r="H374" s="50"/>
      <c r="I374" s="53"/>
      <c r="J374" s="50"/>
      <c r="K374" s="53"/>
      <c r="L374" s="50"/>
      <c r="M374" s="57"/>
      <c r="N374" s="55"/>
      <c r="O374" s="57"/>
      <c r="P374" s="57"/>
      <c r="Q374" s="59"/>
      <c r="R374" s="57"/>
      <c r="S374" s="57"/>
      <c r="T374" s="59"/>
      <c r="U374" s="57"/>
      <c r="V374" s="57"/>
      <c r="W374" s="59"/>
      <c r="X374" s="57"/>
      <c r="Y374" s="57"/>
      <c r="Z374" s="59"/>
      <c r="AA374" s="57"/>
      <c r="AB374" s="57"/>
      <c r="AC374" s="59"/>
      <c r="AD374" s="57">
        <v>5.2893518518518515E-3</v>
      </c>
      <c r="AE374" s="57"/>
      <c r="AF374" s="59"/>
    </row>
    <row r="375" spans="1:32">
      <c r="A375" s="24"/>
      <c r="B375" s="26" t="s">
        <v>513</v>
      </c>
      <c r="C375" s="26" t="s">
        <v>451</v>
      </c>
      <c r="D375" s="50"/>
      <c r="E375" s="51"/>
      <c r="F375" s="50"/>
      <c r="G375" s="52"/>
      <c r="H375" s="50"/>
      <c r="I375" s="53"/>
      <c r="J375" s="50"/>
      <c r="K375" s="53"/>
      <c r="L375" s="50"/>
      <c r="M375" s="57"/>
      <c r="N375" s="55"/>
      <c r="O375" s="57"/>
      <c r="P375" s="57"/>
      <c r="Q375" s="59" t="str">
        <f>IF(MIN(IF(ISBLANK(O375),N375,O375),IF(ISBLANK(N375),O375,N375))=0,"",MIN(IF(ISBLANK(O375),N375,O375),IF(ISBLANK(N375),O375,N375)))</f>
        <v/>
      </c>
      <c r="R375" s="57"/>
      <c r="S375" s="57"/>
      <c r="T375" s="59" t="str">
        <f t="shared" ref="T375:T394" si="85">IF(MIN(IF(ISBLANK(R375),Q375,R375),IF(ISBLANK(Q375),R375,Q375))=0,"",MIN(IF(ISBLANK(R375),Q375,R375),IF(ISBLANK(Q375),R375,Q375)))</f>
        <v/>
      </c>
      <c r="U375" s="57"/>
      <c r="V375" s="57"/>
      <c r="W375" s="59" t="str">
        <f t="shared" ref="W375:W394" si="86">IF(MIN(IF(ISBLANK(U375),T375,U375),IF(ISBLANK(T375),U375,T375))=0,"",MIN(IF(ISBLANK(U375),T375,U375),IF(ISBLANK(T375),U375,T375)))</f>
        <v/>
      </c>
      <c r="X375" s="57"/>
      <c r="Y375" s="57"/>
      <c r="Z375" s="59" t="str">
        <f t="shared" si="84"/>
        <v/>
      </c>
      <c r="AA375" s="57"/>
      <c r="AB375" s="57"/>
      <c r="AC375" s="59" t="str">
        <f t="shared" si="76"/>
        <v/>
      </c>
      <c r="AD375" s="57"/>
      <c r="AE375" s="57"/>
      <c r="AF375" s="59"/>
    </row>
    <row r="376" spans="1:32">
      <c r="A376" s="24"/>
      <c r="B376" s="26" t="s">
        <v>582</v>
      </c>
      <c r="C376" s="26"/>
      <c r="D376" s="50"/>
      <c r="E376" s="51"/>
      <c r="F376" s="50"/>
      <c r="G376" s="52"/>
      <c r="H376" s="50"/>
      <c r="I376" s="53"/>
      <c r="J376" s="50"/>
      <c r="K376" s="53"/>
      <c r="L376" s="50"/>
      <c r="M376" s="57"/>
      <c r="N376" s="55"/>
      <c r="O376" s="57"/>
      <c r="P376" s="57"/>
      <c r="Q376" s="59"/>
      <c r="R376" s="57">
        <v>5.9722222222222225E-3</v>
      </c>
      <c r="S376" s="57"/>
      <c r="T376" s="59">
        <f t="shared" si="85"/>
        <v>5.9722222222222225E-3</v>
      </c>
      <c r="U376" s="57">
        <v>6.053240740740741E-3</v>
      </c>
      <c r="V376" s="57"/>
      <c r="W376" s="59">
        <f t="shared" si="86"/>
        <v>5.9722222222222225E-3</v>
      </c>
      <c r="X376" s="57"/>
      <c r="Y376" s="57"/>
      <c r="Z376" s="59">
        <f t="shared" si="84"/>
        <v>5.9722222222222225E-3</v>
      </c>
      <c r="AA376" s="57"/>
      <c r="AB376" s="57"/>
      <c r="AC376" s="59">
        <f t="shared" si="76"/>
        <v>5.9722222222222225E-3</v>
      </c>
      <c r="AD376" s="57"/>
      <c r="AE376" s="57"/>
      <c r="AF376" s="59"/>
    </row>
    <row r="377" spans="1:32">
      <c r="A377" s="24" t="s">
        <v>326</v>
      </c>
      <c r="B377" s="26" t="s">
        <v>569</v>
      </c>
      <c r="C377" s="26" t="s">
        <v>451</v>
      </c>
      <c r="D377" s="50"/>
      <c r="E377" s="51"/>
      <c r="F377" s="50"/>
      <c r="G377" s="52"/>
      <c r="H377" s="50"/>
      <c r="I377" s="53"/>
      <c r="J377" s="50"/>
      <c r="K377" s="53"/>
      <c r="L377" s="50"/>
      <c r="M377" s="57"/>
      <c r="N377" s="55"/>
      <c r="O377" s="57">
        <v>6.4814814814814813E-3</v>
      </c>
      <c r="P377" s="57"/>
      <c r="Q377" s="59">
        <f t="shared" ref="Q377:Q392" si="87">IF(MIN(IF(ISBLANK(O377),N377,O377),IF(ISBLANK(N377),O377,N377))=0,"",MIN(IF(ISBLANK(O377),N377,O377),IF(ISBLANK(N377),O377,N377)))</f>
        <v>6.4814814814814813E-3</v>
      </c>
      <c r="R377" s="57"/>
      <c r="S377" s="57"/>
      <c r="T377" s="59">
        <f t="shared" si="85"/>
        <v>6.4814814814814813E-3</v>
      </c>
      <c r="U377" s="57"/>
      <c r="V377" s="57"/>
      <c r="W377" s="59">
        <f t="shared" si="86"/>
        <v>6.4814814814814813E-3</v>
      </c>
      <c r="X377" s="57"/>
      <c r="Y377" s="57"/>
      <c r="Z377" s="59">
        <f t="shared" si="84"/>
        <v>6.4814814814814813E-3</v>
      </c>
      <c r="AA377" s="57"/>
      <c r="AB377" s="57"/>
      <c r="AC377" s="59">
        <f t="shared" si="76"/>
        <v>6.4814814814814813E-3</v>
      </c>
      <c r="AD377" s="57"/>
      <c r="AE377" s="57"/>
      <c r="AF377" s="59"/>
    </row>
    <row r="378" spans="1:32">
      <c r="A378" s="24"/>
      <c r="B378" s="26" t="s">
        <v>16</v>
      </c>
      <c r="C378" s="26" t="s">
        <v>451</v>
      </c>
      <c r="D378" s="50" t="s">
        <v>227</v>
      </c>
      <c r="E378" s="51"/>
      <c r="F378" s="50" t="s">
        <v>227</v>
      </c>
      <c r="G378" s="52"/>
      <c r="H378" s="50" t="s">
        <v>227</v>
      </c>
      <c r="I378" s="53"/>
      <c r="J378" s="50" t="s">
        <v>227</v>
      </c>
      <c r="K378" s="53"/>
      <c r="L378" s="50" t="s">
        <v>227</v>
      </c>
      <c r="M378" s="57"/>
      <c r="N378" s="55">
        <v>6.5972222222222222E-3</v>
      </c>
      <c r="O378" s="57"/>
      <c r="P378" s="57"/>
      <c r="Q378" s="59">
        <f t="shared" si="87"/>
        <v>6.5972222222222222E-3</v>
      </c>
      <c r="R378" s="57"/>
      <c r="S378" s="57"/>
      <c r="T378" s="59">
        <f t="shared" si="85"/>
        <v>6.5972222222222222E-3</v>
      </c>
      <c r="U378" s="57">
        <v>6.8865740740740736E-3</v>
      </c>
      <c r="V378" s="57"/>
      <c r="W378" s="59">
        <f t="shared" si="86"/>
        <v>6.5972222222222222E-3</v>
      </c>
      <c r="X378" s="57"/>
      <c r="Y378" s="57"/>
      <c r="Z378" s="59">
        <f t="shared" si="84"/>
        <v>6.5972222222222222E-3</v>
      </c>
      <c r="AA378" s="57"/>
      <c r="AB378" s="57"/>
      <c r="AC378" s="59">
        <f t="shared" si="76"/>
        <v>6.5972222222222222E-3</v>
      </c>
      <c r="AD378" s="57"/>
      <c r="AE378" s="57"/>
      <c r="AF378" s="59"/>
    </row>
    <row r="379" spans="1:32">
      <c r="A379" s="24"/>
      <c r="B379" s="26" t="s">
        <v>21</v>
      </c>
      <c r="C379" s="26" t="s">
        <v>451</v>
      </c>
      <c r="D379" s="50">
        <v>9.07</v>
      </c>
      <c r="E379" s="51"/>
      <c r="F379" s="50">
        <v>9.07</v>
      </c>
      <c r="G379" s="52"/>
      <c r="H379" s="50">
        <v>9.07</v>
      </c>
      <c r="I379" s="53"/>
      <c r="J379" s="50">
        <v>9.07</v>
      </c>
      <c r="K379" s="53"/>
      <c r="L379" s="50">
        <v>9.07</v>
      </c>
      <c r="M379" s="57"/>
      <c r="N379" s="55">
        <v>6.3310185185185197E-3</v>
      </c>
      <c r="O379" s="57"/>
      <c r="P379" s="57"/>
      <c r="Q379" s="59">
        <f t="shared" si="87"/>
        <v>6.3310185185185197E-3</v>
      </c>
      <c r="R379" s="57"/>
      <c r="S379" s="57"/>
      <c r="T379" s="59">
        <f t="shared" si="85"/>
        <v>6.3310185185185197E-3</v>
      </c>
      <c r="U379" s="57"/>
      <c r="V379" s="57"/>
      <c r="W379" s="59">
        <f t="shared" si="86"/>
        <v>6.3310185185185197E-3</v>
      </c>
      <c r="X379" s="57"/>
      <c r="Y379" s="57"/>
      <c r="Z379" s="59">
        <f t="shared" si="84"/>
        <v>6.3310185185185197E-3</v>
      </c>
      <c r="AA379" s="57"/>
      <c r="AB379" s="57"/>
      <c r="AC379" s="59">
        <f t="shared" si="76"/>
        <v>6.3310185185185197E-3</v>
      </c>
      <c r="AD379" s="57"/>
      <c r="AE379" s="57"/>
      <c r="AF379" s="59"/>
    </row>
    <row r="380" spans="1:32">
      <c r="A380" s="24" t="s">
        <v>326</v>
      </c>
      <c r="B380" s="26" t="s">
        <v>233</v>
      </c>
      <c r="C380" s="26" t="s">
        <v>451</v>
      </c>
      <c r="D380" s="50"/>
      <c r="E380" s="51"/>
      <c r="F380" s="50" t="s">
        <v>455</v>
      </c>
      <c r="G380" s="52"/>
      <c r="H380" s="50"/>
      <c r="I380" s="53"/>
      <c r="J380" s="50" t="s">
        <v>455</v>
      </c>
      <c r="K380" s="53"/>
      <c r="L380" s="50"/>
      <c r="M380" s="57"/>
      <c r="N380" s="55"/>
      <c r="O380" s="57"/>
      <c r="P380" s="57"/>
      <c r="Q380" s="59" t="str">
        <f t="shared" si="87"/>
        <v/>
      </c>
      <c r="R380" s="57"/>
      <c r="S380" s="57"/>
      <c r="T380" s="59" t="str">
        <f t="shared" si="85"/>
        <v/>
      </c>
      <c r="U380" s="57"/>
      <c r="V380" s="57"/>
      <c r="W380" s="59" t="str">
        <f t="shared" si="86"/>
        <v/>
      </c>
      <c r="X380" s="57"/>
      <c r="Y380" s="57"/>
      <c r="Z380" s="59" t="str">
        <f t="shared" si="84"/>
        <v/>
      </c>
      <c r="AA380" s="57"/>
      <c r="AB380" s="57"/>
      <c r="AC380" s="59" t="str">
        <f t="shared" si="76"/>
        <v/>
      </c>
      <c r="AD380" s="57"/>
      <c r="AE380" s="57"/>
      <c r="AF380" s="59"/>
    </row>
    <row r="381" spans="1:32">
      <c r="A381" s="24"/>
      <c r="B381" s="26" t="s">
        <v>26</v>
      </c>
      <c r="C381" s="26" t="s">
        <v>451</v>
      </c>
      <c r="D381" s="50"/>
      <c r="E381" s="51"/>
      <c r="F381" s="50" t="s">
        <v>455</v>
      </c>
      <c r="G381" s="52"/>
      <c r="H381" s="50"/>
      <c r="I381" s="53"/>
      <c r="J381" s="50" t="s">
        <v>455</v>
      </c>
      <c r="K381" s="53"/>
      <c r="L381" s="50"/>
      <c r="M381" s="57"/>
      <c r="N381" s="55"/>
      <c r="O381" s="57"/>
      <c r="P381" s="57"/>
      <c r="Q381" s="59" t="str">
        <f t="shared" si="87"/>
        <v/>
      </c>
      <c r="R381" s="57"/>
      <c r="S381" s="57"/>
      <c r="T381" s="59" t="str">
        <f t="shared" si="85"/>
        <v/>
      </c>
      <c r="U381" s="57"/>
      <c r="V381" s="57"/>
      <c r="W381" s="59" t="str">
        <f t="shared" si="86"/>
        <v/>
      </c>
      <c r="X381" s="57"/>
      <c r="Y381" s="57"/>
      <c r="Z381" s="59" t="str">
        <f t="shared" si="84"/>
        <v/>
      </c>
      <c r="AA381" s="57"/>
      <c r="AB381" s="57"/>
      <c r="AC381" s="59" t="str">
        <f t="shared" si="76"/>
        <v/>
      </c>
      <c r="AD381" s="57"/>
      <c r="AE381" s="57"/>
      <c r="AF381" s="59"/>
    </row>
    <row r="382" spans="1:32">
      <c r="A382" s="24"/>
      <c r="B382" s="26" t="s">
        <v>32</v>
      </c>
      <c r="C382" s="26" t="s">
        <v>451</v>
      </c>
      <c r="D382" s="50"/>
      <c r="E382" s="51"/>
      <c r="F382" s="50" t="s">
        <v>455</v>
      </c>
      <c r="G382" s="52"/>
      <c r="H382" s="50"/>
      <c r="I382" s="53"/>
      <c r="J382" s="50" t="s">
        <v>455</v>
      </c>
      <c r="K382" s="53"/>
      <c r="L382" s="50"/>
      <c r="M382" s="57"/>
      <c r="N382" s="55"/>
      <c r="O382" s="57"/>
      <c r="P382" s="57"/>
      <c r="Q382" s="59" t="str">
        <f t="shared" si="87"/>
        <v/>
      </c>
      <c r="R382" s="57"/>
      <c r="S382" s="57"/>
      <c r="T382" s="59" t="str">
        <f t="shared" si="85"/>
        <v/>
      </c>
      <c r="U382" s="57"/>
      <c r="V382" s="57"/>
      <c r="W382" s="59" t="str">
        <f t="shared" si="86"/>
        <v/>
      </c>
      <c r="X382" s="57"/>
      <c r="Y382" s="57"/>
      <c r="Z382" s="59" t="str">
        <f t="shared" si="84"/>
        <v/>
      </c>
      <c r="AA382" s="57"/>
      <c r="AB382" s="57"/>
      <c r="AC382" s="59" t="str">
        <f t="shared" si="76"/>
        <v/>
      </c>
      <c r="AD382" s="57"/>
      <c r="AE382" s="57"/>
      <c r="AF382" s="59"/>
    </row>
    <row r="383" spans="1:32">
      <c r="A383" s="24"/>
      <c r="B383" s="26" t="s">
        <v>38</v>
      </c>
      <c r="C383" s="26" t="s">
        <v>451</v>
      </c>
      <c r="D383" s="50"/>
      <c r="E383" s="51"/>
      <c r="F383" s="50" t="s">
        <v>455</v>
      </c>
      <c r="G383" s="52"/>
      <c r="H383" s="50"/>
      <c r="I383" s="53"/>
      <c r="J383" s="50" t="s">
        <v>455</v>
      </c>
      <c r="K383" s="53"/>
      <c r="L383" s="50"/>
      <c r="M383" s="57"/>
      <c r="N383" s="55"/>
      <c r="O383" s="57"/>
      <c r="P383" s="57"/>
      <c r="Q383" s="59" t="str">
        <f t="shared" si="87"/>
        <v/>
      </c>
      <c r="R383" s="57"/>
      <c r="S383" s="57"/>
      <c r="T383" s="59" t="str">
        <f t="shared" si="85"/>
        <v/>
      </c>
      <c r="U383" s="57"/>
      <c r="V383" s="57"/>
      <c r="W383" s="59" t="str">
        <f t="shared" si="86"/>
        <v/>
      </c>
      <c r="X383" s="57"/>
      <c r="Y383" s="57"/>
      <c r="Z383" s="59" t="str">
        <f t="shared" si="84"/>
        <v/>
      </c>
      <c r="AA383" s="57"/>
      <c r="AB383" s="57"/>
      <c r="AC383" s="59" t="str">
        <f t="shared" si="76"/>
        <v/>
      </c>
      <c r="AD383" s="57"/>
      <c r="AE383" s="57"/>
      <c r="AF383" s="59"/>
    </row>
    <row r="384" spans="1:32">
      <c r="A384" s="24"/>
      <c r="B384" s="26" t="s">
        <v>45</v>
      </c>
      <c r="C384" s="26" t="s">
        <v>450</v>
      </c>
      <c r="D384" s="50">
        <v>9.14</v>
      </c>
      <c r="E384" s="51"/>
      <c r="F384" s="50">
        <v>9.14</v>
      </c>
      <c r="G384" s="52"/>
      <c r="H384" s="50">
        <v>9.14</v>
      </c>
      <c r="I384" s="53"/>
      <c r="J384" s="50">
        <v>9.14</v>
      </c>
      <c r="K384" s="53"/>
      <c r="L384" s="50">
        <v>9.14</v>
      </c>
      <c r="M384" s="57"/>
      <c r="N384" s="55">
        <v>6.4120370370370364E-3</v>
      </c>
      <c r="O384" s="57">
        <v>6.4699074074074069E-3</v>
      </c>
      <c r="P384" s="57"/>
      <c r="Q384" s="59">
        <f t="shared" si="87"/>
        <v>6.4120370370370364E-3</v>
      </c>
      <c r="R384" s="57">
        <v>6.2731481481481484E-3</v>
      </c>
      <c r="S384" s="57"/>
      <c r="T384" s="59">
        <f t="shared" si="85"/>
        <v>6.2731481481481484E-3</v>
      </c>
      <c r="U384" s="57"/>
      <c r="V384" s="57"/>
      <c r="W384" s="59">
        <f t="shared" si="86"/>
        <v>6.2731481481481484E-3</v>
      </c>
      <c r="X384" s="57"/>
      <c r="Y384" s="57"/>
      <c r="Z384" s="59">
        <f t="shared" si="84"/>
        <v>6.2731481481481484E-3</v>
      </c>
      <c r="AA384" s="57"/>
      <c r="AB384" s="57"/>
      <c r="AC384" s="59">
        <f t="shared" si="76"/>
        <v>6.2731481481481484E-3</v>
      </c>
      <c r="AD384" s="57"/>
      <c r="AE384" s="57"/>
      <c r="AF384" s="59"/>
    </row>
    <row r="385" spans="1:32">
      <c r="A385" s="24"/>
      <c r="B385" s="26" t="s">
        <v>504</v>
      </c>
      <c r="C385" s="26"/>
      <c r="D385" s="50"/>
      <c r="E385" s="51"/>
      <c r="F385" s="50"/>
      <c r="G385" s="52"/>
      <c r="H385" s="50"/>
      <c r="I385" s="53"/>
      <c r="J385" s="50"/>
      <c r="K385" s="53"/>
      <c r="L385" s="50"/>
      <c r="M385" s="57">
        <v>6.8634259259259256E-3</v>
      </c>
      <c r="N385" s="55">
        <v>6.8634259259259256E-3</v>
      </c>
      <c r="O385" s="57">
        <v>6.2499999999999995E-3</v>
      </c>
      <c r="P385" s="57"/>
      <c r="Q385" s="59">
        <f t="shared" si="87"/>
        <v>6.2499999999999995E-3</v>
      </c>
      <c r="R385" s="57">
        <v>6.2962962962962964E-3</v>
      </c>
      <c r="S385" s="57"/>
      <c r="T385" s="59">
        <f t="shared" si="85"/>
        <v>6.2499999999999995E-3</v>
      </c>
      <c r="U385" s="57"/>
      <c r="V385" s="57"/>
      <c r="W385" s="59">
        <f t="shared" si="86"/>
        <v>6.2499999999999995E-3</v>
      </c>
      <c r="X385" s="57"/>
      <c r="Y385" s="57"/>
      <c r="Z385" s="59">
        <f t="shared" si="84"/>
        <v>6.2499999999999995E-3</v>
      </c>
      <c r="AA385" s="57"/>
      <c r="AB385" s="57"/>
      <c r="AC385" s="59">
        <f t="shared" si="76"/>
        <v>6.2499999999999995E-3</v>
      </c>
      <c r="AD385" s="57"/>
      <c r="AE385" s="57"/>
      <c r="AF385" s="59"/>
    </row>
    <row r="386" spans="1:32">
      <c r="A386" s="24" t="s">
        <v>326</v>
      </c>
      <c r="B386" s="26" t="s">
        <v>52</v>
      </c>
      <c r="C386" s="26"/>
      <c r="D386" s="50">
        <v>8.02</v>
      </c>
      <c r="E386" s="51"/>
      <c r="F386" s="50">
        <v>8.02</v>
      </c>
      <c r="G386" s="52"/>
      <c r="H386" s="50">
        <v>8.02</v>
      </c>
      <c r="I386" s="53">
        <v>8.31</v>
      </c>
      <c r="J386" s="50">
        <v>8.02</v>
      </c>
      <c r="K386" s="53"/>
      <c r="L386" s="50">
        <v>8.02</v>
      </c>
      <c r="M386" s="57"/>
      <c r="N386" s="55">
        <v>5.5787037037037038E-3</v>
      </c>
      <c r="O386" s="57"/>
      <c r="P386" s="57"/>
      <c r="Q386" s="59">
        <f t="shared" si="87"/>
        <v>5.5787037037037038E-3</v>
      </c>
      <c r="R386" s="57"/>
      <c r="S386" s="57"/>
      <c r="T386" s="59">
        <f t="shared" si="85"/>
        <v>5.5787037037037038E-3</v>
      </c>
      <c r="U386" s="57"/>
      <c r="V386" s="57"/>
      <c r="W386" s="59">
        <f t="shared" si="86"/>
        <v>5.5787037037037038E-3</v>
      </c>
      <c r="X386" s="57"/>
      <c r="Y386" s="57"/>
      <c r="Z386" s="59">
        <f t="shared" si="84"/>
        <v>5.5787037037037038E-3</v>
      </c>
      <c r="AA386" s="57"/>
      <c r="AB386" s="57"/>
      <c r="AC386" s="59">
        <f t="shared" si="76"/>
        <v>5.5787037037037038E-3</v>
      </c>
      <c r="AD386" s="57"/>
      <c r="AE386" s="57"/>
      <c r="AF386" s="59"/>
    </row>
    <row r="387" spans="1:32">
      <c r="A387" s="24" t="s">
        <v>326</v>
      </c>
      <c r="B387" s="26" t="s">
        <v>57</v>
      </c>
      <c r="C387" s="26" t="s">
        <v>450</v>
      </c>
      <c r="D387" s="50">
        <v>8.16</v>
      </c>
      <c r="E387" s="51"/>
      <c r="F387" s="50">
        <v>8.16</v>
      </c>
      <c r="G387" s="52"/>
      <c r="H387" s="50">
        <v>8.16</v>
      </c>
      <c r="I387" s="53">
        <v>8.01</v>
      </c>
      <c r="J387" s="50">
        <v>8.01</v>
      </c>
      <c r="K387" s="53">
        <v>8.0500000000000007</v>
      </c>
      <c r="L387" s="50">
        <v>8.01</v>
      </c>
      <c r="M387" s="57">
        <v>6.053240740740741E-3</v>
      </c>
      <c r="N387" s="55">
        <v>5.5671296296296302E-3</v>
      </c>
      <c r="O387" s="57"/>
      <c r="P387" s="57"/>
      <c r="Q387" s="59">
        <f t="shared" si="87"/>
        <v>5.5671296296296302E-3</v>
      </c>
      <c r="R387" s="57">
        <v>5.8449074074074072E-3</v>
      </c>
      <c r="S387" s="57"/>
      <c r="T387" s="59">
        <f t="shared" si="85"/>
        <v>5.5671296296296302E-3</v>
      </c>
      <c r="U387" s="57"/>
      <c r="V387" s="57"/>
      <c r="W387" s="59">
        <f t="shared" si="86"/>
        <v>5.5671296296296302E-3</v>
      </c>
      <c r="X387" s="57">
        <v>5.5671296296296302E-3</v>
      </c>
      <c r="Y387" s="57"/>
      <c r="Z387" s="59">
        <f t="shared" si="84"/>
        <v>5.5671296296296302E-3</v>
      </c>
      <c r="AA387" s="57">
        <v>5.4745370370370373E-3</v>
      </c>
      <c r="AB387" s="57"/>
      <c r="AC387" s="59">
        <f t="shared" ref="AC387:AC450" si="88">IF(MIN(IF(ISBLANK(Z387),AA387,Z387),IF(ISBLANK(AA387),Z387,AA387))=0,"",MIN(IF(ISBLANK(Z387),AA387,Z387),IF(ISBLANK(AA387),Z387,AA387)))</f>
        <v>5.4745370370370373E-3</v>
      </c>
      <c r="AD387" s="57">
        <v>5.7407407407407416E-3</v>
      </c>
      <c r="AE387" s="57"/>
      <c r="AF387" s="59"/>
    </row>
    <row r="388" spans="1:32">
      <c r="A388" s="24" t="s">
        <v>326</v>
      </c>
      <c r="B388" s="26" t="s">
        <v>62</v>
      </c>
      <c r="C388" s="26" t="s">
        <v>450</v>
      </c>
      <c r="D388" s="50">
        <v>6.52</v>
      </c>
      <c r="E388" s="51" t="s">
        <v>308</v>
      </c>
      <c r="F388" s="50">
        <v>6.52</v>
      </c>
      <c r="G388" s="52"/>
      <c r="H388" s="50">
        <v>6.52</v>
      </c>
      <c r="I388" s="53"/>
      <c r="J388" s="50">
        <v>6.52</v>
      </c>
      <c r="K388" s="53"/>
      <c r="L388" s="50">
        <v>6.52</v>
      </c>
      <c r="M388" s="57">
        <v>5.0231481481481481E-3</v>
      </c>
      <c r="N388" s="55">
        <v>4.7685185185185183E-3</v>
      </c>
      <c r="O388" s="57">
        <v>4.7337962962962958E-3</v>
      </c>
      <c r="P388" s="57"/>
      <c r="Q388" s="59">
        <f t="shared" si="87"/>
        <v>4.7337962962962958E-3</v>
      </c>
      <c r="R388" s="57">
        <v>4.7916666666666672E-3</v>
      </c>
      <c r="S388" s="57"/>
      <c r="T388" s="59">
        <f t="shared" si="85"/>
        <v>4.7337962962962958E-3</v>
      </c>
      <c r="U388" s="57">
        <v>4.6527777777777774E-3</v>
      </c>
      <c r="V388" s="57"/>
      <c r="W388" s="59">
        <f t="shared" si="86"/>
        <v>4.6527777777777774E-3</v>
      </c>
      <c r="X388" s="57"/>
      <c r="Y388" s="57"/>
      <c r="Z388" s="59">
        <f t="shared" si="84"/>
        <v>4.6527777777777774E-3</v>
      </c>
      <c r="AA388" s="57">
        <v>4.7569444444444447E-3</v>
      </c>
      <c r="AB388" s="57"/>
      <c r="AC388" s="59">
        <f t="shared" si="88"/>
        <v>4.6527777777777774E-3</v>
      </c>
      <c r="AD388" s="57">
        <v>4.6874999999999998E-3</v>
      </c>
      <c r="AE388" s="57"/>
      <c r="AF388" s="59"/>
    </row>
    <row r="389" spans="1:32">
      <c r="A389" s="24" t="s">
        <v>326</v>
      </c>
      <c r="B389" s="26" t="s">
        <v>529</v>
      </c>
      <c r="C389" s="26" t="s">
        <v>450</v>
      </c>
      <c r="D389" s="50"/>
      <c r="E389" s="51"/>
      <c r="F389" s="50"/>
      <c r="G389" s="52"/>
      <c r="H389" s="50"/>
      <c r="I389" s="53"/>
      <c r="J389" s="50"/>
      <c r="K389" s="53"/>
      <c r="L389" s="50"/>
      <c r="M389" s="57">
        <v>6.5046296296296302E-3</v>
      </c>
      <c r="N389" s="55">
        <v>6.5046296296296302E-3</v>
      </c>
      <c r="O389" s="57"/>
      <c r="P389" s="57"/>
      <c r="Q389" s="59">
        <f t="shared" si="87"/>
        <v>6.5046296296296302E-3</v>
      </c>
      <c r="R389" s="57"/>
      <c r="S389" s="57"/>
      <c r="T389" s="59">
        <f t="shared" si="85"/>
        <v>6.5046296296296302E-3</v>
      </c>
      <c r="U389" s="57"/>
      <c r="V389" s="57"/>
      <c r="W389" s="59">
        <f t="shared" si="86"/>
        <v>6.5046296296296302E-3</v>
      </c>
      <c r="X389" s="57"/>
      <c r="Y389" s="57"/>
      <c r="Z389" s="59">
        <f t="shared" si="84"/>
        <v>6.5046296296296302E-3</v>
      </c>
      <c r="AA389" s="57"/>
      <c r="AB389" s="57"/>
      <c r="AC389" s="59">
        <f t="shared" si="88"/>
        <v>6.5046296296296302E-3</v>
      </c>
      <c r="AD389" s="57"/>
      <c r="AE389" s="57"/>
      <c r="AF389" s="59"/>
    </row>
    <row r="390" spans="1:32">
      <c r="A390" s="24" t="s">
        <v>326</v>
      </c>
      <c r="B390" s="26" t="s">
        <v>412</v>
      </c>
      <c r="C390" s="26" t="s">
        <v>450</v>
      </c>
      <c r="D390" s="50"/>
      <c r="E390" s="51"/>
      <c r="F390" s="50"/>
      <c r="G390" s="52"/>
      <c r="H390" s="50"/>
      <c r="I390" s="53"/>
      <c r="J390" s="50" t="s">
        <v>455</v>
      </c>
      <c r="K390" s="53"/>
      <c r="L390" s="50"/>
      <c r="M390" s="57"/>
      <c r="N390" s="55"/>
      <c r="O390" s="57"/>
      <c r="P390" s="57"/>
      <c r="Q390" s="59" t="str">
        <f t="shared" si="87"/>
        <v/>
      </c>
      <c r="R390" s="57"/>
      <c r="S390" s="57"/>
      <c r="T390" s="59" t="str">
        <f t="shared" si="85"/>
        <v/>
      </c>
      <c r="U390" s="57"/>
      <c r="V390" s="57"/>
      <c r="W390" s="59" t="str">
        <f t="shared" si="86"/>
        <v/>
      </c>
      <c r="X390" s="57"/>
      <c r="Y390" s="57"/>
      <c r="Z390" s="59" t="str">
        <f t="shared" si="84"/>
        <v/>
      </c>
      <c r="AA390" s="57"/>
      <c r="AB390" s="57"/>
      <c r="AC390" s="59" t="str">
        <f t="shared" si="88"/>
        <v/>
      </c>
      <c r="AD390" s="57"/>
      <c r="AE390" s="57"/>
      <c r="AF390" s="59"/>
    </row>
    <row r="391" spans="1:32">
      <c r="A391" s="24"/>
      <c r="B391" s="26" t="s">
        <v>570</v>
      </c>
      <c r="C391" s="26"/>
      <c r="D391" s="50"/>
      <c r="E391" s="51"/>
      <c r="F391" s="50"/>
      <c r="G391" s="52"/>
      <c r="H391" s="50"/>
      <c r="I391" s="53"/>
      <c r="J391" s="50"/>
      <c r="K391" s="53"/>
      <c r="L391" s="50"/>
      <c r="M391" s="57"/>
      <c r="N391" s="55"/>
      <c r="O391" s="57">
        <v>5.2662037037037035E-3</v>
      </c>
      <c r="P391" s="57"/>
      <c r="Q391" s="59">
        <f t="shared" si="87"/>
        <v>5.2662037037037035E-3</v>
      </c>
      <c r="R391" s="57"/>
      <c r="S391" s="57"/>
      <c r="T391" s="59">
        <f t="shared" si="85"/>
        <v>5.2662037037037035E-3</v>
      </c>
      <c r="U391" s="57"/>
      <c r="V391" s="57"/>
      <c r="W391" s="59">
        <f t="shared" si="86"/>
        <v>5.2662037037037035E-3</v>
      </c>
      <c r="X391" s="57"/>
      <c r="Y391" s="57"/>
      <c r="Z391" s="59">
        <f t="shared" si="84"/>
        <v>5.2662037037037035E-3</v>
      </c>
      <c r="AA391" s="57"/>
      <c r="AB391" s="57"/>
      <c r="AC391" s="59">
        <f t="shared" si="88"/>
        <v>5.2662037037037035E-3</v>
      </c>
      <c r="AD391" s="57"/>
      <c r="AE391" s="57"/>
      <c r="AF391" s="59"/>
    </row>
    <row r="392" spans="1:32">
      <c r="A392" s="24" t="s">
        <v>326</v>
      </c>
      <c r="B392" s="26" t="s">
        <v>514</v>
      </c>
      <c r="C392" s="26"/>
      <c r="D392" s="50"/>
      <c r="E392" s="51"/>
      <c r="F392" s="50"/>
      <c r="G392" s="52"/>
      <c r="H392" s="50"/>
      <c r="I392" s="53"/>
      <c r="J392" s="50"/>
      <c r="K392" s="53"/>
      <c r="L392" s="50"/>
      <c r="M392" s="57"/>
      <c r="N392" s="55"/>
      <c r="O392" s="57"/>
      <c r="P392" s="57"/>
      <c r="Q392" s="59" t="str">
        <f t="shared" si="87"/>
        <v/>
      </c>
      <c r="R392" s="57"/>
      <c r="S392" s="57"/>
      <c r="T392" s="59" t="str">
        <f t="shared" si="85"/>
        <v/>
      </c>
      <c r="U392" s="57"/>
      <c r="V392" s="57"/>
      <c r="W392" s="59" t="str">
        <f t="shared" si="86"/>
        <v/>
      </c>
      <c r="X392" s="57"/>
      <c r="Y392" s="57"/>
      <c r="Z392" s="59" t="str">
        <f t="shared" si="84"/>
        <v/>
      </c>
      <c r="AA392" s="57"/>
      <c r="AB392" s="57"/>
      <c r="AC392" s="59" t="str">
        <f t="shared" si="88"/>
        <v/>
      </c>
      <c r="AD392" s="57"/>
      <c r="AE392" s="57"/>
      <c r="AF392" s="59"/>
    </row>
    <row r="393" spans="1:32">
      <c r="A393" s="24" t="s">
        <v>326</v>
      </c>
      <c r="B393" s="26" t="s">
        <v>616</v>
      </c>
      <c r="C393" s="26"/>
      <c r="D393" s="50"/>
      <c r="E393" s="51"/>
      <c r="F393" s="50"/>
      <c r="G393" s="52"/>
      <c r="H393" s="50"/>
      <c r="I393" s="53"/>
      <c r="J393" s="50"/>
      <c r="K393" s="53"/>
      <c r="L393" s="50"/>
      <c r="M393" s="57"/>
      <c r="N393" s="55"/>
      <c r="O393" s="57"/>
      <c r="P393" s="57"/>
      <c r="Q393" s="59"/>
      <c r="R393" s="57"/>
      <c r="S393" s="57"/>
      <c r="T393" s="59" t="str">
        <f t="shared" si="85"/>
        <v/>
      </c>
      <c r="U393" s="57"/>
      <c r="V393" s="57"/>
      <c r="W393" s="59" t="str">
        <f t="shared" si="86"/>
        <v/>
      </c>
      <c r="X393" s="57"/>
      <c r="Y393" s="57"/>
      <c r="Z393" s="59" t="str">
        <f t="shared" si="84"/>
        <v/>
      </c>
      <c r="AA393" s="57">
        <v>8.1712962962962963E-3</v>
      </c>
      <c r="AB393" s="57"/>
      <c r="AC393" s="59">
        <f t="shared" si="88"/>
        <v>8.1712962962962963E-3</v>
      </c>
      <c r="AD393" s="57"/>
      <c r="AE393" s="57"/>
      <c r="AF393" s="59"/>
    </row>
    <row r="394" spans="1:32">
      <c r="A394" s="24"/>
      <c r="B394" s="26" t="s">
        <v>583</v>
      </c>
      <c r="C394" s="26"/>
      <c r="D394" s="50"/>
      <c r="E394" s="51"/>
      <c r="F394" s="50"/>
      <c r="G394" s="52"/>
      <c r="H394" s="50"/>
      <c r="I394" s="53"/>
      <c r="J394" s="50"/>
      <c r="K394" s="53"/>
      <c r="L394" s="50"/>
      <c r="M394" s="57"/>
      <c r="N394" s="55"/>
      <c r="O394" s="57"/>
      <c r="P394" s="57"/>
      <c r="Q394" s="59"/>
      <c r="R394" s="57"/>
      <c r="S394" s="57"/>
      <c r="T394" s="59" t="str">
        <f t="shared" si="85"/>
        <v/>
      </c>
      <c r="U394" s="57"/>
      <c r="V394" s="57"/>
      <c r="W394" s="59" t="str">
        <f t="shared" si="86"/>
        <v/>
      </c>
      <c r="X394" s="57"/>
      <c r="Y394" s="57"/>
      <c r="Z394" s="59" t="str">
        <f t="shared" si="84"/>
        <v/>
      </c>
      <c r="AA394" s="57"/>
      <c r="AB394" s="57"/>
      <c r="AC394" s="59" t="str">
        <f t="shared" si="88"/>
        <v/>
      </c>
      <c r="AD394" s="57"/>
      <c r="AE394" s="57"/>
      <c r="AF394" s="59"/>
    </row>
    <row r="395" spans="1:32">
      <c r="A395" s="24" t="s">
        <v>326</v>
      </c>
      <c r="B395" s="26" t="s">
        <v>669</v>
      </c>
      <c r="C395" s="26"/>
      <c r="D395" s="50"/>
      <c r="E395" s="51"/>
      <c r="F395" s="50"/>
      <c r="G395" s="52"/>
      <c r="H395" s="50"/>
      <c r="I395" s="53"/>
      <c r="J395" s="50"/>
      <c r="K395" s="53"/>
      <c r="L395" s="50"/>
      <c r="M395" s="57"/>
      <c r="N395" s="55"/>
      <c r="O395" s="57"/>
      <c r="P395" s="57"/>
      <c r="Q395" s="59"/>
      <c r="R395" s="57"/>
      <c r="S395" s="57"/>
      <c r="T395" s="59"/>
      <c r="U395" s="57"/>
      <c r="V395" s="57"/>
      <c r="W395" s="59"/>
      <c r="X395" s="57"/>
      <c r="Y395" s="57"/>
      <c r="Z395" s="59" t="str">
        <f t="shared" si="84"/>
        <v/>
      </c>
      <c r="AA395" s="57"/>
      <c r="AB395" s="57"/>
      <c r="AC395" s="59" t="str">
        <f t="shared" si="88"/>
        <v/>
      </c>
      <c r="AD395" s="57"/>
      <c r="AE395" s="57"/>
      <c r="AF395" s="59"/>
    </row>
    <row r="396" spans="1:32">
      <c r="A396" s="24"/>
      <c r="B396" s="26" t="s">
        <v>413</v>
      </c>
      <c r="C396" s="26" t="s">
        <v>451</v>
      </c>
      <c r="D396" s="50"/>
      <c r="E396" s="51"/>
      <c r="F396" s="50"/>
      <c r="G396" s="52"/>
      <c r="H396" s="50"/>
      <c r="I396" s="53">
        <v>10.029999999999999</v>
      </c>
      <c r="J396" s="50">
        <v>10.029999999999999</v>
      </c>
      <c r="K396" s="53"/>
      <c r="L396" s="50">
        <v>10.029999999999999</v>
      </c>
      <c r="M396" s="57">
        <v>7.8356481481481489E-3</v>
      </c>
      <c r="N396" s="55">
        <v>6.9791666666666674E-3</v>
      </c>
      <c r="O396" s="57"/>
      <c r="P396" s="57"/>
      <c r="Q396" s="59">
        <f>IF(MIN(IF(ISBLANK(O396),N396,O396),IF(ISBLANK(N396),O396,N396))=0,"",MIN(IF(ISBLANK(O396),N396,O396),IF(ISBLANK(N396),O396,N396)))</f>
        <v>6.9791666666666674E-3</v>
      </c>
      <c r="R396" s="57"/>
      <c r="S396" s="57"/>
      <c r="T396" s="59">
        <f>IF(MIN(IF(ISBLANK(R396),Q396,R396),IF(ISBLANK(Q396),R396,Q396))=0,"",MIN(IF(ISBLANK(R396),Q396,R396),IF(ISBLANK(Q396),R396,Q396)))</f>
        <v>6.9791666666666674E-3</v>
      </c>
      <c r="U396" s="57"/>
      <c r="V396" s="57"/>
      <c r="W396" s="59">
        <f>IF(MIN(IF(ISBLANK(U396),T396,U396),IF(ISBLANK(T396),U396,T396))=0,"",MIN(IF(ISBLANK(U396),T396,U396),IF(ISBLANK(T396),U396,T396)))</f>
        <v>6.9791666666666674E-3</v>
      </c>
      <c r="X396" s="57"/>
      <c r="Y396" s="57"/>
      <c r="Z396" s="59">
        <f t="shared" si="84"/>
        <v>6.9791666666666674E-3</v>
      </c>
      <c r="AA396" s="57"/>
      <c r="AB396" s="57"/>
      <c r="AC396" s="59">
        <f t="shared" si="88"/>
        <v>6.9791666666666674E-3</v>
      </c>
      <c r="AD396" s="57"/>
      <c r="AE396" s="57"/>
      <c r="AF396" s="59"/>
    </row>
    <row r="397" spans="1:32">
      <c r="A397" s="24"/>
      <c r="B397" s="26" t="s">
        <v>414</v>
      </c>
      <c r="C397" s="26" t="s">
        <v>450</v>
      </c>
      <c r="D397" s="50"/>
      <c r="E397" s="51"/>
      <c r="F397" s="50"/>
      <c r="G397" s="52"/>
      <c r="H397" s="50"/>
      <c r="I397" s="53"/>
      <c r="J397" s="50" t="s">
        <v>455</v>
      </c>
      <c r="K397" s="53"/>
      <c r="L397" s="50"/>
      <c r="M397" s="57"/>
      <c r="N397" s="55"/>
      <c r="O397" s="57"/>
      <c r="P397" s="57"/>
      <c r="Q397" s="59" t="str">
        <f>IF(MIN(IF(ISBLANK(O397),N397,O397),IF(ISBLANK(N397),O397,N397))=0,"",MIN(IF(ISBLANK(O397),N397,O397),IF(ISBLANK(N397),O397,N397)))</f>
        <v/>
      </c>
      <c r="R397" s="57"/>
      <c r="S397" s="57"/>
      <c r="T397" s="59" t="str">
        <f>IF(MIN(IF(ISBLANK(R397),Q397,R397),IF(ISBLANK(Q397),R397,Q397))=0,"",MIN(IF(ISBLANK(R397),Q397,R397),IF(ISBLANK(Q397),R397,Q397)))</f>
        <v/>
      </c>
      <c r="U397" s="57"/>
      <c r="V397" s="57"/>
      <c r="W397" s="59" t="str">
        <f>IF(MIN(IF(ISBLANK(U397),T397,U397),IF(ISBLANK(T397),U397,T397))=0,"",MIN(IF(ISBLANK(U397),T397,U397),IF(ISBLANK(T397),U397,T397)))</f>
        <v/>
      </c>
      <c r="X397" s="57"/>
      <c r="Y397" s="57"/>
      <c r="Z397" s="59" t="str">
        <f t="shared" si="84"/>
        <v/>
      </c>
      <c r="AA397" s="57"/>
      <c r="AB397" s="57"/>
      <c r="AC397" s="59" t="str">
        <f t="shared" si="88"/>
        <v/>
      </c>
      <c r="AD397" s="57"/>
      <c r="AE397" s="57"/>
      <c r="AF397" s="59"/>
    </row>
    <row r="398" spans="1:32">
      <c r="A398" s="24" t="s">
        <v>326</v>
      </c>
      <c r="B398" s="26" t="s">
        <v>722</v>
      </c>
      <c r="C398" s="26"/>
      <c r="D398" s="50"/>
      <c r="E398" s="51"/>
      <c r="F398" s="50"/>
      <c r="G398" s="52"/>
      <c r="H398" s="50"/>
      <c r="I398" s="53"/>
      <c r="J398" s="50"/>
      <c r="K398" s="53"/>
      <c r="L398" s="50"/>
      <c r="M398" s="57"/>
      <c r="N398" s="55"/>
      <c r="O398" s="57"/>
      <c r="P398" s="57"/>
      <c r="Q398" s="59"/>
      <c r="R398" s="57"/>
      <c r="S398" s="57"/>
      <c r="T398" s="59"/>
      <c r="U398" s="57"/>
      <c r="V398" s="57"/>
      <c r="W398" s="59"/>
      <c r="X398" s="57"/>
      <c r="Y398" s="57"/>
      <c r="Z398" s="59"/>
      <c r="AA398" s="57">
        <v>7.083333333333333E-3</v>
      </c>
      <c r="AB398" s="57"/>
      <c r="AC398" s="59">
        <f t="shared" si="88"/>
        <v>7.083333333333333E-3</v>
      </c>
      <c r="AD398" s="57"/>
      <c r="AE398" s="57"/>
      <c r="AF398" s="59"/>
    </row>
    <row r="399" spans="1:32">
      <c r="A399" s="24"/>
      <c r="B399" s="26" t="s">
        <v>515</v>
      </c>
      <c r="C399" s="26"/>
      <c r="D399" s="50"/>
      <c r="E399" s="51"/>
      <c r="F399" s="50"/>
      <c r="G399" s="52"/>
      <c r="H399" s="50"/>
      <c r="I399" s="53"/>
      <c r="J399" s="50"/>
      <c r="K399" s="53"/>
      <c r="L399" s="50"/>
      <c r="M399" s="57"/>
      <c r="N399" s="55"/>
      <c r="O399" s="57"/>
      <c r="P399" s="57"/>
      <c r="Q399" s="59" t="str">
        <f>IF(MIN(IF(ISBLANK(O399),N399,O399),IF(ISBLANK(N399),O399,N399))=0,"",MIN(IF(ISBLANK(O399),N399,O399),IF(ISBLANK(N399),O399,N399)))</f>
        <v/>
      </c>
      <c r="R399" s="57"/>
      <c r="S399" s="57"/>
      <c r="T399" s="59" t="str">
        <f>IF(MIN(IF(ISBLANK(R399),Q399,R399),IF(ISBLANK(Q399),R399,Q399))=0,"",MIN(IF(ISBLANK(R399),Q399,R399),IF(ISBLANK(Q399),R399,Q399)))</f>
        <v/>
      </c>
      <c r="U399" s="57"/>
      <c r="V399" s="57"/>
      <c r="W399" s="59" t="str">
        <f>IF(MIN(IF(ISBLANK(U399),T399,U399),IF(ISBLANK(T399),U399,T399))=0,"",MIN(IF(ISBLANK(U399),T399,U399),IF(ISBLANK(T399),U399,T399)))</f>
        <v/>
      </c>
      <c r="X399" s="57"/>
      <c r="Y399" s="57"/>
      <c r="Z399" s="59" t="str">
        <f>IF(MIN(IF(ISBLANK(X399),W399,X399),IF(ISBLANK(W399),X399,W399))=0,"",MIN(IF(ISBLANK(X399),W399,X399),IF(ISBLANK(W399),X399,W399)))</f>
        <v/>
      </c>
      <c r="AA399" s="57"/>
      <c r="AB399" s="57"/>
      <c r="AC399" s="59" t="str">
        <f t="shared" si="88"/>
        <v/>
      </c>
      <c r="AD399" s="57"/>
      <c r="AE399" s="57"/>
      <c r="AF399" s="59"/>
    </row>
    <row r="400" spans="1:32">
      <c r="A400" s="24"/>
      <c r="B400" s="26" t="s">
        <v>67</v>
      </c>
      <c r="C400" s="26" t="s">
        <v>451</v>
      </c>
      <c r="D400" s="50"/>
      <c r="E400" s="51"/>
      <c r="F400" s="50" t="s">
        <v>455</v>
      </c>
      <c r="G400" s="52"/>
      <c r="H400" s="50"/>
      <c r="I400" s="53"/>
      <c r="J400" s="50" t="s">
        <v>455</v>
      </c>
      <c r="K400" s="53"/>
      <c r="L400" s="50"/>
      <c r="M400" s="57"/>
      <c r="N400" s="55"/>
      <c r="O400" s="57"/>
      <c r="P400" s="57"/>
      <c r="Q400" s="59" t="str">
        <f>IF(MIN(IF(ISBLANK(O400),N400,O400),IF(ISBLANK(N400),O400,N400))=0,"",MIN(IF(ISBLANK(O400),N400,O400),IF(ISBLANK(N400),O400,N400)))</f>
        <v/>
      </c>
      <c r="R400" s="57"/>
      <c r="S400" s="57"/>
      <c r="T400" s="59" t="str">
        <f>IF(MIN(IF(ISBLANK(R400),Q400,R400),IF(ISBLANK(Q400),R400,Q400))=0,"",MIN(IF(ISBLANK(R400),Q400,R400),IF(ISBLANK(Q400),R400,Q400)))</f>
        <v/>
      </c>
      <c r="U400" s="57"/>
      <c r="V400" s="57"/>
      <c r="W400" s="59" t="str">
        <f>IF(MIN(IF(ISBLANK(U400),T400,U400),IF(ISBLANK(T400),U400,T400))=0,"",MIN(IF(ISBLANK(U400),T400,U400),IF(ISBLANK(T400),U400,T400)))</f>
        <v/>
      </c>
      <c r="X400" s="57"/>
      <c r="Y400" s="57"/>
      <c r="Z400" s="59" t="str">
        <f>IF(MIN(IF(ISBLANK(X400),W400,X400),IF(ISBLANK(W400),X400,W400))=0,"",MIN(IF(ISBLANK(X400),W400,X400),IF(ISBLANK(W400),X400,W400)))</f>
        <v/>
      </c>
      <c r="AA400" s="57"/>
      <c r="AB400" s="57"/>
      <c r="AC400" s="59" t="str">
        <f t="shared" si="88"/>
        <v/>
      </c>
      <c r="AD400" s="57"/>
      <c r="AE400" s="57"/>
      <c r="AF400" s="59"/>
    </row>
    <row r="401" spans="1:32">
      <c r="A401" s="24"/>
      <c r="B401" s="26" t="s">
        <v>72</v>
      </c>
      <c r="C401" s="26" t="s">
        <v>451</v>
      </c>
      <c r="D401" s="50">
        <v>11.25</v>
      </c>
      <c r="E401" s="51"/>
      <c r="F401" s="50">
        <v>11.25</v>
      </c>
      <c r="G401" s="52"/>
      <c r="H401" s="50">
        <v>11.25</v>
      </c>
      <c r="I401" s="53"/>
      <c r="J401" s="50">
        <v>11.25</v>
      </c>
      <c r="K401" s="53"/>
      <c r="L401" s="50">
        <v>11.25</v>
      </c>
      <c r="M401" s="57"/>
      <c r="N401" s="55">
        <v>7.9282407407407409E-3</v>
      </c>
      <c r="O401" s="57"/>
      <c r="P401" s="57"/>
      <c r="Q401" s="59">
        <f>IF(MIN(IF(ISBLANK(O401),N401,O401),IF(ISBLANK(N401),O401,N401))=0,"",MIN(IF(ISBLANK(O401),N401,O401),IF(ISBLANK(N401),O401,N401)))</f>
        <v>7.9282407407407409E-3</v>
      </c>
      <c r="R401" s="57"/>
      <c r="S401" s="57"/>
      <c r="T401" s="59">
        <f>IF(MIN(IF(ISBLANK(R401),Q401,R401),IF(ISBLANK(Q401),R401,Q401))=0,"",MIN(IF(ISBLANK(R401),Q401,R401),IF(ISBLANK(Q401),R401,Q401)))</f>
        <v>7.9282407407407409E-3</v>
      </c>
      <c r="U401" s="57"/>
      <c r="V401" s="57"/>
      <c r="W401" s="59">
        <f>IF(MIN(IF(ISBLANK(U401),T401,U401),IF(ISBLANK(T401),U401,T401))=0,"",MIN(IF(ISBLANK(U401),T401,U401),IF(ISBLANK(T401),U401,T401)))</f>
        <v>7.9282407407407409E-3</v>
      </c>
      <c r="X401" s="57"/>
      <c r="Y401" s="57"/>
      <c r="Z401" s="59">
        <f>IF(MIN(IF(ISBLANK(X401),W401,X401),IF(ISBLANK(W401),X401,W401))=0,"",MIN(IF(ISBLANK(X401),W401,X401),IF(ISBLANK(W401),X401,W401)))</f>
        <v>7.9282407407407409E-3</v>
      </c>
      <c r="AA401" s="57"/>
      <c r="AB401" s="57"/>
      <c r="AC401" s="59">
        <f t="shared" si="88"/>
        <v>7.9282407407407409E-3</v>
      </c>
      <c r="AD401" s="57"/>
      <c r="AE401" s="57"/>
      <c r="AF401" s="59"/>
    </row>
    <row r="402" spans="1:32">
      <c r="A402" s="24"/>
      <c r="B402" s="26" t="s">
        <v>79</v>
      </c>
      <c r="C402" s="26"/>
      <c r="D402" s="50"/>
      <c r="E402" s="51"/>
      <c r="F402" s="50" t="s">
        <v>455</v>
      </c>
      <c r="G402" s="52"/>
      <c r="H402" s="50"/>
      <c r="I402" s="53"/>
      <c r="J402" s="50" t="s">
        <v>455</v>
      </c>
      <c r="K402" s="53"/>
      <c r="L402" s="50"/>
      <c r="M402" s="57"/>
      <c r="N402" s="55"/>
      <c r="O402" s="57"/>
      <c r="P402" s="57"/>
      <c r="Q402" s="59" t="str">
        <f>IF(MIN(IF(ISBLANK(O402),N402,O402),IF(ISBLANK(N402),O402,N402))=0,"",MIN(IF(ISBLANK(O402),N402,O402),IF(ISBLANK(N402),O402,N402)))</f>
        <v/>
      </c>
      <c r="R402" s="57"/>
      <c r="S402" s="57"/>
      <c r="T402" s="59" t="str">
        <f>IF(MIN(IF(ISBLANK(R402),Q402,R402),IF(ISBLANK(Q402),R402,Q402))=0,"",MIN(IF(ISBLANK(R402),Q402,R402),IF(ISBLANK(Q402),R402,Q402)))</f>
        <v/>
      </c>
      <c r="U402" s="57"/>
      <c r="V402" s="57"/>
      <c r="W402" s="59" t="str">
        <f>IF(MIN(IF(ISBLANK(U402),T402,U402),IF(ISBLANK(T402),U402,T402))=0,"",MIN(IF(ISBLANK(U402),T402,U402),IF(ISBLANK(T402),U402,T402)))</f>
        <v/>
      </c>
      <c r="X402" s="57"/>
      <c r="Y402" s="57"/>
      <c r="Z402" s="59" t="str">
        <f>IF(MIN(IF(ISBLANK(X402),W402,X402),IF(ISBLANK(W402),X402,W402))=0,"",MIN(IF(ISBLANK(X402),W402,X402),IF(ISBLANK(W402),X402,W402)))</f>
        <v/>
      </c>
      <c r="AA402" s="57"/>
      <c r="AB402" s="57"/>
      <c r="AC402" s="59" t="str">
        <f t="shared" si="88"/>
        <v/>
      </c>
      <c r="AD402" s="57"/>
      <c r="AE402" s="57"/>
      <c r="AF402" s="59"/>
    </row>
    <row r="403" spans="1:32">
      <c r="A403" s="24"/>
      <c r="B403" s="26" t="s">
        <v>83</v>
      </c>
      <c r="C403" s="26"/>
      <c r="D403" s="50" t="s">
        <v>221</v>
      </c>
      <c r="E403" s="51" t="s">
        <v>309</v>
      </c>
      <c r="F403" s="50">
        <v>8.43</v>
      </c>
      <c r="G403" s="52"/>
      <c r="H403" s="50">
        <v>8.43</v>
      </c>
      <c r="I403" s="53"/>
      <c r="J403" s="50">
        <v>8.43</v>
      </c>
      <c r="K403" s="53"/>
      <c r="L403" s="50">
        <v>8.43</v>
      </c>
      <c r="M403" s="57"/>
      <c r="N403" s="55">
        <v>6.053240740740741E-3</v>
      </c>
      <c r="O403" s="57"/>
      <c r="P403" s="57"/>
      <c r="Q403" s="59">
        <f>IF(MIN(IF(ISBLANK(O403),N403,O403),IF(ISBLANK(N403),O403,N403))=0,"",MIN(IF(ISBLANK(O403),N403,O403),IF(ISBLANK(N403),O403,N403)))</f>
        <v>6.053240740740741E-3</v>
      </c>
      <c r="R403" s="57"/>
      <c r="S403" s="57"/>
      <c r="T403" s="59">
        <f>IF(MIN(IF(ISBLANK(R403),Q403,R403),IF(ISBLANK(Q403),R403,Q403))=0,"",MIN(IF(ISBLANK(R403),Q403,R403),IF(ISBLANK(Q403),R403,Q403)))</f>
        <v>6.053240740740741E-3</v>
      </c>
      <c r="U403" s="57"/>
      <c r="V403" s="57"/>
      <c r="W403" s="59">
        <f>IF(MIN(IF(ISBLANK(U403),T403,U403),IF(ISBLANK(T403),U403,T403))=0,"",MIN(IF(ISBLANK(U403),T403,U403),IF(ISBLANK(T403),U403,T403)))</f>
        <v>6.053240740740741E-3</v>
      </c>
      <c r="X403" s="57"/>
      <c r="Y403" s="57"/>
      <c r="Z403" s="59">
        <f>IF(MIN(IF(ISBLANK(X403),W403,X403),IF(ISBLANK(W403),X403,W403))=0,"",MIN(IF(ISBLANK(X403),W403,X403),IF(ISBLANK(W403),X403,W403)))</f>
        <v>6.053240740740741E-3</v>
      </c>
      <c r="AA403" s="57"/>
      <c r="AB403" s="57"/>
      <c r="AC403" s="59">
        <f t="shared" si="88"/>
        <v>6.053240740740741E-3</v>
      </c>
      <c r="AD403" s="57"/>
      <c r="AE403" s="57"/>
      <c r="AF403" s="59"/>
    </row>
    <row r="404" spans="1:32">
      <c r="A404" s="24" t="s">
        <v>326</v>
      </c>
      <c r="B404" s="26" t="s">
        <v>723</v>
      </c>
      <c r="C404" s="26"/>
      <c r="D404" s="50"/>
      <c r="E404" s="51"/>
      <c r="F404" s="50"/>
      <c r="G404" s="52"/>
      <c r="H404" s="50"/>
      <c r="I404" s="53"/>
      <c r="J404" s="50"/>
      <c r="K404" s="53"/>
      <c r="L404" s="50"/>
      <c r="M404" s="57"/>
      <c r="N404" s="55"/>
      <c r="O404" s="57"/>
      <c r="P404" s="57"/>
      <c r="Q404" s="59"/>
      <c r="R404" s="57"/>
      <c r="S404" s="57"/>
      <c r="T404" s="59"/>
      <c r="U404" s="57"/>
      <c r="V404" s="57"/>
      <c r="W404" s="59"/>
      <c r="X404" s="57"/>
      <c r="Y404" s="57"/>
      <c r="Z404" s="59"/>
      <c r="AA404" s="57">
        <v>7.083333333333333E-3</v>
      </c>
      <c r="AB404" s="57"/>
      <c r="AC404" s="59">
        <f t="shared" si="88"/>
        <v>7.083333333333333E-3</v>
      </c>
      <c r="AD404" s="57"/>
      <c r="AE404" s="57"/>
      <c r="AF404" s="59"/>
    </row>
    <row r="405" spans="1:32">
      <c r="A405" s="24"/>
      <c r="B405" s="26" t="s">
        <v>258</v>
      </c>
      <c r="C405" s="26" t="s">
        <v>451</v>
      </c>
      <c r="D405" s="50">
        <v>7.03</v>
      </c>
      <c r="E405" s="51" t="s">
        <v>224</v>
      </c>
      <c r="F405" s="50">
        <v>7.03</v>
      </c>
      <c r="G405" s="52" t="s">
        <v>358</v>
      </c>
      <c r="H405" s="50">
        <v>7.03</v>
      </c>
      <c r="I405" s="53">
        <v>7</v>
      </c>
      <c r="J405" s="50" t="s">
        <v>459</v>
      </c>
      <c r="K405" s="53">
        <v>7.15</v>
      </c>
      <c r="L405" s="50" t="s">
        <v>459</v>
      </c>
      <c r="M405" s="57"/>
      <c r="N405" s="55">
        <v>4.8611111111111112E-3</v>
      </c>
      <c r="O405" s="57"/>
      <c r="P405" s="57"/>
      <c r="Q405" s="59">
        <f>IF(MIN(IF(ISBLANK(O405),N405,O405),IF(ISBLANK(N405),O405,N405))=0,"",MIN(IF(ISBLANK(O405),N405,O405),IF(ISBLANK(N405),O405,N405)))</f>
        <v>4.8611111111111112E-3</v>
      </c>
      <c r="R405" s="57"/>
      <c r="S405" s="57"/>
      <c r="T405" s="59">
        <f t="shared" ref="T405:T434" si="89">IF(MIN(IF(ISBLANK(R405),Q405,R405),IF(ISBLANK(Q405),R405,Q405))=0,"",MIN(IF(ISBLANK(R405),Q405,R405),IF(ISBLANK(Q405),R405,Q405)))</f>
        <v>4.8611111111111112E-3</v>
      </c>
      <c r="U405" s="57"/>
      <c r="V405" s="57"/>
      <c r="W405" s="59">
        <f t="shared" ref="W405:W434" si="90">IF(MIN(IF(ISBLANK(U405),T405,U405),IF(ISBLANK(T405),U405,T405))=0,"",MIN(IF(ISBLANK(U405),T405,U405),IF(ISBLANK(T405),U405,T405)))</f>
        <v>4.8611111111111112E-3</v>
      </c>
      <c r="X405" s="57"/>
      <c r="Y405" s="57"/>
      <c r="Z405" s="59">
        <f t="shared" ref="Z405:Z452" si="91">IF(MIN(IF(ISBLANK(X405),W405,X405),IF(ISBLANK(W405),X405,W405))=0,"",MIN(IF(ISBLANK(X405),W405,X405),IF(ISBLANK(W405),X405,W405)))</f>
        <v>4.8611111111111112E-3</v>
      </c>
      <c r="AA405" s="57"/>
      <c r="AB405" s="57"/>
      <c r="AC405" s="59">
        <f t="shared" si="88"/>
        <v>4.8611111111111112E-3</v>
      </c>
      <c r="AD405" s="57"/>
      <c r="AE405" s="57"/>
      <c r="AF405" s="59"/>
    </row>
    <row r="406" spans="1:32">
      <c r="A406" s="24"/>
      <c r="B406" s="26" t="s">
        <v>89</v>
      </c>
      <c r="C406" s="26" t="s">
        <v>451</v>
      </c>
      <c r="D406" s="50">
        <v>9.06</v>
      </c>
      <c r="E406" s="51"/>
      <c r="F406" s="50">
        <v>9.06</v>
      </c>
      <c r="G406" s="52"/>
      <c r="H406" s="50">
        <v>9.06</v>
      </c>
      <c r="I406" s="53"/>
      <c r="J406" s="50">
        <v>9.06</v>
      </c>
      <c r="K406" s="53"/>
      <c r="L406" s="50">
        <v>9.06</v>
      </c>
      <c r="M406" s="57"/>
      <c r="N406" s="55">
        <v>6.3194444444444444E-3</v>
      </c>
      <c r="O406" s="57"/>
      <c r="P406" s="57"/>
      <c r="Q406" s="59">
        <f>IF(MIN(IF(ISBLANK(O406),N406,O406),IF(ISBLANK(N406),O406,N406))=0,"",MIN(IF(ISBLANK(O406),N406,O406),IF(ISBLANK(N406),O406,N406)))</f>
        <v>6.3194444444444444E-3</v>
      </c>
      <c r="R406" s="57"/>
      <c r="S406" s="57"/>
      <c r="T406" s="59">
        <f t="shared" si="89"/>
        <v>6.3194444444444444E-3</v>
      </c>
      <c r="U406" s="57"/>
      <c r="V406" s="57"/>
      <c r="W406" s="59">
        <f t="shared" si="90"/>
        <v>6.3194444444444444E-3</v>
      </c>
      <c r="X406" s="57"/>
      <c r="Y406" s="57"/>
      <c r="Z406" s="59">
        <f t="shared" si="91"/>
        <v>6.3194444444444444E-3</v>
      </c>
      <c r="AA406" s="57"/>
      <c r="AB406" s="57"/>
      <c r="AC406" s="59">
        <f t="shared" si="88"/>
        <v>6.3194444444444444E-3</v>
      </c>
      <c r="AD406" s="57"/>
      <c r="AE406" s="57"/>
      <c r="AF406" s="59"/>
    </row>
    <row r="407" spans="1:32">
      <c r="A407" s="24"/>
      <c r="B407" s="26" t="s">
        <v>599</v>
      </c>
      <c r="C407" s="26"/>
      <c r="D407" s="50"/>
      <c r="E407" s="51"/>
      <c r="F407" s="50"/>
      <c r="G407" s="52"/>
      <c r="H407" s="50"/>
      <c r="I407" s="53"/>
      <c r="J407" s="50"/>
      <c r="K407" s="53"/>
      <c r="L407" s="50"/>
      <c r="M407" s="57"/>
      <c r="N407" s="55"/>
      <c r="O407" s="57"/>
      <c r="P407" s="57"/>
      <c r="Q407" s="59"/>
      <c r="R407" s="57"/>
      <c r="S407" s="57"/>
      <c r="T407" s="59" t="str">
        <f t="shared" si="89"/>
        <v/>
      </c>
      <c r="U407" s="57"/>
      <c r="V407" s="57"/>
      <c r="W407" s="59" t="str">
        <f t="shared" si="90"/>
        <v/>
      </c>
      <c r="X407" s="57"/>
      <c r="Y407" s="57"/>
      <c r="Z407" s="59" t="str">
        <f t="shared" si="91"/>
        <v/>
      </c>
      <c r="AA407" s="57"/>
      <c r="AB407" s="57"/>
      <c r="AC407" s="59" t="str">
        <f t="shared" si="88"/>
        <v/>
      </c>
      <c r="AD407" s="57"/>
      <c r="AE407" s="57"/>
      <c r="AF407" s="59"/>
    </row>
    <row r="408" spans="1:32">
      <c r="A408" s="24"/>
      <c r="B408" s="26" t="s">
        <v>416</v>
      </c>
      <c r="C408" s="26" t="s">
        <v>451</v>
      </c>
      <c r="D408" s="50"/>
      <c r="E408" s="51"/>
      <c r="F408" s="50"/>
      <c r="G408" s="52"/>
      <c r="H408" s="50"/>
      <c r="I408" s="53">
        <v>8.56</v>
      </c>
      <c r="J408" s="50">
        <v>8.56</v>
      </c>
      <c r="K408" s="53">
        <v>8.17</v>
      </c>
      <c r="L408" s="50">
        <v>8.17</v>
      </c>
      <c r="M408" s="57"/>
      <c r="N408" s="55">
        <v>5.7523148148148143E-3</v>
      </c>
      <c r="O408" s="57"/>
      <c r="P408" s="57"/>
      <c r="Q408" s="59">
        <f t="shared" ref="Q408:Q417" si="92">IF(MIN(IF(ISBLANK(O408),N408,O408),IF(ISBLANK(N408),O408,N408))=0,"",MIN(IF(ISBLANK(O408),N408,O408),IF(ISBLANK(N408),O408,N408)))</f>
        <v>5.7523148148148143E-3</v>
      </c>
      <c r="R408" s="57"/>
      <c r="S408" s="57"/>
      <c r="T408" s="59">
        <f t="shared" si="89"/>
        <v>5.7523148148148143E-3</v>
      </c>
      <c r="U408" s="57"/>
      <c r="V408" s="57"/>
      <c r="W408" s="59">
        <f t="shared" si="90"/>
        <v>5.7523148148148143E-3</v>
      </c>
      <c r="X408" s="57"/>
      <c r="Y408" s="57"/>
      <c r="Z408" s="59">
        <f t="shared" si="91"/>
        <v>5.7523148148148143E-3</v>
      </c>
      <c r="AA408" s="57"/>
      <c r="AB408" s="57"/>
      <c r="AC408" s="59">
        <f t="shared" si="88"/>
        <v>5.7523148148148143E-3</v>
      </c>
      <c r="AD408" s="57"/>
      <c r="AE408" s="57"/>
      <c r="AF408" s="59"/>
    </row>
    <row r="409" spans="1:32">
      <c r="A409" s="24"/>
      <c r="B409" s="26" t="s">
        <v>415</v>
      </c>
      <c r="C409" s="26" t="s">
        <v>451</v>
      </c>
      <c r="D409" s="50"/>
      <c r="E409" s="51"/>
      <c r="F409" s="50"/>
      <c r="G409" s="52"/>
      <c r="H409" s="50"/>
      <c r="I409" s="53">
        <v>9.34</v>
      </c>
      <c r="J409" s="50">
        <v>9.34</v>
      </c>
      <c r="K409" s="53"/>
      <c r="L409" s="50">
        <v>9.34</v>
      </c>
      <c r="M409" s="57"/>
      <c r="N409" s="55">
        <v>6.6435185185185182E-3</v>
      </c>
      <c r="O409" s="57"/>
      <c r="P409" s="57"/>
      <c r="Q409" s="59">
        <f t="shared" si="92"/>
        <v>6.6435185185185182E-3</v>
      </c>
      <c r="R409" s="57"/>
      <c r="S409" s="57"/>
      <c r="T409" s="59">
        <f t="shared" si="89"/>
        <v>6.6435185185185182E-3</v>
      </c>
      <c r="U409" s="57"/>
      <c r="V409" s="57"/>
      <c r="W409" s="59">
        <f t="shared" si="90"/>
        <v>6.6435185185185182E-3</v>
      </c>
      <c r="X409" s="57"/>
      <c r="Y409" s="57"/>
      <c r="Z409" s="59">
        <f t="shared" si="91"/>
        <v>6.6435185185185182E-3</v>
      </c>
      <c r="AA409" s="57"/>
      <c r="AB409" s="57"/>
      <c r="AC409" s="59">
        <f t="shared" si="88"/>
        <v>6.6435185185185182E-3</v>
      </c>
      <c r="AD409" s="57"/>
      <c r="AE409" s="57"/>
      <c r="AF409" s="59"/>
    </row>
    <row r="410" spans="1:32">
      <c r="A410" s="24"/>
      <c r="B410" s="26" t="s">
        <v>417</v>
      </c>
      <c r="C410" s="26" t="s">
        <v>450</v>
      </c>
      <c r="D410" s="50"/>
      <c r="E410" s="51"/>
      <c r="F410" s="50"/>
      <c r="G410" s="52"/>
      <c r="H410" s="50"/>
      <c r="I410" s="53">
        <v>12.41</v>
      </c>
      <c r="J410" s="50">
        <v>12.41</v>
      </c>
      <c r="K410" s="53"/>
      <c r="L410" s="50">
        <v>12.41</v>
      </c>
      <c r="M410" s="57"/>
      <c r="N410" s="55">
        <v>8.8078703703703704E-3</v>
      </c>
      <c r="O410" s="57"/>
      <c r="P410" s="57"/>
      <c r="Q410" s="59">
        <f t="shared" si="92"/>
        <v>8.8078703703703704E-3</v>
      </c>
      <c r="R410" s="57"/>
      <c r="S410" s="57"/>
      <c r="T410" s="59">
        <f t="shared" si="89"/>
        <v>8.8078703703703704E-3</v>
      </c>
      <c r="U410" s="57"/>
      <c r="V410" s="57"/>
      <c r="W410" s="59">
        <f t="shared" si="90"/>
        <v>8.8078703703703704E-3</v>
      </c>
      <c r="X410" s="57"/>
      <c r="Y410" s="57"/>
      <c r="Z410" s="59">
        <f t="shared" si="91"/>
        <v>8.8078703703703704E-3</v>
      </c>
      <c r="AA410" s="57"/>
      <c r="AB410" s="57"/>
      <c r="AC410" s="59">
        <f t="shared" si="88"/>
        <v>8.8078703703703704E-3</v>
      </c>
      <c r="AD410" s="57"/>
      <c r="AE410" s="57"/>
      <c r="AF410" s="59"/>
    </row>
    <row r="411" spans="1:32">
      <c r="A411" s="24"/>
      <c r="B411" s="26" t="s">
        <v>280</v>
      </c>
      <c r="C411" s="26" t="s">
        <v>450</v>
      </c>
      <c r="D411" s="50"/>
      <c r="E411" s="51" t="s">
        <v>310</v>
      </c>
      <c r="F411" s="50">
        <v>7.44</v>
      </c>
      <c r="G411" s="52" t="s">
        <v>353</v>
      </c>
      <c r="H411" s="50">
        <v>7.44</v>
      </c>
      <c r="I411" s="53"/>
      <c r="J411" s="50">
        <v>7.44</v>
      </c>
      <c r="K411" s="53"/>
      <c r="L411" s="50">
        <v>7.44</v>
      </c>
      <c r="M411" s="57"/>
      <c r="N411" s="55">
        <v>5.37037037037037E-3</v>
      </c>
      <c r="O411" s="57"/>
      <c r="P411" s="57"/>
      <c r="Q411" s="59">
        <f t="shared" si="92"/>
        <v>5.37037037037037E-3</v>
      </c>
      <c r="R411" s="57"/>
      <c r="S411" s="57"/>
      <c r="T411" s="59">
        <f t="shared" si="89"/>
        <v>5.37037037037037E-3</v>
      </c>
      <c r="U411" s="57"/>
      <c r="V411" s="57"/>
      <c r="W411" s="59">
        <f t="shared" si="90"/>
        <v>5.37037037037037E-3</v>
      </c>
      <c r="X411" s="57"/>
      <c r="Y411" s="57"/>
      <c r="Z411" s="59">
        <f t="shared" si="91"/>
        <v>5.37037037037037E-3</v>
      </c>
      <c r="AA411" s="57"/>
      <c r="AB411" s="57"/>
      <c r="AC411" s="59">
        <f t="shared" si="88"/>
        <v>5.37037037037037E-3</v>
      </c>
      <c r="AD411" s="57"/>
      <c r="AE411" s="57"/>
      <c r="AF411" s="59"/>
    </row>
    <row r="412" spans="1:32">
      <c r="A412" s="24"/>
      <c r="B412" s="26" t="s">
        <v>94</v>
      </c>
      <c r="C412" s="26" t="s">
        <v>450</v>
      </c>
      <c r="D412" s="50">
        <v>6.57</v>
      </c>
      <c r="E412" s="51"/>
      <c r="F412" s="50">
        <v>6.57</v>
      </c>
      <c r="G412" s="52"/>
      <c r="H412" s="50">
        <v>6.57</v>
      </c>
      <c r="I412" s="53"/>
      <c r="J412" s="50">
        <v>6.57</v>
      </c>
      <c r="K412" s="53"/>
      <c r="L412" s="50">
        <v>6.57</v>
      </c>
      <c r="M412" s="57"/>
      <c r="N412" s="55">
        <v>4.8263888888888887E-3</v>
      </c>
      <c r="O412" s="57"/>
      <c r="P412" s="57"/>
      <c r="Q412" s="59">
        <f t="shared" si="92"/>
        <v>4.8263888888888887E-3</v>
      </c>
      <c r="R412" s="57"/>
      <c r="S412" s="57"/>
      <c r="T412" s="59">
        <f t="shared" si="89"/>
        <v>4.8263888888888887E-3</v>
      </c>
      <c r="U412" s="57"/>
      <c r="V412" s="57"/>
      <c r="W412" s="59">
        <f t="shared" si="90"/>
        <v>4.8263888888888887E-3</v>
      </c>
      <c r="X412" s="57"/>
      <c r="Y412" s="57"/>
      <c r="Z412" s="59">
        <f t="shared" si="91"/>
        <v>4.8263888888888887E-3</v>
      </c>
      <c r="AA412" s="57"/>
      <c r="AB412" s="57"/>
      <c r="AC412" s="59">
        <f t="shared" si="88"/>
        <v>4.8263888888888887E-3</v>
      </c>
      <c r="AD412" s="57"/>
      <c r="AE412" s="57"/>
      <c r="AF412" s="59"/>
    </row>
    <row r="413" spans="1:32">
      <c r="A413" s="24"/>
      <c r="B413" s="26" t="s">
        <v>100</v>
      </c>
      <c r="C413" s="26"/>
      <c r="D413" s="50"/>
      <c r="E413" s="51"/>
      <c r="F413" s="50" t="s">
        <v>455</v>
      </c>
      <c r="G413" s="52"/>
      <c r="H413" s="50"/>
      <c r="I413" s="53"/>
      <c r="J413" s="50" t="s">
        <v>455</v>
      </c>
      <c r="K413" s="53"/>
      <c r="L413" s="50"/>
      <c r="M413" s="57"/>
      <c r="N413" s="55"/>
      <c r="O413" s="57"/>
      <c r="P413" s="57"/>
      <c r="Q413" s="59" t="str">
        <f t="shared" si="92"/>
        <v/>
      </c>
      <c r="R413" s="57"/>
      <c r="S413" s="57"/>
      <c r="T413" s="59" t="str">
        <f t="shared" si="89"/>
        <v/>
      </c>
      <c r="U413" s="57"/>
      <c r="V413" s="57"/>
      <c r="W413" s="59" t="str">
        <f t="shared" si="90"/>
        <v/>
      </c>
      <c r="X413" s="57"/>
      <c r="Y413" s="57"/>
      <c r="Z413" s="59" t="str">
        <f t="shared" si="91"/>
        <v/>
      </c>
      <c r="AA413" s="57"/>
      <c r="AB413" s="57"/>
      <c r="AC413" s="59" t="str">
        <f t="shared" si="88"/>
        <v/>
      </c>
      <c r="AD413" s="57"/>
      <c r="AE413" s="57"/>
      <c r="AF413" s="59"/>
    </row>
    <row r="414" spans="1:32">
      <c r="A414" s="24"/>
      <c r="B414" s="26" t="s">
        <v>466</v>
      </c>
      <c r="C414" s="26"/>
      <c r="D414" s="50"/>
      <c r="E414" s="51"/>
      <c r="F414" s="50"/>
      <c r="G414" s="52"/>
      <c r="H414" s="50"/>
      <c r="I414" s="53"/>
      <c r="J414" s="50"/>
      <c r="K414" s="53"/>
      <c r="L414" s="50"/>
      <c r="M414" s="57"/>
      <c r="N414" s="55"/>
      <c r="O414" s="57"/>
      <c r="P414" s="57"/>
      <c r="Q414" s="59" t="str">
        <f t="shared" si="92"/>
        <v/>
      </c>
      <c r="R414" s="57"/>
      <c r="S414" s="57"/>
      <c r="T414" s="59" t="str">
        <f t="shared" si="89"/>
        <v/>
      </c>
      <c r="U414" s="57"/>
      <c r="V414" s="57"/>
      <c r="W414" s="59" t="str">
        <f t="shared" si="90"/>
        <v/>
      </c>
      <c r="X414" s="57"/>
      <c r="Y414" s="57"/>
      <c r="Z414" s="59" t="str">
        <f t="shared" si="91"/>
        <v/>
      </c>
      <c r="AA414" s="57"/>
      <c r="AB414" s="57"/>
      <c r="AC414" s="59" t="str">
        <f t="shared" si="88"/>
        <v/>
      </c>
      <c r="AD414" s="57"/>
      <c r="AE414" s="57"/>
      <c r="AF414" s="59"/>
    </row>
    <row r="415" spans="1:32">
      <c r="A415" s="24"/>
      <c r="B415" s="26" t="s">
        <v>107</v>
      </c>
      <c r="C415" s="26"/>
      <c r="D415" s="50"/>
      <c r="E415" s="51"/>
      <c r="F415" s="50" t="s">
        <v>455</v>
      </c>
      <c r="G415" s="52"/>
      <c r="H415" s="50"/>
      <c r="I415" s="53"/>
      <c r="J415" s="50" t="s">
        <v>455</v>
      </c>
      <c r="K415" s="53"/>
      <c r="L415" s="50"/>
      <c r="M415" s="57"/>
      <c r="N415" s="55"/>
      <c r="O415" s="57"/>
      <c r="P415" s="57"/>
      <c r="Q415" s="59" t="str">
        <f t="shared" si="92"/>
        <v/>
      </c>
      <c r="R415" s="57"/>
      <c r="S415" s="57"/>
      <c r="T415" s="59" t="str">
        <f t="shared" si="89"/>
        <v/>
      </c>
      <c r="U415" s="57"/>
      <c r="V415" s="57"/>
      <c r="W415" s="59" t="str">
        <f t="shared" si="90"/>
        <v/>
      </c>
      <c r="X415" s="57"/>
      <c r="Y415" s="57"/>
      <c r="Z415" s="59" t="str">
        <f t="shared" si="91"/>
        <v/>
      </c>
      <c r="AA415" s="57"/>
      <c r="AB415" s="57"/>
      <c r="AC415" s="59" t="str">
        <f t="shared" si="88"/>
        <v/>
      </c>
      <c r="AD415" s="57"/>
      <c r="AE415" s="57"/>
      <c r="AF415" s="59"/>
    </row>
    <row r="416" spans="1:32">
      <c r="A416" s="24" t="s">
        <v>326</v>
      </c>
      <c r="B416" s="26" t="s">
        <v>482</v>
      </c>
      <c r="C416" s="26" t="s">
        <v>450</v>
      </c>
      <c r="D416" s="50"/>
      <c r="E416" s="51"/>
      <c r="F416" s="50"/>
      <c r="G416" s="52"/>
      <c r="H416" s="50"/>
      <c r="I416" s="53"/>
      <c r="J416" s="50"/>
      <c r="K416" s="53"/>
      <c r="L416" s="50"/>
      <c r="M416" s="57"/>
      <c r="N416" s="55"/>
      <c r="O416" s="57"/>
      <c r="P416" s="57"/>
      <c r="Q416" s="59" t="str">
        <f t="shared" si="92"/>
        <v/>
      </c>
      <c r="R416" s="57"/>
      <c r="S416" s="57"/>
      <c r="T416" s="59" t="str">
        <f t="shared" si="89"/>
        <v/>
      </c>
      <c r="U416" s="57"/>
      <c r="V416" s="57"/>
      <c r="W416" s="59" t="str">
        <f t="shared" si="90"/>
        <v/>
      </c>
      <c r="X416" s="57"/>
      <c r="Y416" s="57"/>
      <c r="Z416" s="59" t="str">
        <f t="shared" si="91"/>
        <v/>
      </c>
      <c r="AA416" s="57"/>
      <c r="AB416" s="57"/>
      <c r="AC416" s="59" t="str">
        <f t="shared" si="88"/>
        <v/>
      </c>
      <c r="AD416" s="57"/>
      <c r="AE416" s="57"/>
      <c r="AF416" s="59"/>
    </row>
    <row r="417" spans="1:32">
      <c r="A417" s="24"/>
      <c r="B417" s="26" t="s">
        <v>259</v>
      </c>
      <c r="C417" s="26" t="s">
        <v>450</v>
      </c>
      <c r="D417" s="50"/>
      <c r="E417" s="51"/>
      <c r="F417" s="50" t="s">
        <v>455</v>
      </c>
      <c r="G417" s="52"/>
      <c r="H417" s="50"/>
      <c r="I417" s="53"/>
      <c r="J417" s="50" t="s">
        <v>455</v>
      </c>
      <c r="K417" s="53"/>
      <c r="L417" s="50"/>
      <c r="M417" s="57"/>
      <c r="N417" s="55"/>
      <c r="O417" s="57"/>
      <c r="P417" s="57"/>
      <c r="Q417" s="59" t="str">
        <f t="shared" si="92"/>
        <v/>
      </c>
      <c r="R417" s="57"/>
      <c r="S417" s="57"/>
      <c r="T417" s="59" t="str">
        <f t="shared" si="89"/>
        <v/>
      </c>
      <c r="U417" s="57"/>
      <c r="V417" s="57"/>
      <c r="W417" s="59" t="str">
        <f t="shared" si="90"/>
        <v/>
      </c>
      <c r="X417" s="57"/>
      <c r="Y417" s="57"/>
      <c r="Z417" s="59" t="str">
        <f t="shared" si="91"/>
        <v/>
      </c>
      <c r="AA417" s="57"/>
      <c r="AB417" s="57"/>
      <c r="AC417" s="59" t="str">
        <f t="shared" si="88"/>
        <v/>
      </c>
      <c r="AD417" s="57"/>
      <c r="AE417" s="57"/>
      <c r="AF417" s="59"/>
    </row>
    <row r="418" spans="1:32">
      <c r="A418" s="24" t="s">
        <v>326</v>
      </c>
      <c r="B418" s="26" t="s">
        <v>615</v>
      </c>
      <c r="C418" s="26"/>
      <c r="D418" s="50"/>
      <c r="E418" s="51"/>
      <c r="F418" s="50"/>
      <c r="G418" s="52"/>
      <c r="H418" s="50"/>
      <c r="I418" s="53"/>
      <c r="J418" s="50"/>
      <c r="K418" s="53"/>
      <c r="L418" s="50"/>
      <c r="M418" s="57"/>
      <c r="N418" s="55"/>
      <c r="O418" s="57"/>
      <c r="P418" s="57"/>
      <c r="Q418" s="59"/>
      <c r="R418" s="57"/>
      <c r="S418" s="57"/>
      <c r="T418" s="59" t="str">
        <f t="shared" si="89"/>
        <v/>
      </c>
      <c r="U418" s="57">
        <v>5.2430555555555555E-3</v>
      </c>
      <c r="V418" s="57"/>
      <c r="W418" s="59">
        <f t="shared" si="90"/>
        <v>5.2430555555555555E-3</v>
      </c>
      <c r="X418" s="57"/>
      <c r="Y418" s="57"/>
      <c r="Z418" s="59">
        <f t="shared" si="91"/>
        <v>5.2430555555555555E-3</v>
      </c>
      <c r="AA418" s="57">
        <v>5.0810185185185186E-3</v>
      </c>
      <c r="AB418" s="57"/>
      <c r="AC418" s="59">
        <f t="shared" si="88"/>
        <v>5.0810185185185186E-3</v>
      </c>
      <c r="AD418" s="57"/>
      <c r="AE418" s="57"/>
      <c r="AF418" s="59"/>
    </row>
    <row r="419" spans="1:32">
      <c r="A419" s="24" t="s">
        <v>326</v>
      </c>
      <c r="B419" s="26" t="s">
        <v>113</v>
      </c>
      <c r="C419" s="26" t="s">
        <v>450</v>
      </c>
      <c r="D419" s="50" t="s">
        <v>285</v>
      </c>
      <c r="E419" s="51" t="s">
        <v>311</v>
      </c>
      <c r="F419" s="50" t="s">
        <v>285</v>
      </c>
      <c r="G419" s="52"/>
      <c r="H419" s="50" t="s">
        <v>285</v>
      </c>
      <c r="I419" s="53"/>
      <c r="J419" s="50" t="s">
        <v>285</v>
      </c>
      <c r="K419" s="53">
        <v>8.4600000000000009</v>
      </c>
      <c r="L419" s="50">
        <v>8.4600000000000009</v>
      </c>
      <c r="M419" s="57"/>
      <c r="N419" s="55">
        <v>6.0879629629629643E-3</v>
      </c>
      <c r="O419" s="57">
        <v>5.9722222222222225E-3</v>
      </c>
      <c r="P419" s="57"/>
      <c r="Q419" s="59">
        <f t="shared" ref="Q419:Q434" si="93">IF(MIN(IF(ISBLANK(O419),N419,O419),IF(ISBLANK(N419),O419,N419))=0,"",MIN(IF(ISBLANK(O419),N419,O419),IF(ISBLANK(N419),O419,N419)))</f>
        <v>5.9722222222222225E-3</v>
      </c>
      <c r="R419" s="57">
        <v>5.9722222222222225E-3</v>
      </c>
      <c r="S419" s="57"/>
      <c r="T419" s="59">
        <f t="shared" si="89"/>
        <v>5.9722222222222225E-3</v>
      </c>
      <c r="U419" s="57">
        <v>6.145833333333333E-3</v>
      </c>
      <c r="V419" s="57"/>
      <c r="W419" s="59">
        <f t="shared" si="90"/>
        <v>5.9722222222222225E-3</v>
      </c>
      <c r="X419" s="57"/>
      <c r="Y419" s="57"/>
      <c r="Z419" s="59">
        <f t="shared" si="91"/>
        <v>5.9722222222222225E-3</v>
      </c>
      <c r="AA419" s="57">
        <v>6.1921296296296299E-3</v>
      </c>
      <c r="AB419" s="57"/>
      <c r="AC419" s="59">
        <f t="shared" si="88"/>
        <v>5.9722222222222225E-3</v>
      </c>
      <c r="AD419" s="57"/>
      <c r="AE419" s="57"/>
      <c r="AF419" s="59"/>
    </row>
    <row r="420" spans="1:32">
      <c r="A420" s="24" t="s">
        <v>326</v>
      </c>
      <c r="B420" s="26" t="s">
        <v>516</v>
      </c>
      <c r="C420" s="26" t="s">
        <v>450</v>
      </c>
      <c r="D420" s="50" t="s">
        <v>351</v>
      </c>
      <c r="E420" s="51"/>
      <c r="F420" s="50" t="s">
        <v>351</v>
      </c>
      <c r="G420" s="52"/>
      <c r="H420" s="50" t="s">
        <v>351</v>
      </c>
      <c r="I420" s="53"/>
      <c r="J420" s="50" t="s">
        <v>351</v>
      </c>
      <c r="K420" s="53"/>
      <c r="L420" s="50" t="s">
        <v>351</v>
      </c>
      <c r="M420" s="57">
        <v>5.1967592592592595E-3</v>
      </c>
      <c r="N420" s="55">
        <v>4.7685185185185183E-3</v>
      </c>
      <c r="O420" s="57">
        <v>4.8495370370370368E-3</v>
      </c>
      <c r="P420" s="57"/>
      <c r="Q420" s="59">
        <f t="shared" si="93"/>
        <v>4.7685185185185183E-3</v>
      </c>
      <c r="R420" s="57"/>
      <c r="S420" s="57"/>
      <c r="T420" s="59">
        <f t="shared" si="89"/>
        <v>4.7685185185185183E-3</v>
      </c>
      <c r="U420" s="57"/>
      <c r="V420" s="57"/>
      <c r="W420" s="59">
        <f t="shared" si="90"/>
        <v>4.7685185185185183E-3</v>
      </c>
      <c r="X420" s="57"/>
      <c r="Y420" s="57"/>
      <c r="Z420" s="59">
        <f t="shared" si="91"/>
        <v>4.7685185185185183E-3</v>
      </c>
      <c r="AA420" s="57"/>
      <c r="AB420" s="57"/>
      <c r="AC420" s="59">
        <f t="shared" si="88"/>
        <v>4.7685185185185183E-3</v>
      </c>
      <c r="AD420" s="57"/>
      <c r="AE420" s="57"/>
      <c r="AF420" s="59"/>
    </row>
    <row r="421" spans="1:32">
      <c r="A421" s="24"/>
      <c r="B421" s="26" t="s">
        <v>448</v>
      </c>
      <c r="C421" s="26" t="s">
        <v>450</v>
      </c>
      <c r="D421" s="50"/>
      <c r="E421" s="51"/>
      <c r="F421" s="50"/>
      <c r="G421" s="52"/>
      <c r="H421" s="50"/>
      <c r="I421" s="53">
        <v>7.34</v>
      </c>
      <c r="J421" s="50">
        <v>7.34</v>
      </c>
      <c r="K421" s="53"/>
      <c r="L421" s="50">
        <v>7.34</v>
      </c>
      <c r="M421" s="57"/>
      <c r="N421" s="55">
        <v>5.2546296296296299E-3</v>
      </c>
      <c r="O421" s="57"/>
      <c r="P421" s="57"/>
      <c r="Q421" s="59">
        <f t="shared" si="93"/>
        <v>5.2546296296296299E-3</v>
      </c>
      <c r="R421" s="57"/>
      <c r="S421" s="57"/>
      <c r="T421" s="59">
        <f t="shared" si="89"/>
        <v>5.2546296296296299E-3</v>
      </c>
      <c r="U421" s="57"/>
      <c r="V421" s="57"/>
      <c r="W421" s="59">
        <f t="shared" si="90"/>
        <v>5.2546296296296299E-3</v>
      </c>
      <c r="X421" s="57"/>
      <c r="Y421" s="57"/>
      <c r="Z421" s="59">
        <f t="shared" si="91"/>
        <v>5.2546296296296299E-3</v>
      </c>
      <c r="AA421" s="57"/>
      <c r="AB421" s="57"/>
      <c r="AC421" s="59">
        <f t="shared" si="88"/>
        <v>5.2546296296296299E-3</v>
      </c>
      <c r="AD421" s="57"/>
      <c r="AE421" s="57"/>
      <c r="AF421" s="59"/>
    </row>
    <row r="422" spans="1:32">
      <c r="A422" s="24" t="s">
        <v>326</v>
      </c>
      <c r="B422" s="26" t="s">
        <v>120</v>
      </c>
      <c r="C422" s="26"/>
      <c r="D422" s="50"/>
      <c r="E422" s="51"/>
      <c r="F422" s="50" t="s">
        <v>455</v>
      </c>
      <c r="G422" s="52"/>
      <c r="H422" s="50"/>
      <c r="I422" s="53"/>
      <c r="J422" s="50" t="s">
        <v>455</v>
      </c>
      <c r="K422" s="53"/>
      <c r="L422" s="50"/>
      <c r="M422" s="57"/>
      <c r="N422" s="55"/>
      <c r="O422" s="57">
        <v>7.4884259259259262E-3</v>
      </c>
      <c r="P422" s="57"/>
      <c r="Q422" s="59">
        <f t="shared" si="93"/>
        <v>7.4884259259259262E-3</v>
      </c>
      <c r="R422" s="57"/>
      <c r="S422" s="57"/>
      <c r="T422" s="59">
        <f t="shared" si="89"/>
        <v>7.4884259259259262E-3</v>
      </c>
      <c r="U422" s="57"/>
      <c r="V422" s="57"/>
      <c r="W422" s="59">
        <f t="shared" si="90"/>
        <v>7.4884259259259262E-3</v>
      </c>
      <c r="X422" s="57"/>
      <c r="Y422" s="57"/>
      <c r="Z422" s="59">
        <f t="shared" si="91"/>
        <v>7.4884259259259262E-3</v>
      </c>
      <c r="AA422" s="57"/>
      <c r="AB422" s="57"/>
      <c r="AC422" s="59">
        <f t="shared" si="88"/>
        <v>7.4884259259259262E-3</v>
      </c>
      <c r="AD422" s="57">
        <v>9.7222222222222224E-3</v>
      </c>
      <c r="AE422" s="57"/>
      <c r="AF422" s="59"/>
    </row>
    <row r="423" spans="1:32">
      <c r="A423" s="24"/>
      <c r="B423" s="26" t="s">
        <v>594</v>
      </c>
      <c r="C423" s="26"/>
      <c r="D423" s="50"/>
      <c r="E423" s="51"/>
      <c r="F423" s="50"/>
      <c r="G423" s="52"/>
      <c r="H423" s="50"/>
      <c r="I423" s="53"/>
      <c r="J423" s="50"/>
      <c r="K423" s="53"/>
      <c r="L423" s="50"/>
      <c r="M423" s="57"/>
      <c r="N423" s="55"/>
      <c r="O423" s="57">
        <v>6.5046296296296302E-3</v>
      </c>
      <c r="P423" s="57"/>
      <c r="Q423" s="59">
        <f t="shared" si="93"/>
        <v>6.5046296296296302E-3</v>
      </c>
      <c r="R423" s="57"/>
      <c r="S423" s="57"/>
      <c r="T423" s="59">
        <f t="shared" si="89"/>
        <v>6.5046296296296302E-3</v>
      </c>
      <c r="U423" s="57"/>
      <c r="V423" s="57"/>
      <c r="W423" s="59">
        <f t="shared" si="90"/>
        <v>6.5046296296296302E-3</v>
      </c>
      <c r="X423" s="57">
        <v>5.9259259259259256E-3</v>
      </c>
      <c r="Y423" s="57"/>
      <c r="Z423" s="59">
        <f t="shared" si="91"/>
        <v>5.9259259259259256E-3</v>
      </c>
      <c r="AA423" s="57"/>
      <c r="AB423" s="57"/>
      <c r="AC423" s="59">
        <f t="shared" si="88"/>
        <v>5.9259259259259256E-3</v>
      </c>
      <c r="AD423" s="57"/>
      <c r="AE423" s="57"/>
      <c r="AF423" s="59"/>
    </row>
    <row r="424" spans="1:32">
      <c r="A424" s="24"/>
      <c r="B424" s="26" t="s">
        <v>125</v>
      </c>
      <c r="C424" s="26" t="s">
        <v>451</v>
      </c>
      <c r="D424" s="50">
        <v>11.17</v>
      </c>
      <c r="E424" s="51"/>
      <c r="F424" s="50">
        <v>11.17</v>
      </c>
      <c r="G424" s="52"/>
      <c r="H424" s="50">
        <v>11.17</v>
      </c>
      <c r="I424" s="53"/>
      <c r="J424" s="50">
        <v>11.17</v>
      </c>
      <c r="K424" s="53"/>
      <c r="L424" s="50">
        <v>11.17</v>
      </c>
      <c r="M424" s="57"/>
      <c r="N424" s="55">
        <v>7.8356481481481489E-3</v>
      </c>
      <c r="O424" s="57"/>
      <c r="P424" s="57"/>
      <c r="Q424" s="59">
        <f t="shared" si="93"/>
        <v>7.8356481481481489E-3</v>
      </c>
      <c r="R424" s="57"/>
      <c r="S424" s="57"/>
      <c r="T424" s="59">
        <f t="shared" si="89"/>
        <v>7.8356481481481489E-3</v>
      </c>
      <c r="U424" s="57"/>
      <c r="V424" s="57"/>
      <c r="W424" s="59">
        <f t="shared" si="90"/>
        <v>7.8356481481481489E-3</v>
      </c>
      <c r="X424" s="57"/>
      <c r="Y424" s="57"/>
      <c r="Z424" s="59">
        <f t="shared" si="91"/>
        <v>7.8356481481481489E-3</v>
      </c>
      <c r="AA424" s="57"/>
      <c r="AB424" s="57"/>
      <c r="AC424" s="59">
        <f t="shared" si="88"/>
        <v>7.8356481481481489E-3</v>
      </c>
      <c r="AD424" s="57"/>
      <c r="AE424" s="57"/>
      <c r="AF424" s="59"/>
    </row>
    <row r="425" spans="1:32">
      <c r="A425" s="24"/>
      <c r="B425" s="26" t="s">
        <v>130</v>
      </c>
      <c r="C425" s="26" t="s">
        <v>451</v>
      </c>
      <c r="D425" s="50" t="s">
        <v>284</v>
      </c>
      <c r="E425" s="51"/>
      <c r="F425" s="50" t="s">
        <v>284</v>
      </c>
      <c r="G425" s="52"/>
      <c r="H425" s="50" t="s">
        <v>284</v>
      </c>
      <c r="I425" s="53"/>
      <c r="J425" s="50" t="s">
        <v>284</v>
      </c>
      <c r="K425" s="53"/>
      <c r="L425" s="50" t="s">
        <v>284</v>
      </c>
      <c r="M425" s="57"/>
      <c r="N425" s="55">
        <v>7.2916666666666659E-3</v>
      </c>
      <c r="O425" s="57"/>
      <c r="P425" s="57"/>
      <c r="Q425" s="59">
        <f t="shared" si="93"/>
        <v>7.2916666666666659E-3</v>
      </c>
      <c r="R425" s="57"/>
      <c r="S425" s="57"/>
      <c r="T425" s="59">
        <f t="shared" si="89"/>
        <v>7.2916666666666659E-3</v>
      </c>
      <c r="U425" s="57"/>
      <c r="V425" s="57"/>
      <c r="W425" s="59">
        <f t="shared" si="90"/>
        <v>7.2916666666666659E-3</v>
      </c>
      <c r="X425" s="57"/>
      <c r="Y425" s="57"/>
      <c r="Z425" s="59">
        <f t="shared" si="91"/>
        <v>7.2916666666666659E-3</v>
      </c>
      <c r="AA425" s="57"/>
      <c r="AB425" s="57"/>
      <c r="AC425" s="59">
        <f t="shared" si="88"/>
        <v>7.2916666666666659E-3</v>
      </c>
      <c r="AD425" s="57"/>
      <c r="AE425" s="57"/>
      <c r="AF425" s="59"/>
    </row>
    <row r="426" spans="1:32">
      <c r="A426" s="24"/>
      <c r="B426" s="26" t="s">
        <v>136</v>
      </c>
      <c r="C426" s="26"/>
      <c r="D426" s="50"/>
      <c r="E426" s="51"/>
      <c r="F426" s="50" t="s">
        <v>455</v>
      </c>
      <c r="G426" s="52"/>
      <c r="H426" s="50"/>
      <c r="I426" s="53"/>
      <c r="J426" s="50" t="s">
        <v>455</v>
      </c>
      <c r="K426" s="53"/>
      <c r="L426" s="50"/>
      <c r="M426" s="57"/>
      <c r="N426" s="55" t="s">
        <v>455</v>
      </c>
      <c r="O426" s="57"/>
      <c r="P426" s="57"/>
      <c r="Q426" s="59" t="str">
        <f t="shared" si="93"/>
        <v/>
      </c>
      <c r="R426" s="57"/>
      <c r="S426" s="57"/>
      <c r="T426" s="59" t="str">
        <f t="shared" si="89"/>
        <v/>
      </c>
      <c r="U426" s="57"/>
      <c r="V426" s="57"/>
      <c r="W426" s="59" t="str">
        <f t="shared" si="90"/>
        <v/>
      </c>
      <c r="X426" s="57"/>
      <c r="Y426" s="57"/>
      <c r="Z426" s="59" t="str">
        <f t="shared" si="91"/>
        <v/>
      </c>
      <c r="AA426" s="57"/>
      <c r="AB426" s="57"/>
      <c r="AC426" s="59" t="str">
        <f t="shared" si="88"/>
        <v/>
      </c>
      <c r="AD426" s="57"/>
      <c r="AE426" s="57"/>
      <c r="AF426" s="59"/>
    </row>
    <row r="427" spans="1:32">
      <c r="A427" s="24"/>
      <c r="B427" s="26" t="s">
        <v>338</v>
      </c>
      <c r="C427" s="26"/>
      <c r="D427" s="50"/>
      <c r="E427" s="51"/>
      <c r="F427" s="50" t="s">
        <v>455</v>
      </c>
      <c r="G427" s="52"/>
      <c r="H427" s="50"/>
      <c r="I427" s="53"/>
      <c r="J427" s="50" t="s">
        <v>455</v>
      </c>
      <c r="K427" s="53"/>
      <c r="L427" s="50"/>
      <c r="M427" s="57"/>
      <c r="N427" s="55"/>
      <c r="O427" s="57"/>
      <c r="P427" s="57"/>
      <c r="Q427" s="59" t="str">
        <f t="shared" si="93"/>
        <v/>
      </c>
      <c r="R427" s="57"/>
      <c r="S427" s="57"/>
      <c r="T427" s="59" t="str">
        <f t="shared" si="89"/>
        <v/>
      </c>
      <c r="U427" s="57"/>
      <c r="V427" s="57"/>
      <c r="W427" s="59" t="str">
        <f t="shared" si="90"/>
        <v/>
      </c>
      <c r="X427" s="57"/>
      <c r="Y427" s="57"/>
      <c r="Z427" s="59" t="str">
        <f t="shared" si="91"/>
        <v/>
      </c>
      <c r="AA427" s="57"/>
      <c r="AB427" s="57"/>
      <c r="AC427" s="59" t="str">
        <f t="shared" si="88"/>
        <v/>
      </c>
      <c r="AD427" s="57"/>
      <c r="AE427" s="57"/>
      <c r="AF427" s="59"/>
    </row>
    <row r="428" spans="1:32">
      <c r="A428" s="24"/>
      <c r="B428" s="26" t="s">
        <v>517</v>
      </c>
      <c r="C428" s="26"/>
      <c r="D428" s="50"/>
      <c r="E428" s="51"/>
      <c r="F428" s="50"/>
      <c r="G428" s="52"/>
      <c r="H428" s="50"/>
      <c r="I428" s="53"/>
      <c r="J428" s="50"/>
      <c r="K428" s="53"/>
      <c r="L428" s="50"/>
      <c r="M428" s="57"/>
      <c r="N428" s="55"/>
      <c r="O428" s="57"/>
      <c r="P428" s="57"/>
      <c r="Q428" s="59" t="str">
        <f t="shared" si="93"/>
        <v/>
      </c>
      <c r="R428" s="57"/>
      <c r="S428" s="57"/>
      <c r="T428" s="59" t="str">
        <f t="shared" si="89"/>
        <v/>
      </c>
      <c r="U428" s="57"/>
      <c r="V428" s="57"/>
      <c r="W428" s="59" t="str">
        <f t="shared" si="90"/>
        <v/>
      </c>
      <c r="X428" s="57"/>
      <c r="Y428" s="57"/>
      <c r="Z428" s="59" t="str">
        <f t="shared" si="91"/>
        <v/>
      </c>
      <c r="AA428" s="57"/>
      <c r="AB428" s="57"/>
      <c r="AC428" s="59" t="str">
        <f t="shared" si="88"/>
        <v/>
      </c>
      <c r="AD428" s="57"/>
      <c r="AE428" s="57"/>
      <c r="AF428" s="59"/>
    </row>
    <row r="429" spans="1:32">
      <c r="A429" s="24" t="s">
        <v>326</v>
      </c>
      <c r="B429" s="26" t="s">
        <v>143</v>
      </c>
      <c r="C429" s="26"/>
      <c r="D429" s="50">
        <v>8.09</v>
      </c>
      <c r="E429" s="51"/>
      <c r="F429" s="50">
        <v>8.09</v>
      </c>
      <c r="G429" s="52" t="s">
        <v>227</v>
      </c>
      <c r="H429" s="50">
        <v>8.09</v>
      </c>
      <c r="I429" s="53">
        <v>9.02</v>
      </c>
      <c r="J429" s="50">
        <v>8.09</v>
      </c>
      <c r="K429" s="53">
        <v>9.2200000000000006</v>
      </c>
      <c r="L429" s="50">
        <v>8.09</v>
      </c>
      <c r="M429" s="57">
        <v>7.2800925925925915E-3</v>
      </c>
      <c r="N429" s="55">
        <v>5.6597222222222222E-3</v>
      </c>
      <c r="O429" s="57"/>
      <c r="P429" s="57"/>
      <c r="Q429" s="59">
        <f t="shared" si="93"/>
        <v>5.6597222222222222E-3</v>
      </c>
      <c r="R429" s="57"/>
      <c r="S429" s="57"/>
      <c r="T429" s="59">
        <f t="shared" si="89"/>
        <v>5.6597222222222222E-3</v>
      </c>
      <c r="U429" s="57">
        <v>6.5740740740740733E-3</v>
      </c>
      <c r="V429" s="57"/>
      <c r="W429" s="59">
        <f t="shared" si="90"/>
        <v>5.6597222222222222E-3</v>
      </c>
      <c r="X429" s="57">
        <v>6.4583333333333333E-3</v>
      </c>
      <c r="Y429" s="57"/>
      <c r="Z429" s="59">
        <f t="shared" si="91"/>
        <v>5.6597222222222222E-3</v>
      </c>
      <c r="AA429" s="57"/>
      <c r="AB429" s="57"/>
      <c r="AC429" s="59">
        <f t="shared" si="88"/>
        <v>5.6597222222222222E-3</v>
      </c>
      <c r="AD429" s="57">
        <v>6.145833333333333E-3</v>
      </c>
      <c r="AE429" s="57"/>
      <c r="AF429" s="59"/>
    </row>
    <row r="430" spans="1:32">
      <c r="A430" s="24"/>
      <c r="B430" s="26" t="s">
        <v>595</v>
      </c>
      <c r="C430" s="26"/>
      <c r="D430" s="50"/>
      <c r="E430" s="51"/>
      <c r="F430" s="50"/>
      <c r="G430" s="52"/>
      <c r="H430" s="50"/>
      <c r="I430" s="53"/>
      <c r="J430" s="50" t="s">
        <v>455</v>
      </c>
      <c r="K430" s="53"/>
      <c r="L430" s="50"/>
      <c r="M430" s="57"/>
      <c r="N430" s="55"/>
      <c r="O430" s="57"/>
      <c r="P430" s="57"/>
      <c r="Q430" s="59" t="str">
        <f t="shared" si="93"/>
        <v/>
      </c>
      <c r="R430" s="57"/>
      <c r="S430" s="57"/>
      <c r="T430" s="59" t="str">
        <f t="shared" si="89"/>
        <v/>
      </c>
      <c r="U430" s="57"/>
      <c r="V430" s="57"/>
      <c r="W430" s="59" t="str">
        <f t="shared" si="90"/>
        <v/>
      </c>
      <c r="X430" s="57"/>
      <c r="Y430" s="57"/>
      <c r="Z430" s="59" t="str">
        <f t="shared" si="91"/>
        <v/>
      </c>
      <c r="AA430" s="57"/>
      <c r="AB430" s="57"/>
      <c r="AC430" s="59" t="str">
        <f t="shared" si="88"/>
        <v/>
      </c>
      <c r="AD430" s="57"/>
      <c r="AE430" s="57"/>
      <c r="AF430" s="59"/>
    </row>
    <row r="431" spans="1:32">
      <c r="A431" s="24"/>
      <c r="B431" s="26" t="s">
        <v>418</v>
      </c>
      <c r="C431" s="26"/>
      <c r="D431" s="50"/>
      <c r="E431" s="51"/>
      <c r="F431" s="50"/>
      <c r="G431" s="52"/>
      <c r="H431" s="50"/>
      <c r="I431" s="53"/>
      <c r="J431" s="50" t="s">
        <v>455</v>
      </c>
      <c r="K431" s="53"/>
      <c r="L431" s="50"/>
      <c r="M431" s="57"/>
      <c r="N431" s="55"/>
      <c r="O431" s="57"/>
      <c r="P431" s="57"/>
      <c r="Q431" s="59" t="str">
        <f t="shared" si="93"/>
        <v/>
      </c>
      <c r="R431" s="57"/>
      <c r="S431" s="57"/>
      <c r="T431" s="59" t="str">
        <f t="shared" si="89"/>
        <v/>
      </c>
      <c r="U431" s="57"/>
      <c r="V431" s="57"/>
      <c r="W431" s="59" t="str">
        <f t="shared" si="90"/>
        <v/>
      </c>
      <c r="X431" s="57"/>
      <c r="Y431" s="57"/>
      <c r="Z431" s="59" t="str">
        <f t="shared" si="91"/>
        <v/>
      </c>
      <c r="AA431" s="57"/>
      <c r="AB431" s="57"/>
      <c r="AC431" s="59" t="str">
        <f t="shared" si="88"/>
        <v/>
      </c>
      <c r="AD431" s="57"/>
      <c r="AE431" s="57"/>
      <c r="AF431" s="59"/>
    </row>
    <row r="432" spans="1:32">
      <c r="A432" s="24"/>
      <c r="B432" s="26" t="s">
        <v>419</v>
      </c>
      <c r="C432" s="26"/>
      <c r="D432" s="50"/>
      <c r="E432" s="51"/>
      <c r="F432" s="50"/>
      <c r="G432" s="52"/>
      <c r="H432" s="50"/>
      <c r="I432" s="53"/>
      <c r="J432" s="50" t="s">
        <v>455</v>
      </c>
      <c r="K432" s="53"/>
      <c r="L432" s="50"/>
      <c r="M432" s="57"/>
      <c r="N432" s="55"/>
      <c r="O432" s="57"/>
      <c r="P432" s="57"/>
      <c r="Q432" s="59" t="str">
        <f t="shared" si="93"/>
        <v/>
      </c>
      <c r="R432" s="57"/>
      <c r="S432" s="57"/>
      <c r="T432" s="59" t="str">
        <f t="shared" si="89"/>
        <v/>
      </c>
      <c r="U432" s="57"/>
      <c r="V432" s="57"/>
      <c r="W432" s="59" t="str">
        <f t="shared" si="90"/>
        <v/>
      </c>
      <c r="X432" s="57"/>
      <c r="Y432" s="57"/>
      <c r="Z432" s="59" t="str">
        <f t="shared" si="91"/>
        <v/>
      </c>
      <c r="AA432" s="57"/>
      <c r="AB432" s="57"/>
      <c r="AC432" s="59" t="str">
        <f t="shared" si="88"/>
        <v/>
      </c>
      <c r="AD432" s="57"/>
      <c r="AE432" s="57"/>
      <c r="AF432" s="59"/>
    </row>
    <row r="433" spans="1:32">
      <c r="A433" s="24"/>
      <c r="B433" s="26" t="s">
        <v>270</v>
      </c>
      <c r="C433" s="26"/>
      <c r="D433" s="50">
        <v>8.5500000000000007</v>
      </c>
      <c r="E433" s="51"/>
      <c r="F433" s="50">
        <v>8.5500000000000007</v>
      </c>
      <c r="G433" s="52"/>
      <c r="H433" s="50">
        <v>8.5500000000000007</v>
      </c>
      <c r="I433" s="53"/>
      <c r="J433" s="50">
        <v>8.5500000000000007</v>
      </c>
      <c r="K433" s="53"/>
      <c r="L433" s="50">
        <v>8.5500000000000007</v>
      </c>
      <c r="M433" s="57"/>
      <c r="N433" s="55">
        <v>6.1921296296296299E-3</v>
      </c>
      <c r="O433" s="57"/>
      <c r="P433" s="57"/>
      <c r="Q433" s="59">
        <f t="shared" si="93"/>
        <v>6.1921296296296299E-3</v>
      </c>
      <c r="R433" s="57"/>
      <c r="S433" s="57"/>
      <c r="T433" s="59">
        <f t="shared" si="89"/>
        <v>6.1921296296296299E-3</v>
      </c>
      <c r="U433" s="57"/>
      <c r="V433" s="57"/>
      <c r="W433" s="59">
        <f t="shared" si="90"/>
        <v>6.1921296296296299E-3</v>
      </c>
      <c r="X433" s="57"/>
      <c r="Y433" s="57"/>
      <c r="Z433" s="59">
        <f t="shared" si="91"/>
        <v>6.1921296296296299E-3</v>
      </c>
      <c r="AA433" s="57"/>
      <c r="AB433" s="57"/>
      <c r="AC433" s="59">
        <f t="shared" si="88"/>
        <v>6.1921296296296299E-3</v>
      </c>
      <c r="AD433" s="57"/>
      <c r="AE433" s="57"/>
      <c r="AF433" s="59"/>
    </row>
    <row r="434" spans="1:32">
      <c r="A434" s="24"/>
      <c r="B434" s="26" t="s">
        <v>420</v>
      </c>
      <c r="C434" s="26" t="s">
        <v>450</v>
      </c>
      <c r="D434" s="50"/>
      <c r="E434" s="51"/>
      <c r="F434" s="50"/>
      <c r="G434" s="52"/>
      <c r="H434" s="50"/>
      <c r="I434" s="53"/>
      <c r="J434" s="50" t="s">
        <v>455</v>
      </c>
      <c r="K434" s="53"/>
      <c r="L434" s="50"/>
      <c r="M434" s="57"/>
      <c r="N434" s="55"/>
      <c r="O434" s="57"/>
      <c r="P434" s="57"/>
      <c r="Q434" s="59" t="str">
        <f t="shared" si="93"/>
        <v/>
      </c>
      <c r="R434" s="57"/>
      <c r="S434" s="57"/>
      <c r="T434" s="59" t="str">
        <f t="shared" si="89"/>
        <v/>
      </c>
      <c r="U434" s="57"/>
      <c r="V434" s="57"/>
      <c r="W434" s="59" t="str">
        <f t="shared" si="90"/>
        <v/>
      </c>
      <c r="X434" s="57"/>
      <c r="Y434" s="57"/>
      <c r="Z434" s="59" t="str">
        <f t="shared" si="91"/>
        <v/>
      </c>
      <c r="AA434" s="57"/>
      <c r="AB434" s="57"/>
      <c r="AC434" s="59" t="str">
        <f t="shared" si="88"/>
        <v/>
      </c>
      <c r="AD434" s="57"/>
      <c r="AE434" s="57"/>
      <c r="AF434" s="59"/>
    </row>
    <row r="435" spans="1:32">
      <c r="A435" s="24" t="s">
        <v>326</v>
      </c>
      <c r="B435" s="26" t="s">
        <v>670</v>
      </c>
      <c r="C435" s="26"/>
      <c r="D435" s="50"/>
      <c r="E435" s="51"/>
      <c r="F435" s="50"/>
      <c r="G435" s="52"/>
      <c r="H435" s="50"/>
      <c r="I435" s="53"/>
      <c r="J435" s="50"/>
      <c r="K435" s="53"/>
      <c r="L435" s="50"/>
      <c r="M435" s="57"/>
      <c r="N435" s="55"/>
      <c r="O435" s="57"/>
      <c r="P435" s="57"/>
      <c r="Q435" s="59"/>
      <c r="R435" s="57"/>
      <c r="S435" s="57"/>
      <c r="T435" s="59"/>
      <c r="U435" s="57"/>
      <c r="V435" s="57"/>
      <c r="W435" s="59"/>
      <c r="X435" s="57">
        <v>7.1296296296296307E-3</v>
      </c>
      <c r="Y435" s="57"/>
      <c r="Z435" s="59">
        <f t="shared" si="91"/>
        <v>7.1296296296296307E-3</v>
      </c>
      <c r="AA435" s="57"/>
      <c r="AB435" s="57"/>
      <c r="AC435" s="59">
        <f t="shared" si="88"/>
        <v>7.1296296296296307E-3</v>
      </c>
      <c r="AD435" s="57"/>
      <c r="AE435" s="57"/>
      <c r="AF435" s="59"/>
    </row>
    <row r="436" spans="1:32">
      <c r="A436" s="24"/>
      <c r="B436" s="26" t="s">
        <v>336</v>
      </c>
      <c r="C436" s="26" t="s">
        <v>450</v>
      </c>
      <c r="D436" s="50"/>
      <c r="E436" s="51"/>
      <c r="F436" s="50" t="s">
        <v>455</v>
      </c>
      <c r="G436" s="52" t="s">
        <v>359</v>
      </c>
      <c r="H436" s="50">
        <v>8.0500000000000007</v>
      </c>
      <c r="I436" s="53"/>
      <c r="J436" s="50">
        <v>8.0500000000000007</v>
      </c>
      <c r="K436" s="53"/>
      <c r="L436" s="50">
        <v>8.0500000000000007</v>
      </c>
      <c r="M436" s="57"/>
      <c r="N436" s="55">
        <v>5.6134259259259271E-3</v>
      </c>
      <c r="O436" s="57"/>
      <c r="P436" s="57"/>
      <c r="Q436" s="59">
        <f>IF(MIN(IF(ISBLANK(O436),N436,O436),IF(ISBLANK(N436),O436,N436))=0,"",MIN(IF(ISBLANK(O436),N436,O436),IF(ISBLANK(N436),O436,N436)))</f>
        <v>5.6134259259259271E-3</v>
      </c>
      <c r="R436" s="57"/>
      <c r="S436" s="57"/>
      <c r="T436" s="59">
        <f>IF(MIN(IF(ISBLANK(R436),Q436,R436),IF(ISBLANK(Q436),R436,Q436))=0,"",MIN(IF(ISBLANK(R436),Q436,R436),IF(ISBLANK(Q436),R436,Q436)))</f>
        <v>5.6134259259259271E-3</v>
      </c>
      <c r="U436" s="57"/>
      <c r="V436" s="57"/>
      <c r="W436" s="59">
        <f>IF(MIN(IF(ISBLANK(U436),T436,U436),IF(ISBLANK(T436),U436,T436))=0,"",MIN(IF(ISBLANK(U436),T436,U436),IF(ISBLANK(T436),U436,T436)))</f>
        <v>5.6134259259259271E-3</v>
      </c>
      <c r="X436" s="57"/>
      <c r="Y436" s="57"/>
      <c r="Z436" s="59">
        <f t="shared" si="91"/>
        <v>5.6134259259259271E-3</v>
      </c>
      <c r="AA436" s="57"/>
      <c r="AB436" s="57"/>
      <c r="AC436" s="59">
        <f t="shared" si="88"/>
        <v>5.6134259259259271E-3</v>
      </c>
      <c r="AD436" s="57"/>
      <c r="AE436" s="57"/>
      <c r="AF436" s="59"/>
    </row>
    <row r="437" spans="1:32">
      <c r="A437" s="24"/>
      <c r="B437" s="26" t="s">
        <v>155</v>
      </c>
      <c r="C437" s="26"/>
      <c r="D437" s="50"/>
      <c r="E437" s="51"/>
      <c r="F437" s="50" t="s">
        <v>455</v>
      </c>
      <c r="G437" s="52"/>
      <c r="H437" s="50"/>
      <c r="I437" s="53"/>
      <c r="J437" s="50" t="s">
        <v>455</v>
      </c>
      <c r="K437" s="53"/>
      <c r="L437" s="50"/>
      <c r="M437" s="57"/>
      <c r="N437" s="55"/>
      <c r="O437" s="57"/>
      <c r="P437" s="57"/>
      <c r="Q437" s="59" t="str">
        <f>IF(MIN(IF(ISBLANK(O437),N437,O437),IF(ISBLANK(N437),O437,N437))=0,"",MIN(IF(ISBLANK(O437),N437,O437),IF(ISBLANK(N437),O437,N437)))</f>
        <v/>
      </c>
      <c r="R437" s="57"/>
      <c r="S437" s="57"/>
      <c r="T437" s="59" t="str">
        <f>IF(MIN(IF(ISBLANK(R437),Q437,R437),IF(ISBLANK(Q437),R437,Q437))=0,"",MIN(IF(ISBLANK(R437),Q437,R437),IF(ISBLANK(Q437),R437,Q437)))</f>
        <v/>
      </c>
      <c r="U437" s="57"/>
      <c r="V437" s="57"/>
      <c r="W437" s="59" t="str">
        <f>IF(MIN(IF(ISBLANK(U437),T437,U437),IF(ISBLANK(T437),U437,T437))=0,"",MIN(IF(ISBLANK(U437),T437,U437),IF(ISBLANK(T437),U437,T437)))</f>
        <v/>
      </c>
      <c r="X437" s="57"/>
      <c r="Y437" s="57"/>
      <c r="Z437" s="59" t="str">
        <f t="shared" si="91"/>
        <v/>
      </c>
      <c r="AA437" s="57"/>
      <c r="AB437" s="57"/>
      <c r="AC437" s="59" t="str">
        <f t="shared" si="88"/>
        <v/>
      </c>
      <c r="AD437" s="57"/>
      <c r="AE437" s="57"/>
      <c r="AF437" s="59"/>
    </row>
    <row r="438" spans="1:32">
      <c r="A438" s="24" t="s">
        <v>326</v>
      </c>
      <c r="B438" s="26" t="s">
        <v>572</v>
      </c>
      <c r="C438" s="26"/>
      <c r="D438" s="50"/>
      <c r="E438" s="51"/>
      <c r="F438" s="50"/>
      <c r="G438" s="52"/>
      <c r="H438" s="50"/>
      <c r="I438" s="53"/>
      <c r="J438" s="50"/>
      <c r="K438" s="53"/>
      <c r="L438" s="50"/>
      <c r="M438" s="57"/>
      <c r="N438" s="55"/>
      <c r="O438" s="57">
        <v>1.0613425925925927E-2</v>
      </c>
      <c r="P438" s="57" t="s">
        <v>575</v>
      </c>
      <c r="Q438" s="59">
        <f>IF(MIN(IF(ISBLANK(O438),N438,O438),IF(ISBLANK(N438),O438,N438))=0,"",MIN(IF(ISBLANK(O438),N438,O438),IF(ISBLANK(N438),O438,N438)))</f>
        <v>1.0613425925925927E-2</v>
      </c>
      <c r="R438" s="57"/>
      <c r="S438" s="57"/>
      <c r="T438" s="59">
        <f>IF(MIN(IF(ISBLANK(R438),Q438,R438),IF(ISBLANK(Q438),R438,Q438))=0,"",MIN(IF(ISBLANK(R438),Q438,R438),IF(ISBLANK(Q438),R438,Q438)))</f>
        <v>1.0613425925925927E-2</v>
      </c>
      <c r="U438" s="57"/>
      <c r="V438" s="57"/>
      <c r="W438" s="59">
        <f>IF(MIN(IF(ISBLANK(U438),T438,U438),IF(ISBLANK(T438),U438,T438))=0,"",MIN(IF(ISBLANK(U438),T438,U438),IF(ISBLANK(T438),U438,T438)))</f>
        <v>1.0613425925925927E-2</v>
      </c>
      <c r="X438" s="57"/>
      <c r="Y438" s="57"/>
      <c r="Z438" s="59">
        <f t="shared" si="91"/>
        <v>1.0613425925925927E-2</v>
      </c>
      <c r="AA438" s="57"/>
      <c r="AB438" s="57"/>
      <c r="AC438" s="59">
        <f t="shared" si="88"/>
        <v>1.0613425925925927E-2</v>
      </c>
      <c r="AD438" s="57"/>
      <c r="AE438" s="57"/>
      <c r="AF438" s="59"/>
    </row>
    <row r="439" spans="1:32">
      <c r="A439" s="24" t="s">
        <v>326</v>
      </c>
      <c r="B439" s="26" t="s">
        <v>161</v>
      </c>
      <c r="C439" s="26" t="s">
        <v>450</v>
      </c>
      <c r="D439" s="50">
        <v>7.55</v>
      </c>
      <c r="E439" s="51"/>
      <c r="F439" s="50">
        <v>7.55</v>
      </c>
      <c r="G439" s="52">
        <v>7.52</v>
      </c>
      <c r="H439" s="50">
        <v>7.52</v>
      </c>
      <c r="I439" s="53"/>
      <c r="J439" s="50">
        <v>7.52</v>
      </c>
      <c r="K439" s="53"/>
      <c r="L439" s="50">
        <v>7.52</v>
      </c>
      <c r="M439" s="57"/>
      <c r="N439" s="55">
        <v>5.4629629629629637E-3</v>
      </c>
      <c r="O439" s="57"/>
      <c r="P439" s="57"/>
      <c r="Q439" s="59">
        <f>IF(MIN(IF(ISBLANK(O439),N439,O439),IF(ISBLANK(N439),O439,N439))=0,"",MIN(IF(ISBLANK(O439),N439,O439),IF(ISBLANK(N439),O439,N439)))</f>
        <v>5.4629629629629637E-3</v>
      </c>
      <c r="R439" s="57">
        <v>5.5439814814814822E-3</v>
      </c>
      <c r="S439" s="57"/>
      <c r="T439" s="59">
        <f>IF(MIN(IF(ISBLANK(R439),Q439,R439),IF(ISBLANK(Q439),R439,Q439))=0,"",MIN(IF(ISBLANK(R439),Q439,R439),IF(ISBLANK(Q439),R439,Q439)))</f>
        <v>5.4629629629629637E-3</v>
      </c>
      <c r="U439" s="57">
        <v>5.4976851851851853E-3</v>
      </c>
      <c r="V439" s="57"/>
      <c r="W439" s="59">
        <f>IF(MIN(IF(ISBLANK(U439),T439,U439),IF(ISBLANK(T439),U439,T439))=0,"",MIN(IF(ISBLANK(U439),T439,U439),IF(ISBLANK(T439),U439,T439)))</f>
        <v>5.4629629629629637E-3</v>
      </c>
      <c r="X439" s="57"/>
      <c r="Y439" s="57"/>
      <c r="Z439" s="59">
        <f t="shared" si="91"/>
        <v>5.4629629629629637E-3</v>
      </c>
      <c r="AA439" s="57"/>
      <c r="AB439" s="57"/>
      <c r="AC439" s="59">
        <f t="shared" si="88"/>
        <v>5.4629629629629637E-3</v>
      </c>
      <c r="AD439" s="57"/>
      <c r="AE439" s="57"/>
      <c r="AF439" s="59"/>
    </row>
    <row r="440" spans="1:32">
      <c r="A440" s="24" t="s">
        <v>326</v>
      </c>
      <c r="B440" s="26" t="s">
        <v>671</v>
      </c>
      <c r="C440" s="26"/>
      <c r="D440" s="50"/>
      <c r="E440" s="51"/>
      <c r="F440" s="50"/>
      <c r="G440" s="52"/>
      <c r="H440" s="50"/>
      <c r="I440" s="53"/>
      <c r="J440" s="50"/>
      <c r="K440" s="53"/>
      <c r="L440" s="50"/>
      <c r="M440" s="57"/>
      <c r="N440" s="55"/>
      <c r="O440" s="57"/>
      <c r="P440" s="57"/>
      <c r="Q440" s="59"/>
      <c r="R440" s="57"/>
      <c r="S440" s="57"/>
      <c r="T440" s="59"/>
      <c r="U440" s="57"/>
      <c r="V440" s="57"/>
      <c r="W440" s="59"/>
      <c r="X440" s="57"/>
      <c r="Y440" s="57"/>
      <c r="Z440" s="59" t="str">
        <f t="shared" si="91"/>
        <v/>
      </c>
      <c r="AA440" s="57"/>
      <c r="AB440" s="57"/>
      <c r="AC440" s="59" t="str">
        <f t="shared" si="88"/>
        <v/>
      </c>
      <c r="AD440" s="57"/>
      <c r="AE440" s="57"/>
      <c r="AF440" s="59"/>
    </row>
    <row r="441" spans="1:32">
      <c r="A441" s="24"/>
      <c r="B441" s="26" t="s">
        <v>421</v>
      </c>
      <c r="C441" s="26" t="s">
        <v>451</v>
      </c>
      <c r="D441" s="50"/>
      <c r="E441" s="51"/>
      <c r="F441" s="50"/>
      <c r="G441" s="52"/>
      <c r="H441" s="50"/>
      <c r="I441" s="53"/>
      <c r="J441" s="50" t="s">
        <v>455</v>
      </c>
      <c r="K441" s="53"/>
      <c r="L441" s="50"/>
      <c r="M441" s="57">
        <v>6.1574074074074074E-3</v>
      </c>
      <c r="N441" s="55">
        <v>6.1574074074074074E-3</v>
      </c>
      <c r="O441" s="57"/>
      <c r="P441" s="57"/>
      <c r="Q441" s="59">
        <f>IF(MIN(IF(ISBLANK(O441),N441,O441),IF(ISBLANK(N441),O441,N441))=0,"",MIN(IF(ISBLANK(O441),N441,O441),IF(ISBLANK(N441),O441,N441)))</f>
        <v>6.1574074074074074E-3</v>
      </c>
      <c r="R441" s="57"/>
      <c r="S441" s="57"/>
      <c r="T441" s="59">
        <f>IF(MIN(IF(ISBLANK(R441),Q441,R441),IF(ISBLANK(Q441),R441,Q441))=0,"",MIN(IF(ISBLANK(R441),Q441,R441),IF(ISBLANK(Q441),R441,Q441)))</f>
        <v>6.1574074074074074E-3</v>
      </c>
      <c r="U441" s="57"/>
      <c r="V441" s="57"/>
      <c r="W441" s="59">
        <f>IF(MIN(IF(ISBLANK(U441),T441,U441),IF(ISBLANK(T441),U441,T441))=0,"",MIN(IF(ISBLANK(U441),T441,U441),IF(ISBLANK(T441),U441,T441)))</f>
        <v>6.1574074074074074E-3</v>
      </c>
      <c r="X441" s="57"/>
      <c r="Y441" s="57"/>
      <c r="Z441" s="59">
        <f t="shared" si="91"/>
        <v>6.1574074074074074E-3</v>
      </c>
      <c r="AA441" s="57"/>
      <c r="AB441" s="57"/>
      <c r="AC441" s="59">
        <f t="shared" si="88"/>
        <v>6.1574074074074074E-3</v>
      </c>
      <c r="AD441" s="57"/>
      <c r="AE441" s="57"/>
      <c r="AF441" s="59"/>
    </row>
    <row r="442" spans="1:32">
      <c r="A442" s="24"/>
      <c r="B442" s="26" t="s">
        <v>168</v>
      </c>
      <c r="C442" s="26" t="s">
        <v>450</v>
      </c>
      <c r="D442" s="50" t="s">
        <v>221</v>
      </c>
      <c r="E442" s="51"/>
      <c r="F442" s="50" t="s">
        <v>221</v>
      </c>
      <c r="G442" s="52"/>
      <c r="H442" s="50" t="s">
        <v>221</v>
      </c>
      <c r="I442" s="53"/>
      <c r="J442" s="50" t="s">
        <v>221</v>
      </c>
      <c r="K442" s="53"/>
      <c r="L442" s="50" t="s">
        <v>221</v>
      </c>
      <c r="M442" s="57"/>
      <c r="N442" s="55">
        <v>6.1342592592592594E-3</v>
      </c>
      <c r="O442" s="57"/>
      <c r="P442" s="57"/>
      <c r="Q442" s="59">
        <f>IF(MIN(IF(ISBLANK(O442),N442,O442),IF(ISBLANK(N442),O442,N442))=0,"",MIN(IF(ISBLANK(O442),N442,O442),IF(ISBLANK(N442),O442,N442)))</f>
        <v>6.1342592592592594E-3</v>
      </c>
      <c r="R442" s="57"/>
      <c r="S442" s="57"/>
      <c r="T442" s="59">
        <f>IF(MIN(IF(ISBLANK(R442),Q442,R442),IF(ISBLANK(Q442),R442,Q442))=0,"",MIN(IF(ISBLANK(R442),Q442,R442),IF(ISBLANK(Q442),R442,Q442)))</f>
        <v>6.1342592592592594E-3</v>
      </c>
      <c r="U442" s="57"/>
      <c r="V442" s="57"/>
      <c r="W442" s="59">
        <f>IF(MIN(IF(ISBLANK(U442),T442,U442),IF(ISBLANK(T442),U442,T442))=0,"",MIN(IF(ISBLANK(U442),T442,U442),IF(ISBLANK(T442),U442,T442)))</f>
        <v>6.1342592592592594E-3</v>
      </c>
      <c r="X442" s="57"/>
      <c r="Y442" s="57"/>
      <c r="Z442" s="59">
        <f t="shared" si="91"/>
        <v>6.1342592592592594E-3</v>
      </c>
      <c r="AA442" s="57"/>
      <c r="AB442" s="57"/>
      <c r="AC442" s="59">
        <f t="shared" si="88"/>
        <v>6.1342592592592594E-3</v>
      </c>
      <c r="AD442" s="57"/>
      <c r="AE442" s="57"/>
      <c r="AF442" s="59"/>
    </row>
    <row r="443" spans="1:32">
      <c r="A443" s="24" t="s">
        <v>326</v>
      </c>
      <c r="B443" s="26" t="s">
        <v>175</v>
      </c>
      <c r="C443" s="26" t="s">
        <v>450</v>
      </c>
      <c r="D443" s="50">
        <v>7.38</v>
      </c>
      <c r="E443" s="51" t="s">
        <v>263</v>
      </c>
      <c r="F443" s="50">
        <v>7.38</v>
      </c>
      <c r="G443" s="52" t="s">
        <v>360</v>
      </c>
      <c r="H443" s="50">
        <v>7.38</v>
      </c>
      <c r="I443" s="53"/>
      <c r="J443" s="50">
        <v>7.38</v>
      </c>
      <c r="K443" s="53"/>
      <c r="L443" s="50">
        <v>7.38</v>
      </c>
      <c r="M443" s="57"/>
      <c r="N443" s="55">
        <v>5.3009259259259251E-3</v>
      </c>
      <c r="O443" s="57">
        <v>5.7291666666666671E-3</v>
      </c>
      <c r="P443" s="57"/>
      <c r="Q443" s="59">
        <f>IF(MIN(IF(ISBLANK(O443),N443,O443),IF(ISBLANK(N443),O443,N443))=0,"",MIN(IF(ISBLANK(O443),N443,O443),IF(ISBLANK(N443),O443,N443)))</f>
        <v>5.3009259259259251E-3</v>
      </c>
      <c r="R443" s="57"/>
      <c r="S443" s="57"/>
      <c r="T443" s="59">
        <f>IF(MIN(IF(ISBLANK(R443),Q443,R443),IF(ISBLANK(Q443),R443,Q443))=0,"",MIN(IF(ISBLANK(R443),Q443,R443),IF(ISBLANK(Q443),R443,Q443)))</f>
        <v>5.3009259259259251E-3</v>
      </c>
      <c r="U443" s="57">
        <v>5.7638888888888887E-3</v>
      </c>
      <c r="V443" s="57"/>
      <c r="W443" s="59">
        <f>IF(MIN(IF(ISBLANK(U443),T443,U443),IF(ISBLANK(T443),U443,T443))=0,"",MIN(IF(ISBLANK(U443),T443,U443),IF(ISBLANK(T443),U443,T443)))</f>
        <v>5.3009259259259251E-3</v>
      </c>
      <c r="X443" s="57"/>
      <c r="Y443" s="57"/>
      <c r="Z443" s="59">
        <f t="shared" si="91"/>
        <v>5.3009259259259251E-3</v>
      </c>
      <c r="AA443" s="57"/>
      <c r="AB443" s="57"/>
      <c r="AC443" s="59">
        <f t="shared" si="88"/>
        <v>5.3009259259259251E-3</v>
      </c>
      <c r="AD443" s="57"/>
      <c r="AE443" s="57"/>
      <c r="AF443" s="59"/>
    </row>
    <row r="444" spans="1:32">
      <c r="A444" s="24"/>
      <c r="B444" s="26" t="s">
        <v>265</v>
      </c>
      <c r="C444" s="26"/>
      <c r="D444" s="50">
        <v>8.4499999999999993</v>
      </c>
      <c r="E444" s="51"/>
      <c r="F444" s="50">
        <v>8.4499999999999993</v>
      </c>
      <c r="G444" s="52"/>
      <c r="H444" s="50">
        <v>8.4499999999999993</v>
      </c>
      <c r="I444" s="53"/>
      <c r="J444" s="50">
        <v>8.4499999999999993</v>
      </c>
      <c r="K444" s="53"/>
      <c r="L444" s="50">
        <v>8.4499999999999993</v>
      </c>
      <c r="M444" s="57"/>
      <c r="N444" s="55">
        <v>6.076388888888889E-3</v>
      </c>
      <c r="O444" s="57"/>
      <c r="P444" s="57"/>
      <c r="Q444" s="59">
        <f>IF(MIN(IF(ISBLANK(O444),N444,O444),IF(ISBLANK(N444),O444,N444))=0,"",MIN(IF(ISBLANK(O444),N444,O444),IF(ISBLANK(N444),O444,N444)))</f>
        <v>6.076388888888889E-3</v>
      </c>
      <c r="R444" s="57"/>
      <c r="S444" s="57"/>
      <c r="T444" s="59">
        <f>IF(MIN(IF(ISBLANK(R444),Q444,R444),IF(ISBLANK(Q444),R444,Q444))=0,"",MIN(IF(ISBLANK(R444),Q444,R444),IF(ISBLANK(Q444),R444,Q444)))</f>
        <v>6.076388888888889E-3</v>
      </c>
      <c r="U444" s="57"/>
      <c r="V444" s="57"/>
      <c r="W444" s="59">
        <f>IF(MIN(IF(ISBLANK(U444),T444,U444),IF(ISBLANK(T444),U444,T444))=0,"",MIN(IF(ISBLANK(U444),T444,U444),IF(ISBLANK(T444),U444,T444)))</f>
        <v>6.076388888888889E-3</v>
      </c>
      <c r="X444" s="57"/>
      <c r="Y444" s="57"/>
      <c r="Z444" s="59">
        <f t="shared" si="91"/>
        <v>6.076388888888889E-3</v>
      </c>
      <c r="AA444" s="57"/>
      <c r="AB444" s="57"/>
      <c r="AC444" s="59">
        <f t="shared" si="88"/>
        <v>6.076388888888889E-3</v>
      </c>
      <c r="AD444" s="57"/>
      <c r="AE444" s="57"/>
      <c r="AF444" s="59"/>
    </row>
    <row r="445" spans="1:32">
      <c r="A445" s="24"/>
      <c r="B445" s="26" t="s">
        <v>672</v>
      </c>
      <c r="C445" s="26"/>
      <c r="D445" s="50"/>
      <c r="E445" s="51"/>
      <c r="F445" s="50"/>
      <c r="G445" s="52"/>
      <c r="H445" s="50"/>
      <c r="I445" s="53"/>
      <c r="J445" s="50"/>
      <c r="K445" s="53"/>
      <c r="L445" s="50"/>
      <c r="M445" s="57"/>
      <c r="N445" s="55"/>
      <c r="O445" s="57"/>
      <c r="P445" s="57"/>
      <c r="Q445" s="59"/>
      <c r="R445" s="57"/>
      <c r="S445" s="57"/>
      <c r="T445" s="59"/>
      <c r="U445" s="57"/>
      <c r="V445" s="57"/>
      <c r="W445" s="59"/>
      <c r="X445" s="57"/>
      <c r="Y445" s="57"/>
      <c r="Z445" s="59" t="str">
        <f t="shared" si="91"/>
        <v/>
      </c>
      <c r="AA445" s="57"/>
      <c r="AB445" s="57"/>
      <c r="AC445" s="59" t="str">
        <f t="shared" si="88"/>
        <v/>
      </c>
      <c r="AD445" s="57"/>
      <c r="AE445" s="57"/>
      <c r="AF445" s="59"/>
    </row>
    <row r="446" spans="1:32">
      <c r="A446" s="24" t="s">
        <v>326</v>
      </c>
      <c r="B446" s="26" t="s">
        <v>624</v>
      </c>
      <c r="C446" s="26"/>
      <c r="D446" s="50"/>
      <c r="E446" s="51"/>
      <c r="F446" s="50"/>
      <c r="G446" s="52"/>
      <c r="H446" s="50"/>
      <c r="I446" s="53"/>
      <c r="J446" s="50"/>
      <c r="K446" s="53"/>
      <c r="L446" s="50"/>
      <c r="M446" s="57"/>
      <c r="N446" s="55"/>
      <c r="O446" s="57"/>
      <c r="P446" s="57"/>
      <c r="Q446" s="59"/>
      <c r="R446" s="57"/>
      <c r="S446" s="57"/>
      <c r="T446" s="59" t="str">
        <f>IF(MIN(IF(ISBLANK(R446),Q446,R446),IF(ISBLANK(Q446),R446,Q446))=0,"",MIN(IF(ISBLANK(R446),Q446,R446),IF(ISBLANK(Q446),R446,Q446)))</f>
        <v/>
      </c>
      <c r="U446" s="57">
        <v>5.8101851851851856E-3</v>
      </c>
      <c r="V446" s="57"/>
      <c r="W446" s="59">
        <f>IF(MIN(IF(ISBLANK(U446),T446,U446),IF(ISBLANK(T446),U446,T446))=0,"",MIN(IF(ISBLANK(U446),T446,U446),IF(ISBLANK(T446),U446,T446)))</f>
        <v>5.8101851851851856E-3</v>
      </c>
      <c r="X446" s="57">
        <v>5.6249999999999989E-3</v>
      </c>
      <c r="Y446" s="57"/>
      <c r="Z446" s="59">
        <f t="shared" si="91"/>
        <v>5.6249999999999989E-3</v>
      </c>
      <c r="AA446" s="57"/>
      <c r="AB446" s="57"/>
      <c r="AC446" s="59">
        <f t="shared" si="88"/>
        <v>5.6249999999999989E-3</v>
      </c>
      <c r="AD446" s="57"/>
      <c r="AE446" s="57"/>
      <c r="AF446" s="59"/>
    </row>
    <row r="447" spans="1:32">
      <c r="A447" s="24" t="s">
        <v>326</v>
      </c>
      <c r="B447" s="26" t="s">
        <v>673</v>
      </c>
      <c r="C447" s="26"/>
      <c r="D447" s="50"/>
      <c r="E447" s="51"/>
      <c r="F447" s="50"/>
      <c r="G447" s="52"/>
      <c r="H447" s="50"/>
      <c r="I447" s="53"/>
      <c r="J447" s="50"/>
      <c r="K447" s="53"/>
      <c r="L447" s="50"/>
      <c r="M447" s="57"/>
      <c r="N447" s="55"/>
      <c r="O447" s="57"/>
      <c r="P447" s="57"/>
      <c r="Q447" s="59"/>
      <c r="R447" s="57"/>
      <c r="S447" s="57"/>
      <c r="T447" s="59"/>
      <c r="U447" s="57"/>
      <c r="V447" s="57"/>
      <c r="W447" s="59"/>
      <c r="X447" s="57">
        <v>5.5324074074074069E-3</v>
      </c>
      <c r="Y447" s="57"/>
      <c r="Z447" s="59">
        <f t="shared" si="91"/>
        <v>5.5324074074074069E-3</v>
      </c>
      <c r="AA447" s="57">
        <v>5.4629629629629637E-3</v>
      </c>
      <c r="AB447" s="57"/>
      <c r="AC447" s="59">
        <f t="shared" si="88"/>
        <v>5.4629629629629637E-3</v>
      </c>
      <c r="AD447" s="57">
        <v>5.4861111111111117E-3</v>
      </c>
      <c r="AE447" s="57"/>
      <c r="AF447" s="59"/>
    </row>
    <row r="448" spans="1:32">
      <c r="A448" s="24"/>
      <c r="B448" s="26" t="s">
        <v>422</v>
      </c>
      <c r="C448" s="26" t="s">
        <v>450</v>
      </c>
      <c r="D448" s="50"/>
      <c r="E448" s="51"/>
      <c r="F448" s="50"/>
      <c r="G448" s="52"/>
      <c r="H448" s="50"/>
      <c r="I448" s="53">
        <v>8.1300000000000008</v>
      </c>
      <c r="J448" s="50">
        <v>8.1300000000000008</v>
      </c>
      <c r="K448" s="53"/>
      <c r="L448" s="50">
        <v>8.1300000000000008</v>
      </c>
      <c r="M448" s="57"/>
      <c r="N448" s="55">
        <v>5.7060185185185191E-3</v>
      </c>
      <c r="O448" s="57">
        <v>6.2268518518518515E-3</v>
      </c>
      <c r="P448" s="57"/>
      <c r="Q448" s="59">
        <f>IF(MIN(IF(ISBLANK(O448),N448,O448),IF(ISBLANK(N448),O448,N448))=0,"",MIN(IF(ISBLANK(O448),N448,O448),IF(ISBLANK(N448),O448,N448)))</f>
        <v>5.7060185185185191E-3</v>
      </c>
      <c r="R448" s="57"/>
      <c r="S448" s="57"/>
      <c r="T448" s="59">
        <f>IF(MIN(IF(ISBLANK(R448),Q448,R448),IF(ISBLANK(Q448),R448,Q448))=0,"",MIN(IF(ISBLANK(R448),Q448,R448),IF(ISBLANK(Q448),R448,Q448)))</f>
        <v>5.7060185185185191E-3</v>
      </c>
      <c r="U448" s="57"/>
      <c r="V448" s="57"/>
      <c r="W448" s="59">
        <f>IF(MIN(IF(ISBLANK(U448),T448,U448),IF(ISBLANK(T448),U448,T448))=0,"",MIN(IF(ISBLANK(U448),T448,U448),IF(ISBLANK(T448),U448,T448)))</f>
        <v>5.7060185185185191E-3</v>
      </c>
      <c r="X448" s="57"/>
      <c r="Y448" s="57"/>
      <c r="Z448" s="59">
        <f t="shared" si="91"/>
        <v>5.7060185185185191E-3</v>
      </c>
      <c r="AA448" s="57"/>
      <c r="AB448" s="57"/>
      <c r="AC448" s="59">
        <f t="shared" si="88"/>
        <v>5.7060185185185191E-3</v>
      </c>
      <c r="AD448" s="57"/>
      <c r="AE448" s="57"/>
      <c r="AF448" s="59"/>
    </row>
    <row r="449" spans="1:32">
      <c r="A449" s="24"/>
      <c r="B449" s="26" t="s">
        <v>182</v>
      </c>
      <c r="C449" s="26" t="s">
        <v>450</v>
      </c>
      <c r="D449" s="50" t="s">
        <v>312</v>
      </c>
      <c r="E449" s="51" t="s">
        <v>313</v>
      </c>
      <c r="F449" s="50">
        <v>8.27</v>
      </c>
      <c r="G449" s="52" t="s">
        <v>361</v>
      </c>
      <c r="H449" s="50">
        <v>8.27</v>
      </c>
      <c r="I449" s="53">
        <v>8.2799999999999994</v>
      </c>
      <c r="J449" s="50">
        <v>8.27</v>
      </c>
      <c r="K449" s="53">
        <v>8.32</v>
      </c>
      <c r="L449" s="50">
        <v>8.27</v>
      </c>
      <c r="M449" s="57"/>
      <c r="N449" s="55">
        <v>5.8680555555555543E-3</v>
      </c>
      <c r="O449" s="57"/>
      <c r="P449" s="57"/>
      <c r="Q449" s="59">
        <f>IF(MIN(IF(ISBLANK(O449),N449,O449),IF(ISBLANK(N449),O449,N449))=0,"",MIN(IF(ISBLANK(O449),N449,O449),IF(ISBLANK(N449),O449,N449)))</f>
        <v>5.8680555555555543E-3</v>
      </c>
      <c r="R449" s="57"/>
      <c r="S449" s="57"/>
      <c r="T449" s="59">
        <f>IF(MIN(IF(ISBLANK(R449),Q449,R449),IF(ISBLANK(Q449),R449,Q449))=0,"",MIN(IF(ISBLANK(R449),Q449,R449),IF(ISBLANK(Q449),R449,Q449)))</f>
        <v>5.8680555555555543E-3</v>
      </c>
      <c r="U449" s="57"/>
      <c r="V449" s="57"/>
      <c r="W449" s="59">
        <f>IF(MIN(IF(ISBLANK(U449),T449,U449),IF(ISBLANK(T449),U449,T449))=0,"",MIN(IF(ISBLANK(U449),T449,U449),IF(ISBLANK(T449),U449,T449)))</f>
        <v>5.8680555555555543E-3</v>
      </c>
      <c r="X449" s="57"/>
      <c r="Y449" s="57"/>
      <c r="Z449" s="59">
        <f t="shared" si="91"/>
        <v>5.8680555555555543E-3</v>
      </c>
      <c r="AA449" s="57"/>
      <c r="AB449" s="57"/>
      <c r="AC449" s="59">
        <f t="shared" si="88"/>
        <v>5.8680555555555543E-3</v>
      </c>
      <c r="AD449" s="57"/>
      <c r="AE449" s="57"/>
      <c r="AF449" s="59"/>
    </row>
    <row r="450" spans="1:32">
      <c r="A450" s="24" t="s">
        <v>326</v>
      </c>
      <c r="B450" s="26" t="s">
        <v>245</v>
      </c>
      <c r="C450" s="26" t="s">
        <v>450</v>
      </c>
      <c r="D450" s="50">
        <v>8.16</v>
      </c>
      <c r="E450" s="51"/>
      <c r="F450" s="50">
        <v>8.16</v>
      </c>
      <c r="G450" s="52"/>
      <c r="H450" s="50">
        <v>8.16</v>
      </c>
      <c r="I450" s="53"/>
      <c r="J450" s="50">
        <v>8.16</v>
      </c>
      <c r="K450" s="53"/>
      <c r="L450" s="50">
        <v>8.16</v>
      </c>
      <c r="M450" s="57"/>
      <c r="N450" s="55">
        <v>5.7407407407407416E-3</v>
      </c>
      <c r="O450" s="57"/>
      <c r="P450" s="57"/>
      <c r="Q450" s="59">
        <f>IF(MIN(IF(ISBLANK(O450),N450,O450),IF(ISBLANK(N450),O450,N450))=0,"",MIN(IF(ISBLANK(O450),N450,O450),IF(ISBLANK(N450),O450,N450)))</f>
        <v>5.7407407407407416E-3</v>
      </c>
      <c r="R450" s="57"/>
      <c r="S450" s="57"/>
      <c r="T450" s="59">
        <f>IF(MIN(IF(ISBLANK(R450),Q450,R450),IF(ISBLANK(Q450),R450,Q450))=0,"",MIN(IF(ISBLANK(R450),Q450,R450),IF(ISBLANK(Q450),R450,Q450)))</f>
        <v>5.7407407407407416E-3</v>
      </c>
      <c r="U450" s="57"/>
      <c r="V450" s="57"/>
      <c r="W450" s="59">
        <f>IF(MIN(IF(ISBLANK(U450),T450,U450),IF(ISBLANK(T450),U450,T450))=0,"",MIN(IF(ISBLANK(U450),T450,U450),IF(ISBLANK(T450),U450,T450)))</f>
        <v>5.7407407407407416E-3</v>
      </c>
      <c r="X450" s="57"/>
      <c r="Y450" s="57"/>
      <c r="Z450" s="59">
        <f t="shared" si="91"/>
        <v>5.7407407407407416E-3</v>
      </c>
      <c r="AA450" s="57">
        <v>5.8680555555555543E-3</v>
      </c>
      <c r="AB450" s="57"/>
      <c r="AC450" s="59">
        <f t="shared" si="88"/>
        <v>5.7407407407407416E-3</v>
      </c>
      <c r="AD450" s="57"/>
      <c r="AE450" s="57"/>
      <c r="AF450" s="59"/>
    </row>
    <row r="451" spans="1:32">
      <c r="A451" s="24"/>
      <c r="B451" s="26" t="s">
        <v>273</v>
      </c>
      <c r="C451" s="26" t="s">
        <v>451</v>
      </c>
      <c r="D451" s="50"/>
      <c r="E451" s="51"/>
      <c r="F451" s="50" t="s">
        <v>455</v>
      </c>
      <c r="G451" s="52"/>
      <c r="H451" s="50"/>
      <c r="I451" s="53"/>
      <c r="J451" s="50" t="s">
        <v>455</v>
      </c>
      <c r="K451" s="53"/>
      <c r="L451" s="50"/>
      <c r="M451" s="57"/>
      <c r="N451" s="55"/>
      <c r="O451" s="57"/>
      <c r="P451" s="57"/>
      <c r="Q451" s="59" t="str">
        <f>IF(MIN(IF(ISBLANK(O451),N451,O451),IF(ISBLANK(N451),O451,N451))=0,"",MIN(IF(ISBLANK(O451),N451,O451),IF(ISBLANK(N451),O451,N451)))</f>
        <v/>
      </c>
      <c r="R451" s="57"/>
      <c r="S451" s="57"/>
      <c r="T451" s="59" t="str">
        <f>IF(MIN(IF(ISBLANK(R451),Q451,R451),IF(ISBLANK(Q451),R451,Q451))=0,"",MIN(IF(ISBLANK(R451),Q451,R451),IF(ISBLANK(Q451),R451,Q451)))</f>
        <v/>
      </c>
      <c r="U451" s="57"/>
      <c r="V451" s="57"/>
      <c r="W451" s="59" t="str">
        <f>IF(MIN(IF(ISBLANK(U451),T451,U451),IF(ISBLANK(T451),U451,T451))=0,"",MIN(IF(ISBLANK(U451),T451,U451),IF(ISBLANK(T451),U451,T451)))</f>
        <v/>
      </c>
      <c r="X451" s="57"/>
      <c r="Y451" s="57"/>
      <c r="Z451" s="59" t="str">
        <f t="shared" si="91"/>
        <v/>
      </c>
      <c r="AA451" s="57"/>
      <c r="AB451" s="57"/>
      <c r="AC451" s="59" t="str">
        <f t="shared" ref="AC451:AC515" si="94">IF(MIN(IF(ISBLANK(Z451),AA451,Z451),IF(ISBLANK(AA451),Z451,AA451))=0,"",MIN(IF(ISBLANK(Z451),AA451,Z451),IF(ISBLANK(AA451),Z451,AA451)))</f>
        <v/>
      </c>
      <c r="AD451" s="57"/>
      <c r="AE451" s="57"/>
      <c r="AF451" s="59"/>
    </row>
    <row r="452" spans="1:32">
      <c r="A452" s="24"/>
      <c r="B452" s="26" t="s">
        <v>193</v>
      </c>
      <c r="C452" s="26"/>
      <c r="D452" s="50">
        <v>14.56</v>
      </c>
      <c r="E452" s="51"/>
      <c r="F452" s="50">
        <v>14.56</v>
      </c>
      <c r="G452" s="52"/>
      <c r="H452" s="50">
        <v>14.56</v>
      </c>
      <c r="I452" s="53"/>
      <c r="J452" s="50">
        <v>14.56</v>
      </c>
      <c r="K452" s="53"/>
      <c r="L452" s="50">
        <v>14.56</v>
      </c>
      <c r="M452" s="57"/>
      <c r="N452" s="55">
        <v>1.037037037037037E-2</v>
      </c>
      <c r="O452" s="57"/>
      <c r="P452" s="57"/>
      <c r="Q452" s="59">
        <f>IF(MIN(IF(ISBLANK(O452),N452,O452),IF(ISBLANK(N452),O452,N452))=0,"",MIN(IF(ISBLANK(O452),N452,O452),IF(ISBLANK(N452),O452,N452)))</f>
        <v>1.037037037037037E-2</v>
      </c>
      <c r="R452" s="57"/>
      <c r="S452" s="57"/>
      <c r="T452" s="59">
        <f>IF(MIN(IF(ISBLANK(R452),Q452,R452),IF(ISBLANK(Q452),R452,Q452))=0,"",MIN(IF(ISBLANK(R452),Q452,R452),IF(ISBLANK(Q452),R452,Q452)))</f>
        <v>1.037037037037037E-2</v>
      </c>
      <c r="U452" s="57"/>
      <c r="V452" s="57"/>
      <c r="W452" s="59">
        <f>IF(MIN(IF(ISBLANK(U452),T452,U452),IF(ISBLANK(T452),U452,T452))=0,"",MIN(IF(ISBLANK(U452),T452,U452),IF(ISBLANK(T452),U452,T452)))</f>
        <v>1.037037037037037E-2</v>
      </c>
      <c r="X452" s="57"/>
      <c r="Y452" s="57"/>
      <c r="Z452" s="59">
        <f t="shared" si="91"/>
        <v>1.037037037037037E-2</v>
      </c>
      <c r="AA452" s="57"/>
      <c r="AB452" s="57"/>
      <c r="AC452" s="59">
        <f t="shared" si="94"/>
        <v>1.037037037037037E-2</v>
      </c>
      <c r="AD452" s="57"/>
      <c r="AE452" s="57"/>
      <c r="AF452" s="59"/>
    </row>
    <row r="453" spans="1:32">
      <c r="A453" s="24"/>
      <c r="B453" s="26" t="s">
        <v>708</v>
      </c>
      <c r="C453" s="26"/>
      <c r="D453" s="50"/>
      <c r="E453" s="51"/>
      <c r="F453" s="50"/>
      <c r="G453" s="52"/>
      <c r="H453" s="50"/>
      <c r="I453" s="53"/>
      <c r="J453" s="50"/>
      <c r="K453" s="54"/>
      <c r="L453" s="50"/>
      <c r="M453" s="56"/>
      <c r="N453" s="55"/>
      <c r="O453" s="56"/>
      <c r="P453" s="56"/>
      <c r="Q453" s="59"/>
      <c r="R453" s="56"/>
      <c r="S453" s="56"/>
      <c r="T453" s="59"/>
      <c r="U453" s="56"/>
      <c r="V453" s="56"/>
      <c r="W453" s="59"/>
      <c r="X453" s="56"/>
      <c r="Y453" s="56"/>
      <c r="Z453" s="59"/>
      <c r="AA453" s="56"/>
      <c r="AB453" s="56"/>
      <c r="AC453" s="59" t="str">
        <f t="shared" si="94"/>
        <v/>
      </c>
      <c r="AD453" s="56"/>
      <c r="AE453" s="56"/>
      <c r="AF453" s="59"/>
    </row>
    <row r="454" spans="1:32">
      <c r="A454" s="24"/>
      <c r="B454" s="26" t="s">
        <v>596</v>
      </c>
      <c r="C454" s="26"/>
      <c r="D454" s="50"/>
      <c r="E454" s="51"/>
      <c r="F454" s="50"/>
      <c r="G454" s="52"/>
      <c r="H454" s="50"/>
      <c r="I454" s="53"/>
      <c r="J454" s="50"/>
      <c r="K454" s="53"/>
      <c r="L454" s="50"/>
      <c r="M454" s="57"/>
      <c r="N454" s="55"/>
      <c r="O454" s="57">
        <v>6.0648148148148145E-3</v>
      </c>
      <c r="P454" s="57"/>
      <c r="Q454" s="59">
        <f>IF(MIN(IF(ISBLANK(O454),N454,O454),IF(ISBLANK(N454),O454,N454))=0,"",MIN(IF(ISBLANK(O454),N454,O454),IF(ISBLANK(N454),O454,N454)))</f>
        <v>6.0648148148148145E-3</v>
      </c>
      <c r="R454" s="57"/>
      <c r="S454" s="57"/>
      <c r="T454" s="59">
        <f>IF(MIN(IF(ISBLANK(R454),Q454,R454),IF(ISBLANK(Q454),R454,Q454))=0,"",MIN(IF(ISBLANK(R454),Q454,R454),IF(ISBLANK(Q454),R454,Q454)))</f>
        <v>6.0648148148148145E-3</v>
      </c>
      <c r="U454" s="57"/>
      <c r="V454" s="57"/>
      <c r="W454" s="59">
        <f>IF(MIN(IF(ISBLANK(U454),T454,U454),IF(ISBLANK(T454),U454,T454))=0,"",MIN(IF(ISBLANK(U454),T454,U454),IF(ISBLANK(T454),U454,T454)))</f>
        <v>6.0648148148148145E-3</v>
      </c>
      <c r="X454" s="57"/>
      <c r="Y454" s="57"/>
      <c r="Z454" s="59">
        <f t="shared" ref="Z454:Z469" si="95">IF(MIN(IF(ISBLANK(X454),W454,X454),IF(ISBLANK(W454),X454,W454))=0,"",MIN(IF(ISBLANK(X454),W454,X454),IF(ISBLANK(W454),X454,W454)))</f>
        <v>6.0648148148148145E-3</v>
      </c>
      <c r="AA454" s="57"/>
      <c r="AB454" s="57"/>
      <c r="AC454" s="59">
        <f t="shared" si="94"/>
        <v>6.0648148148148145E-3</v>
      </c>
      <c r="AD454" s="57"/>
      <c r="AE454" s="57"/>
      <c r="AF454" s="59"/>
    </row>
    <row r="455" spans="1:32">
      <c r="A455" s="24"/>
      <c r="B455" s="26" t="s">
        <v>205</v>
      </c>
      <c r="C455" s="26" t="s">
        <v>451</v>
      </c>
      <c r="D455" s="50">
        <v>8.5299999999999994</v>
      </c>
      <c r="E455" s="51" t="s">
        <v>314</v>
      </c>
      <c r="F455" s="50">
        <v>8.5299999999999994</v>
      </c>
      <c r="G455" s="52"/>
      <c r="H455" s="50">
        <v>8.5299999999999994</v>
      </c>
      <c r="I455" s="53"/>
      <c r="J455" s="50">
        <v>8.5299999999999994</v>
      </c>
      <c r="K455" s="53">
        <v>9.02</v>
      </c>
      <c r="L455" s="50">
        <v>8.5299999999999994</v>
      </c>
      <c r="M455" s="57"/>
      <c r="N455" s="55">
        <v>6.168981481481481E-3</v>
      </c>
      <c r="O455" s="57">
        <v>6.5393518518518517E-3</v>
      </c>
      <c r="P455" s="57"/>
      <c r="Q455" s="59">
        <f>IF(MIN(IF(ISBLANK(O455),N455,O455),IF(ISBLANK(N455),O455,N455))=0,"",MIN(IF(ISBLANK(O455),N455,O455),IF(ISBLANK(N455),O455,N455)))</f>
        <v>6.168981481481481E-3</v>
      </c>
      <c r="R455" s="57"/>
      <c r="S455" s="57" t="s">
        <v>603</v>
      </c>
      <c r="T455" s="59">
        <f>IF(MIN(IF(ISBLANK(R455),Q455,R455),IF(ISBLANK(Q455),R455,Q455))=0,"",MIN(IF(ISBLANK(R455),Q455,R455),IF(ISBLANK(Q455),R455,Q455)))</f>
        <v>6.168981481481481E-3</v>
      </c>
      <c r="U455" s="57"/>
      <c r="V455" s="57"/>
      <c r="W455" s="59">
        <f>IF(MIN(IF(ISBLANK(U455),T455,U455),IF(ISBLANK(T455),U455,T455))=0,"",MIN(IF(ISBLANK(U455),T455,U455),IF(ISBLANK(T455),U455,T455)))</f>
        <v>6.168981481481481E-3</v>
      </c>
      <c r="X455" s="57"/>
      <c r="Y455" s="57"/>
      <c r="Z455" s="59">
        <f t="shared" si="95"/>
        <v>6.168981481481481E-3</v>
      </c>
      <c r="AA455" s="57"/>
      <c r="AB455" s="57"/>
      <c r="AC455" s="59">
        <f t="shared" si="94"/>
        <v>6.168981481481481E-3</v>
      </c>
      <c r="AD455" s="57"/>
      <c r="AE455" s="57"/>
      <c r="AF455" s="59"/>
    </row>
    <row r="456" spans="1:32">
      <c r="A456" s="24" t="s">
        <v>326</v>
      </c>
      <c r="B456" s="26" t="s">
        <v>209</v>
      </c>
      <c r="C456" s="26" t="s">
        <v>450</v>
      </c>
      <c r="D456" s="50">
        <v>7.36</v>
      </c>
      <c r="E456" s="51" t="s">
        <v>315</v>
      </c>
      <c r="F456" s="50">
        <v>7.36</v>
      </c>
      <c r="G456" s="52" t="s">
        <v>362</v>
      </c>
      <c r="H456" s="50">
        <v>7.36</v>
      </c>
      <c r="I456" s="53"/>
      <c r="J456" s="50">
        <v>7.36</v>
      </c>
      <c r="K456" s="53">
        <v>7.39</v>
      </c>
      <c r="L456" s="50">
        <v>7.36</v>
      </c>
      <c r="M456" s="57">
        <v>5.8796296296296296E-3</v>
      </c>
      <c r="N456" s="55">
        <v>5.2777777777777771E-3</v>
      </c>
      <c r="O456" s="57"/>
      <c r="P456" s="57"/>
      <c r="Q456" s="59">
        <f>IF(MIN(IF(ISBLANK(O456),N456,O456),IF(ISBLANK(N456),O456,N456))=0,"",MIN(IF(ISBLANK(O456),N456,O456),IF(ISBLANK(N456),O456,N456)))</f>
        <v>5.2777777777777771E-3</v>
      </c>
      <c r="R456" s="57"/>
      <c r="S456" s="57"/>
      <c r="T456" s="59">
        <f>IF(MIN(IF(ISBLANK(R456),Q456,R456),IF(ISBLANK(Q456),R456,Q456))=0,"",MIN(IF(ISBLANK(R456),Q456,R456),IF(ISBLANK(Q456),R456,Q456)))</f>
        <v>5.2777777777777771E-3</v>
      </c>
      <c r="U456" s="57"/>
      <c r="V456" s="57"/>
      <c r="W456" s="59">
        <f>IF(MIN(IF(ISBLANK(U456),T456,U456),IF(ISBLANK(T456),U456,T456))=0,"",MIN(IF(ISBLANK(U456),T456,U456),IF(ISBLANK(T456),U456,T456)))</f>
        <v>5.2777777777777771E-3</v>
      </c>
      <c r="X456" s="57"/>
      <c r="Y456" s="57"/>
      <c r="Z456" s="59">
        <f t="shared" si="95"/>
        <v>5.2777777777777771E-3</v>
      </c>
      <c r="AA456" s="57"/>
      <c r="AB456" s="57"/>
      <c r="AC456" s="59">
        <f t="shared" si="94"/>
        <v>5.2777777777777771E-3</v>
      </c>
      <c r="AD456" s="57"/>
      <c r="AE456" s="57"/>
      <c r="AF456" s="59"/>
    </row>
    <row r="457" spans="1:32">
      <c r="A457" s="24" t="s">
        <v>326</v>
      </c>
      <c r="B457" s="26" t="s">
        <v>674</v>
      </c>
      <c r="C457" s="26"/>
      <c r="D457" s="50"/>
      <c r="E457" s="51"/>
      <c r="F457" s="50"/>
      <c r="G457" s="52"/>
      <c r="H457" s="50"/>
      <c r="I457" s="53"/>
      <c r="J457" s="50"/>
      <c r="K457" s="53"/>
      <c r="L457" s="50"/>
      <c r="M457" s="57"/>
      <c r="N457" s="55"/>
      <c r="O457" s="57"/>
      <c r="P457" s="57"/>
      <c r="Q457" s="59"/>
      <c r="R457" s="57"/>
      <c r="S457" s="57"/>
      <c r="T457" s="59"/>
      <c r="U457" s="57"/>
      <c r="V457" s="57"/>
      <c r="W457" s="59"/>
      <c r="X457" s="57"/>
      <c r="Y457" s="57"/>
      <c r="Z457" s="59" t="str">
        <f t="shared" si="95"/>
        <v/>
      </c>
      <c r="AA457" s="57"/>
      <c r="AB457" s="57"/>
      <c r="AC457" s="59" t="str">
        <f t="shared" si="94"/>
        <v/>
      </c>
      <c r="AD457" s="57"/>
      <c r="AE457" s="57"/>
      <c r="AF457" s="59"/>
    </row>
    <row r="458" spans="1:32">
      <c r="A458" s="24" t="s">
        <v>326</v>
      </c>
      <c r="B458" s="26" t="s">
        <v>675</v>
      </c>
      <c r="C458" s="26"/>
      <c r="D458" s="50"/>
      <c r="E458" s="51"/>
      <c r="F458" s="50"/>
      <c r="G458" s="52"/>
      <c r="H458" s="50"/>
      <c r="I458" s="53"/>
      <c r="J458" s="50"/>
      <c r="K458" s="53"/>
      <c r="L458" s="50"/>
      <c r="M458" s="57"/>
      <c r="N458" s="55"/>
      <c r="O458" s="57"/>
      <c r="P458" s="57"/>
      <c r="Q458" s="59"/>
      <c r="R458" s="57"/>
      <c r="S458" s="57"/>
      <c r="T458" s="59"/>
      <c r="U458" s="57"/>
      <c r="V458" s="57"/>
      <c r="W458" s="59"/>
      <c r="X458" s="57">
        <v>5.2314814814814819E-3</v>
      </c>
      <c r="Y458" s="57"/>
      <c r="Z458" s="59">
        <f t="shared" si="95"/>
        <v>5.2314814814814819E-3</v>
      </c>
      <c r="AA458" s="57">
        <v>5.347222222222222E-3</v>
      </c>
      <c r="AB458" s="57"/>
      <c r="AC458" s="59">
        <f t="shared" si="94"/>
        <v>5.2314814814814819E-3</v>
      </c>
      <c r="AD458" s="57"/>
      <c r="AE458" s="57"/>
      <c r="AF458" s="59"/>
    </row>
    <row r="459" spans="1:32">
      <c r="A459" s="24"/>
      <c r="B459" s="26" t="s">
        <v>676</v>
      </c>
      <c r="C459" s="26"/>
      <c r="D459" s="50"/>
      <c r="E459" s="51"/>
      <c r="F459" s="50"/>
      <c r="G459" s="52"/>
      <c r="H459" s="50"/>
      <c r="I459" s="53"/>
      <c r="J459" s="50"/>
      <c r="K459" s="53"/>
      <c r="L459" s="50"/>
      <c r="M459" s="57"/>
      <c r="N459" s="55"/>
      <c r="O459" s="57"/>
      <c r="P459" s="57"/>
      <c r="Q459" s="59"/>
      <c r="R459" s="57"/>
      <c r="S459" s="57"/>
      <c r="T459" s="59"/>
      <c r="U459" s="57"/>
      <c r="V459" s="57"/>
      <c r="W459" s="59"/>
      <c r="X459" s="57"/>
      <c r="Y459" s="57"/>
      <c r="Z459" s="59" t="str">
        <f t="shared" si="95"/>
        <v/>
      </c>
      <c r="AA459" s="57"/>
      <c r="AB459" s="57"/>
      <c r="AC459" s="59" t="str">
        <f t="shared" si="94"/>
        <v/>
      </c>
      <c r="AD459" s="57"/>
      <c r="AE459" s="57"/>
      <c r="AF459" s="59"/>
    </row>
    <row r="460" spans="1:32">
      <c r="A460" s="24"/>
      <c r="B460" s="26" t="s">
        <v>527</v>
      </c>
      <c r="C460" s="26"/>
      <c r="D460" s="50"/>
      <c r="E460" s="51"/>
      <c r="F460" s="50"/>
      <c r="G460" s="52"/>
      <c r="H460" s="50"/>
      <c r="I460" s="53"/>
      <c r="J460" s="50"/>
      <c r="K460" s="53"/>
      <c r="L460" s="50"/>
      <c r="M460" s="57">
        <v>5.8449074074074072E-3</v>
      </c>
      <c r="N460" s="55">
        <v>5.8449074074074072E-3</v>
      </c>
      <c r="O460" s="57">
        <v>5.5324074074074069E-3</v>
      </c>
      <c r="P460" s="57"/>
      <c r="Q460" s="59">
        <f t="shared" ref="Q460:Q465" si="96">IF(MIN(IF(ISBLANK(O460),N460,O460),IF(ISBLANK(N460),O460,N460))=0,"",MIN(IF(ISBLANK(O460),N460,O460),IF(ISBLANK(N460),O460,N460)))</f>
        <v>5.5324074074074069E-3</v>
      </c>
      <c r="R460" s="57">
        <v>6.4699074074074069E-3</v>
      </c>
      <c r="S460" s="57"/>
      <c r="T460" s="59">
        <f t="shared" ref="T460:T465" si="97">IF(MIN(IF(ISBLANK(R460),Q460,R460),IF(ISBLANK(Q460),R460,Q460))=0,"",MIN(IF(ISBLANK(R460),Q460,R460),IF(ISBLANK(Q460),R460,Q460)))</f>
        <v>5.5324074074074069E-3</v>
      </c>
      <c r="U460" s="57"/>
      <c r="V460" s="57"/>
      <c r="W460" s="59">
        <f t="shared" ref="W460:W465" si="98">IF(MIN(IF(ISBLANK(U460),T460,U460),IF(ISBLANK(T460),U460,T460))=0,"",MIN(IF(ISBLANK(U460),T460,U460),IF(ISBLANK(T460),U460,T460)))</f>
        <v>5.5324074074074069E-3</v>
      </c>
      <c r="X460" s="57"/>
      <c r="Y460" s="57"/>
      <c r="Z460" s="59">
        <f t="shared" si="95"/>
        <v>5.5324074074074069E-3</v>
      </c>
      <c r="AA460" s="57"/>
      <c r="AB460" s="57"/>
      <c r="AC460" s="59">
        <f t="shared" si="94"/>
        <v>5.5324074074074069E-3</v>
      </c>
      <c r="AD460" s="57"/>
      <c r="AE460" s="57"/>
      <c r="AF460" s="59"/>
    </row>
    <row r="461" spans="1:32">
      <c r="A461" s="24"/>
      <c r="B461" s="26" t="s">
        <v>215</v>
      </c>
      <c r="C461" s="26" t="s">
        <v>450</v>
      </c>
      <c r="D461" s="50">
        <v>7.19</v>
      </c>
      <c r="E461" s="51"/>
      <c r="F461" s="50">
        <v>7.19</v>
      </c>
      <c r="G461" s="52"/>
      <c r="H461" s="50">
        <v>7.19</v>
      </c>
      <c r="I461" s="53"/>
      <c r="J461" s="50">
        <v>7.19</v>
      </c>
      <c r="K461" s="53"/>
      <c r="L461" s="50">
        <v>7.19</v>
      </c>
      <c r="M461" s="57"/>
      <c r="N461" s="55">
        <v>5.0810185185185186E-3</v>
      </c>
      <c r="O461" s="57"/>
      <c r="P461" s="57"/>
      <c r="Q461" s="59">
        <f t="shared" si="96"/>
        <v>5.0810185185185186E-3</v>
      </c>
      <c r="R461" s="57"/>
      <c r="S461" s="57"/>
      <c r="T461" s="59">
        <f t="shared" si="97"/>
        <v>5.0810185185185186E-3</v>
      </c>
      <c r="U461" s="57"/>
      <c r="V461" s="57"/>
      <c r="W461" s="59">
        <f t="shared" si="98"/>
        <v>5.0810185185185186E-3</v>
      </c>
      <c r="X461" s="57"/>
      <c r="Y461" s="57"/>
      <c r="Z461" s="59">
        <f t="shared" si="95"/>
        <v>5.0810185185185186E-3</v>
      </c>
      <c r="AA461" s="57"/>
      <c r="AB461" s="57"/>
      <c r="AC461" s="59">
        <f t="shared" si="94"/>
        <v>5.0810185185185186E-3</v>
      </c>
      <c r="AD461" s="57"/>
      <c r="AE461" s="57"/>
      <c r="AF461" s="59"/>
    </row>
    <row r="462" spans="1:32">
      <c r="A462" s="24" t="s">
        <v>326</v>
      </c>
      <c r="B462" s="26" t="s">
        <v>219</v>
      </c>
      <c r="C462" s="26" t="s">
        <v>450</v>
      </c>
      <c r="D462" s="50">
        <v>8.14</v>
      </c>
      <c r="E462" s="51" t="s">
        <v>316</v>
      </c>
      <c r="F462" s="50">
        <v>8.14</v>
      </c>
      <c r="G462" s="52">
        <v>7.51</v>
      </c>
      <c r="H462" s="50">
        <v>7.51</v>
      </c>
      <c r="I462" s="53">
        <v>7.41</v>
      </c>
      <c r="J462" s="50">
        <v>7.41</v>
      </c>
      <c r="K462" s="53">
        <v>7.4</v>
      </c>
      <c r="L462" s="50" t="s">
        <v>355</v>
      </c>
      <c r="M462" s="57">
        <v>5.5671296296296302E-3</v>
      </c>
      <c r="N462" s="55">
        <v>5.3240740740740748E-3</v>
      </c>
      <c r="O462" s="57"/>
      <c r="P462" s="57"/>
      <c r="Q462" s="59">
        <f t="shared" si="96"/>
        <v>5.3240740740740748E-3</v>
      </c>
      <c r="R462" s="57">
        <v>5.162037037037037E-3</v>
      </c>
      <c r="S462" s="57"/>
      <c r="T462" s="59">
        <f t="shared" si="97"/>
        <v>5.162037037037037E-3</v>
      </c>
      <c r="U462" s="57">
        <v>5.2777777777777771E-3</v>
      </c>
      <c r="V462" s="57"/>
      <c r="W462" s="59">
        <f t="shared" si="98"/>
        <v>5.162037037037037E-3</v>
      </c>
      <c r="X462" s="57">
        <v>5.1041666666666666E-3</v>
      </c>
      <c r="Y462" s="57"/>
      <c r="Z462" s="59">
        <f t="shared" si="95"/>
        <v>5.1041666666666666E-3</v>
      </c>
      <c r="AA462" s="57">
        <v>5.138888888888889E-3</v>
      </c>
      <c r="AB462" s="57"/>
      <c r="AC462" s="59">
        <f t="shared" si="94"/>
        <v>5.1041666666666666E-3</v>
      </c>
      <c r="AD462" s="57">
        <v>5.208333333333333E-3</v>
      </c>
      <c r="AE462" s="57"/>
      <c r="AF462" s="59"/>
    </row>
    <row r="463" spans="1:32">
      <c r="A463" s="24"/>
      <c r="B463" s="26" t="s">
        <v>5</v>
      </c>
      <c r="C463" s="26" t="s">
        <v>450</v>
      </c>
      <c r="D463" s="50">
        <v>7.04</v>
      </c>
      <c r="E463" s="51"/>
      <c r="F463" s="50">
        <v>7.04</v>
      </c>
      <c r="G463" s="52"/>
      <c r="H463" s="50">
        <v>7.04</v>
      </c>
      <c r="I463" s="53"/>
      <c r="J463" s="50">
        <v>7.04</v>
      </c>
      <c r="K463" s="53"/>
      <c r="L463" s="50">
        <v>7.04</v>
      </c>
      <c r="M463" s="57"/>
      <c r="N463" s="55">
        <v>4.9074074074074072E-3</v>
      </c>
      <c r="O463" s="57"/>
      <c r="P463" s="57"/>
      <c r="Q463" s="59">
        <f t="shared" si="96"/>
        <v>4.9074074074074072E-3</v>
      </c>
      <c r="R463" s="57"/>
      <c r="S463" s="57"/>
      <c r="T463" s="59">
        <f t="shared" si="97"/>
        <v>4.9074074074074072E-3</v>
      </c>
      <c r="U463" s="57"/>
      <c r="V463" s="57"/>
      <c r="W463" s="59">
        <f t="shared" si="98"/>
        <v>4.9074074074074072E-3</v>
      </c>
      <c r="X463" s="57"/>
      <c r="Y463" s="57"/>
      <c r="Z463" s="59">
        <f t="shared" si="95"/>
        <v>4.9074074074074072E-3</v>
      </c>
      <c r="AA463" s="57"/>
      <c r="AB463" s="57"/>
      <c r="AC463" s="59">
        <f t="shared" si="94"/>
        <v>4.9074074074074072E-3</v>
      </c>
      <c r="AD463" s="57"/>
      <c r="AE463" s="57"/>
      <c r="AF463" s="59"/>
    </row>
    <row r="464" spans="1:32">
      <c r="A464" s="24"/>
      <c r="B464" s="26" t="s">
        <v>423</v>
      </c>
      <c r="C464" s="26" t="s">
        <v>450</v>
      </c>
      <c r="D464" s="50"/>
      <c r="E464" s="51"/>
      <c r="F464" s="50"/>
      <c r="G464" s="52"/>
      <c r="H464" s="50"/>
      <c r="I464" s="53"/>
      <c r="J464" s="50" t="s">
        <v>455</v>
      </c>
      <c r="K464" s="53"/>
      <c r="L464" s="50"/>
      <c r="M464" s="57"/>
      <c r="N464" s="55"/>
      <c r="O464" s="57"/>
      <c r="P464" s="57"/>
      <c r="Q464" s="59" t="str">
        <f t="shared" si="96"/>
        <v/>
      </c>
      <c r="R464" s="57"/>
      <c r="S464" s="57"/>
      <c r="T464" s="59" t="str">
        <f t="shared" si="97"/>
        <v/>
      </c>
      <c r="U464" s="57"/>
      <c r="V464" s="57"/>
      <c r="W464" s="59" t="str">
        <f t="shared" si="98"/>
        <v/>
      </c>
      <c r="X464" s="57"/>
      <c r="Y464" s="57"/>
      <c r="Z464" s="59" t="str">
        <f t="shared" si="95"/>
        <v/>
      </c>
      <c r="AA464" s="57"/>
      <c r="AB464" s="57"/>
      <c r="AC464" s="59" t="str">
        <f t="shared" si="94"/>
        <v/>
      </c>
      <c r="AD464" s="57"/>
      <c r="AE464" s="57"/>
      <c r="AF464" s="59"/>
    </row>
    <row r="465" spans="1:32">
      <c r="A465" s="24"/>
      <c r="B465" s="26" t="s">
        <v>278</v>
      </c>
      <c r="C465" s="26" t="s">
        <v>450</v>
      </c>
      <c r="D465" s="50" t="s">
        <v>317</v>
      </c>
      <c r="E465" s="51" t="s">
        <v>318</v>
      </c>
      <c r="F465" s="50">
        <v>9.1199999999999992</v>
      </c>
      <c r="G465" s="52"/>
      <c r="H465" s="50">
        <v>9.1199999999999992</v>
      </c>
      <c r="I465" s="53"/>
      <c r="J465" s="50">
        <v>9.1199999999999992</v>
      </c>
      <c r="K465" s="53"/>
      <c r="L465" s="50">
        <v>9.1199999999999992</v>
      </c>
      <c r="M465" s="57"/>
      <c r="N465" s="55">
        <v>6.3888888888888884E-3</v>
      </c>
      <c r="O465" s="57"/>
      <c r="P465" s="57"/>
      <c r="Q465" s="59">
        <f t="shared" si="96"/>
        <v>6.3888888888888884E-3</v>
      </c>
      <c r="R465" s="57"/>
      <c r="S465" s="57"/>
      <c r="T465" s="59">
        <f t="shared" si="97"/>
        <v>6.3888888888888884E-3</v>
      </c>
      <c r="U465" s="57"/>
      <c r="V465" s="57"/>
      <c r="W465" s="59">
        <f t="shared" si="98"/>
        <v>6.3888888888888884E-3</v>
      </c>
      <c r="X465" s="57"/>
      <c r="Y465" s="57"/>
      <c r="Z465" s="59">
        <f t="shared" si="95"/>
        <v>6.3888888888888884E-3</v>
      </c>
      <c r="AA465" s="57"/>
      <c r="AB465" s="57"/>
      <c r="AC465" s="59">
        <f t="shared" si="94"/>
        <v>6.3888888888888884E-3</v>
      </c>
      <c r="AD465" s="57"/>
      <c r="AE465" s="57"/>
      <c r="AF465" s="59"/>
    </row>
    <row r="466" spans="1:32">
      <c r="A466" s="24"/>
      <c r="B466" s="26" t="s">
        <v>677</v>
      </c>
      <c r="C466" s="26"/>
      <c r="D466" s="50"/>
      <c r="E466" s="51"/>
      <c r="F466" s="50"/>
      <c r="G466" s="52"/>
      <c r="H466" s="50"/>
      <c r="I466" s="53"/>
      <c r="J466" s="50"/>
      <c r="K466" s="53"/>
      <c r="L466" s="50"/>
      <c r="M466" s="57"/>
      <c r="N466" s="55"/>
      <c r="O466" s="57"/>
      <c r="P466" s="57"/>
      <c r="Q466" s="59"/>
      <c r="R466" s="57"/>
      <c r="S466" s="57"/>
      <c r="T466" s="59"/>
      <c r="U466" s="57"/>
      <c r="V466" s="57"/>
      <c r="W466" s="59"/>
      <c r="X466" s="57"/>
      <c r="Y466" s="57"/>
      <c r="Z466" s="59" t="str">
        <f t="shared" si="95"/>
        <v/>
      </c>
      <c r="AA466" s="57"/>
      <c r="AB466" s="57"/>
      <c r="AC466" s="59" t="str">
        <f t="shared" si="94"/>
        <v/>
      </c>
      <c r="AD466" s="57"/>
      <c r="AE466" s="57"/>
      <c r="AF466" s="59"/>
    </row>
    <row r="467" spans="1:32">
      <c r="A467" s="24" t="s">
        <v>326</v>
      </c>
      <c r="B467" s="26" t="s">
        <v>678</v>
      </c>
      <c r="C467" s="26"/>
      <c r="D467" s="50"/>
      <c r="E467" s="51"/>
      <c r="F467" s="50"/>
      <c r="G467" s="52"/>
      <c r="H467" s="50"/>
      <c r="I467" s="53"/>
      <c r="J467" s="50"/>
      <c r="K467" s="53"/>
      <c r="L467" s="50"/>
      <c r="M467" s="57"/>
      <c r="N467" s="55"/>
      <c r="O467" s="57"/>
      <c r="P467" s="57"/>
      <c r="Q467" s="59"/>
      <c r="R467" s="57"/>
      <c r="S467" s="57"/>
      <c r="T467" s="59"/>
      <c r="U467" s="57"/>
      <c r="V467" s="57"/>
      <c r="W467" s="59"/>
      <c r="X467" s="57">
        <v>6.5162037037037037E-3</v>
      </c>
      <c r="Y467" s="57"/>
      <c r="Z467" s="59">
        <f t="shared" si="95"/>
        <v>6.5162037037037037E-3</v>
      </c>
      <c r="AA467" s="57"/>
      <c r="AB467" s="57"/>
      <c r="AC467" s="59">
        <f t="shared" si="94"/>
        <v>6.5162037037037037E-3</v>
      </c>
      <c r="AD467" s="57">
        <v>7.3842592592592597E-3</v>
      </c>
      <c r="AE467" s="57"/>
      <c r="AF467" s="59"/>
    </row>
    <row r="468" spans="1:32">
      <c r="A468" s="24"/>
      <c r="B468" s="26" t="s">
        <v>10</v>
      </c>
      <c r="C468" s="26" t="s">
        <v>451</v>
      </c>
      <c r="D468" s="50"/>
      <c r="E468" s="51"/>
      <c r="F468" s="50" t="s">
        <v>455</v>
      </c>
      <c r="G468" s="52"/>
      <c r="H468" s="50"/>
      <c r="I468" s="53"/>
      <c r="J468" s="50" t="s">
        <v>455</v>
      </c>
      <c r="K468" s="53"/>
      <c r="L468" s="50"/>
      <c r="M468" s="57"/>
      <c r="N468" s="55"/>
      <c r="O468" s="57"/>
      <c r="P468" s="57"/>
      <c r="Q468" s="59" t="str">
        <f>IF(MIN(IF(ISBLANK(O468),N468,O468),IF(ISBLANK(N468),O468,N468))=0,"",MIN(IF(ISBLANK(O468),N468,O468),IF(ISBLANK(N468),O468,N468)))</f>
        <v/>
      </c>
      <c r="R468" s="57"/>
      <c r="S468" s="57"/>
      <c r="T468" s="59" t="str">
        <f>IF(MIN(IF(ISBLANK(R468),Q468,R468),IF(ISBLANK(Q468),R468,Q468))=0,"",MIN(IF(ISBLANK(R468),Q468,R468),IF(ISBLANK(Q468),R468,Q468)))</f>
        <v/>
      </c>
      <c r="U468" s="57"/>
      <c r="V468" s="57"/>
      <c r="W468" s="59" t="str">
        <f>IF(MIN(IF(ISBLANK(U468),T468,U468),IF(ISBLANK(T468),U468,T468))=0,"",MIN(IF(ISBLANK(U468),T468,U468),IF(ISBLANK(T468),U468,T468)))</f>
        <v/>
      </c>
      <c r="X468" s="57"/>
      <c r="Y468" s="57"/>
      <c r="Z468" s="59" t="str">
        <f t="shared" si="95"/>
        <v/>
      </c>
      <c r="AA468" s="57"/>
      <c r="AB468" s="57"/>
      <c r="AC468" s="59" t="str">
        <f t="shared" si="94"/>
        <v/>
      </c>
      <c r="AD468" s="57"/>
      <c r="AE468" s="57"/>
      <c r="AF468" s="59"/>
    </row>
    <row r="469" spans="1:32">
      <c r="A469" s="24"/>
      <c r="B469" s="26" t="s">
        <v>17</v>
      </c>
      <c r="C469" s="26" t="s">
        <v>450</v>
      </c>
      <c r="D469" s="50">
        <v>8.16</v>
      </c>
      <c r="E469" s="51"/>
      <c r="F469" s="50">
        <v>8.16</v>
      </c>
      <c r="G469" s="52"/>
      <c r="H469" s="50">
        <v>8.16</v>
      </c>
      <c r="I469" s="53"/>
      <c r="J469" s="50">
        <v>8.16</v>
      </c>
      <c r="K469" s="53"/>
      <c r="L469" s="50">
        <v>8.16</v>
      </c>
      <c r="M469" s="57"/>
      <c r="N469" s="55">
        <v>5.7407407407407416E-3</v>
      </c>
      <c r="O469" s="57"/>
      <c r="P469" s="57"/>
      <c r="Q469" s="59">
        <f>IF(MIN(IF(ISBLANK(O469),N469,O469),IF(ISBLANK(N469),O469,N469))=0,"",MIN(IF(ISBLANK(O469),N469,O469),IF(ISBLANK(N469),O469,N469)))</f>
        <v>5.7407407407407416E-3</v>
      </c>
      <c r="R469" s="57"/>
      <c r="S469" s="57"/>
      <c r="T469" s="59">
        <f>IF(MIN(IF(ISBLANK(R469),Q469,R469),IF(ISBLANK(Q469),R469,Q469))=0,"",MIN(IF(ISBLANK(R469),Q469,R469),IF(ISBLANK(Q469),R469,Q469)))</f>
        <v>5.7407407407407416E-3</v>
      </c>
      <c r="U469" s="57"/>
      <c r="V469" s="57"/>
      <c r="W469" s="59">
        <f>IF(MIN(IF(ISBLANK(U469),T469,U469),IF(ISBLANK(T469),U469,T469))=0,"",MIN(IF(ISBLANK(U469),T469,U469),IF(ISBLANK(T469),U469,T469)))</f>
        <v>5.7407407407407416E-3</v>
      </c>
      <c r="X469" s="57"/>
      <c r="Y469" s="57"/>
      <c r="Z469" s="59">
        <f t="shared" si="95"/>
        <v>5.7407407407407416E-3</v>
      </c>
      <c r="AA469" s="57"/>
      <c r="AB469" s="57"/>
      <c r="AC469" s="59">
        <f t="shared" si="94"/>
        <v>5.7407407407407416E-3</v>
      </c>
      <c r="AD469" s="57"/>
      <c r="AE469" s="57"/>
      <c r="AF469" s="59"/>
    </row>
    <row r="470" spans="1:32">
      <c r="A470" s="24" t="s">
        <v>326</v>
      </c>
      <c r="B470" s="26" t="s">
        <v>709</v>
      </c>
      <c r="C470" s="26"/>
      <c r="D470" s="50"/>
      <c r="E470" s="51"/>
      <c r="F470" s="50"/>
      <c r="G470" s="52"/>
      <c r="H470" s="50"/>
      <c r="I470" s="53"/>
      <c r="J470" s="50"/>
      <c r="K470" s="54"/>
      <c r="L470" s="50"/>
      <c r="M470" s="56"/>
      <c r="N470" s="55"/>
      <c r="O470" s="56"/>
      <c r="P470" s="56"/>
      <c r="Q470" s="59"/>
      <c r="R470" s="56"/>
      <c r="S470" s="56"/>
      <c r="T470" s="59"/>
      <c r="U470" s="56"/>
      <c r="V470" s="56"/>
      <c r="W470" s="59"/>
      <c r="X470" s="56"/>
      <c r="Y470" s="56"/>
      <c r="Z470" s="59"/>
      <c r="AA470" s="57">
        <v>6.9444444444444441E-3</v>
      </c>
      <c r="AB470" s="56"/>
      <c r="AC470" s="59">
        <f t="shared" si="94"/>
        <v>6.9444444444444441E-3</v>
      </c>
      <c r="AD470" s="57"/>
      <c r="AE470" s="56"/>
      <c r="AF470" s="59"/>
    </row>
    <row r="471" spans="1:32">
      <c r="A471" s="24" t="s">
        <v>326</v>
      </c>
      <c r="B471" s="26" t="s">
        <v>691</v>
      </c>
      <c r="C471" s="26"/>
      <c r="D471" s="50"/>
      <c r="E471" s="51"/>
      <c r="F471" s="50"/>
      <c r="G471" s="52"/>
      <c r="H471" s="50"/>
      <c r="I471" s="53"/>
      <c r="J471" s="50"/>
      <c r="K471" s="53"/>
      <c r="L471" s="50"/>
      <c r="M471" s="57"/>
      <c r="N471" s="55"/>
      <c r="O471" s="57"/>
      <c r="P471" s="57"/>
      <c r="Q471" s="59"/>
      <c r="R471" s="57"/>
      <c r="S471" s="57"/>
      <c r="T471" s="59"/>
      <c r="U471" s="57"/>
      <c r="V471" s="57"/>
      <c r="W471" s="59"/>
      <c r="X471" s="57">
        <v>8.726851851851852E-3</v>
      </c>
      <c r="Y471" s="57"/>
      <c r="Z471" s="59">
        <f t="shared" ref="Z471:Z498" si="99">IF(MIN(IF(ISBLANK(X471),W471,X471),IF(ISBLANK(W471),X471,W471))=0,"",MIN(IF(ISBLANK(X471),W471,X471),IF(ISBLANK(W471),X471,W471)))</f>
        <v>8.726851851851852E-3</v>
      </c>
      <c r="AA471" s="57"/>
      <c r="AB471" s="57"/>
      <c r="AC471" s="59">
        <f t="shared" si="94"/>
        <v>8.726851851851852E-3</v>
      </c>
      <c r="AD471" s="57"/>
      <c r="AE471" s="57"/>
      <c r="AF471" s="59"/>
    </row>
    <row r="472" spans="1:32">
      <c r="A472" s="24"/>
      <c r="B472" s="26" t="s">
        <v>22</v>
      </c>
      <c r="C472" s="26" t="s">
        <v>451</v>
      </c>
      <c r="D472" s="50"/>
      <c r="E472" s="51"/>
      <c r="F472" s="50" t="s">
        <v>455</v>
      </c>
      <c r="G472" s="52"/>
      <c r="H472" s="50"/>
      <c r="I472" s="53"/>
      <c r="J472" s="50" t="s">
        <v>455</v>
      </c>
      <c r="K472" s="53"/>
      <c r="L472" s="50"/>
      <c r="M472" s="57"/>
      <c r="N472" s="55"/>
      <c r="O472" s="57"/>
      <c r="P472" s="57"/>
      <c r="Q472" s="59" t="str">
        <f t="shared" ref="Q472:Q487" si="100">IF(MIN(IF(ISBLANK(O472),N472,O472),IF(ISBLANK(N472),O472,N472))=0,"",MIN(IF(ISBLANK(O472),N472,O472),IF(ISBLANK(N472),O472,N472)))</f>
        <v/>
      </c>
      <c r="R472" s="57"/>
      <c r="S472" s="57"/>
      <c r="T472" s="59" t="str">
        <f t="shared" ref="T472:T487" si="101">IF(MIN(IF(ISBLANK(R472),Q472,R472),IF(ISBLANK(Q472),R472,Q472))=0,"",MIN(IF(ISBLANK(R472),Q472,R472),IF(ISBLANK(Q472),R472,Q472)))</f>
        <v/>
      </c>
      <c r="U472" s="57"/>
      <c r="V472" s="57"/>
      <c r="W472" s="59" t="str">
        <f t="shared" ref="W472:W487" si="102">IF(MIN(IF(ISBLANK(U472),T472,U472),IF(ISBLANK(T472),U472,T472))=0,"",MIN(IF(ISBLANK(U472),T472,U472),IF(ISBLANK(T472),U472,T472)))</f>
        <v/>
      </c>
      <c r="X472" s="57"/>
      <c r="Y472" s="57"/>
      <c r="Z472" s="59" t="str">
        <f t="shared" si="99"/>
        <v/>
      </c>
      <c r="AA472" s="57"/>
      <c r="AB472" s="57"/>
      <c r="AC472" s="59" t="str">
        <f t="shared" si="94"/>
        <v/>
      </c>
      <c r="AD472" s="57"/>
      <c r="AE472" s="57"/>
      <c r="AF472" s="59"/>
    </row>
    <row r="473" spans="1:32">
      <c r="A473" s="24" t="s">
        <v>326</v>
      </c>
      <c r="B473" s="26" t="s">
        <v>27</v>
      </c>
      <c r="C473" s="26" t="s">
        <v>451</v>
      </c>
      <c r="D473" s="50">
        <v>10.25</v>
      </c>
      <c r="E473" s="51"/>
      <c r="F473" s="50">
        <v>10.25</v>
      </c>
      <c r="G473" s="52"/>
      <c r="H473" s="50">
        <v>10.25</v>
      </c>
      <c r="I473" s="53"/>
      <c r="J473" s="50">
        <v>10.25</v>
      </c>
      <c r="K473" s="53"/>
      <c r="L473" s="50">
        <v>10.25</v>
      </c>
      <c r="M473" s="57"/>
      <c r="N473" s="55">
        <v>7.2337962962962963E-3</v>
      </c>
      <c r="O473" s="57"/>
      <c r="P473" s="57"/>
      <c r="Q473" s="59">
        <f t="shared" si="100"/>
        <v>7.2337962962962963E-3</v>
      </c>
      <c r="R473" s="57"/>
      <c r="S473" s="57"/>
      <c r="T473" s="59">
        <f t="shared" si="101"/>
        <v>7.2337962962962963E-3</v>
      </c>
      <c r="U473" s="57"/>
      <c r="V473" s="57"/>
      <c r="W473" s="59">
        <f t="shared" si="102"/>
        <v>7.2337962962962963E-3</v>
      </c>
      <c r="X473" s="57"/>
      <c r="Y473" s="57"/>
      <c r="Z473" s="59">
        <f t="shared" si="99"/>
        <v>7.2337962962962963E-3</v>
      </c>
      <c r="AA473" s="57"/>
      <c r="AB473" s="57"/>
      <c r="AC473" s="59">
        <f t="shared" si="94"/>
        <v>7.2337962962962963E-3</v>
      </c>
      <c r="AD473" s="57"/>
      <c r="AE473" s="57"/>
      <c r="AF473" s="59"/>
    </row>
    <row r="474" spans="1:32">
      <c r="A474" s="24"/>
      <c r="B474" s="26" t="s">
        <v>33</v>
      </c>
      <c r="C474" s="26" t="s">
        <v>451</v>
      </c>
      <c r="D474" s="50">
        <v>11.25</v>
      </c>
      <c r="E474" s="51"/>
      <c r="F474" s="50">
        <v>11.25</v>
      </c>
      <c r="G474" s="52"/>
      <c r="H474" s="50">
        <v>11.25</v>
      </c>
      <c r="I474" s="53"/>
      <c r="J474" s="50">
        <v>11.25</v>
      </c>
      <c r="K474" s="53"/>
      <c r="L474" s="50">
        <v>11.25</v>
      </c>
      <c r="M474" s="57"/>
      <c r="N474" s="55">
        <v>7.9282407407407409E-3</v>
      </c>
      <c r="O474" s="57"/>
      <c r="P474" s="57"/>
      <c r="Q474" s="59">
        <f t="shared" si="100"/>
        <v>7.9282407407407409E-3</v>
      </c>
      <c r="R474" s="57"/>
      <c r="S474" s="57"/>
      <c r="T474" s="59">
        <f t="shared" si="101"/>
        <v>7.9282407407407409E-3</v>
      </c>
      <c r="U474" s="57"/>
      <c r="V474" s="57"/>
      <c r="W474" s="59">
        <f t="shared" si="102"/>
        <v>7.9282407407407409E-3</v>
      </c>
      <c r="X474" s="57"/>
      <c r="Y474" s="57"/>
      <c r="Z474" s="59">
        <f t="shared" si="99"/>
        <v>7.9282407407407409E-3</v>
      </c>
      <c r="AA474" s="57"/>
      <c r="AB474" s="57"/>
      <c r="AC474" s="59">
        <f t="shared" si="94"/>
        <v>7.9282407407407409E-3</v>
      </c>
      <c r="AD474" s="57"/>
      <c r="AE474" s="57"/>
      <c r="AF474" s="59"/>
    </row>
    <row r="475" spans="1:32">
      <c r="A475" s="24"/>
      <c r="B475" s="26" t="s">
        <v>597</v>
      </c>
      <c r="C475" s="26"/>
      <c r="D475" s="50"/>
      <c r="E475" s="51"/>
      <c r="F475" s="50"/>
      <c r="G475" s="52"/>
      <c r="H475" s="50"/>
      <c r="I475" s="53"/>
      <c r="J475" s="50"/>
      <c r="K475" s="53"/>
      <c r="L475" s="50"/>
      <c r="M475" s="57"/>
      <c r="N475" s="55"/>
      <c r="O475" s="57">
        <v>7.6851851851851847E-3</v>
      </c>
      <c r="P475" s="57"/>
      <c r="Q475" s="59">
        <f t="shared" si="100"/>
        <v>7.6851851851851847E-3</v>
      </c>
      <c r="R475" s="57"/>
      <c r="S475" s="57"/>
      <c r="T475" s="59">
        <f t="shared" si="101"/>
        <v>7.6851851851851847E-3</v>
      </c>
      <c r="U475" s="57"/>
      <c r="V475" s="57"/>
      <c r="W475" s="59">
        <f t="shared" si="102"/>
        <v>7.6851851851851847E-3</v>
      </c>
      <c r="X475" s="57"/>
      <c r="Y475" s="57"/>
      <c r="Z475" s="59">
        <f t="shared" si="99"/>
        <v>7.6851851851851847E-3</v>
      </c>
      <c r="AA475" s="57"/>
      <c r="AB475" s="57"/>
      <c r="AC475" s="59">
        <f t="shared" si="94"/>
        <v>7.6851851851851847E-3</v>
      </c>
      <c r="AD475" s="57"/>
      <c r="AE475" s="57"/>
      <c r="AF475" s="59"/>
    </row>
    <row r="476" spans="1:32">
      <c r="A476" s="24"/>
      <c r="B476" s="26" t="s">
        <v>39</v>
      </c>
      <c r="C476" s="26" t="s">
        <v>451</v>
      </c>
      <c r="D476" s="50">
        <v>11.02</v>
      </c>
      <c r="E476" s="51"/>
      <c r="F476" s="50">
        <v>11.02</v>
      </c>
      <c r="G476" s="52"/>
      <c r="H476" s="50">
        <v>11.02</v>
      </c>
      <c r="I476" s="53"/>
      <c r="J476" s="50">
        <v>11.02</v>
      </c>
      <c r="K476" s="53"/>
      <c r="L476" s="50">
        <v>11.02</v>
      </c>
      <c r="M476" s="57"/>
      <c r="N476" s="55">
        <v>7.6620370370370366E-3</v>
      </c>
      <c r="O476" s="57"/>
      <c r="P476" s="57"/>
      <c r="Q476" s="59">
        <f t="shared" si="100"/>
        <v>7.6620370370370366E-3</v>
      </c>
      <c r="R476" s="57"/>
      <c r="S476" s="57"/>
      <c r="T476" s="59">
        <f t="shared" si="101"/>
        <v>7.6620370370370366E-3</v>
      </c>
      <c r="U476" s="57"/>
      <c r="V476" s="57"/>
      <c r="W476" s="59">
        <f t="shared" si="102"/>
        <v>7.6620370370370366E-3</v>
      </c>
      <c r="X476" s="57"/>
      <c r="Y476" s="57"/>
      <c r="Z476" s="59">
        <f t="shared" si="99"/>
        <v>7.6620370370370366E-3</v>
      </c>
      <c r="AA476" s="57"/>
      <c r="AB476" s="57"/>
      <c r="AC476" s="59">
        <f t="shared" si="94"/>
        <v>7.6620370370370366E-3</v>
      </c>
      <c r="AD476" s="57"/>
      <c r="AE476" s="57"/>
      <c r="AF476" s="59"/>
    </row>
    <row r="477" spans="1:32">
      <c r="A477" s="24"/>
      <c r="B477" s="26" t="s">
        <v>564</v>
      </c>
      <c r="C477" s="26"/>
      <c r="D477" s="50"/>
      <c r="E477" s="51"/>
      <c r="F477" s="50"/>
      <c r="G477" s="52"/>
      <c r="H477" s="50"/>
      <c r="I477" s="53"/>
      <c r="J477" s="50"/>
      <c r="K477" s="53"/>
      <c r="L477" s="50"/>
      <c r="M477" s="57"/>
      <c r="N477" s="55"/>
      <c r="O477" s="57"/>
      <c r="P477" s="57"/>
      <c r="Q477" s="59" t="str">
        <f t="shared" si="100"/>
        <v/>
      </c>
      <c r="R477" s="57"/>
      <c r="S477" s="57"/>
      <c r="T477" s="59" t="str">
        <f t="shared" si="101"/>
        <v/>
      </c>
      <c r="U477" s="57"/>
      <c r="V477" s="57"/>
      <c r="W477" s="59" t="str">
        <f t="shared" si="102"/>
        <v/>
      </c>
      <c r="X477" s="57"/>
      <c r="Y477" s="57"/>
      <c r="Z477" s="59" t="str">
        <f t="shared" si="99"/>
        <v/>
      </c>
      <c r="AA477" s="57"/>
      <c r="AB477" s="57"/>
      <c r="AC477" s="59" t="str">
        <f t="shared" si="94"/>
        <v/>
      </c>
      <c r="AD477" s="57"/>
      <c r="AE477" s="57"/>
      <c r="AF477" s="59"/>
    </row>
    <row r="478" spans="1:32">
      <c r="A478" s="24"/>
      <c r="B478" s="26" t="s">
        <v>552</v>
      </c>
      <c r="C478" s="26"/>
      <c r="D478" s="50"/>
      <c r="E478" s="51"/>
      <c r="F478" s="50"/>
      <c r="G478" s="52"/>
      <c r="H478" s="50"/>
      <c r="I478" s="53"/>
      <c r="J478" s="50"/>
      <c r="K478" s="53"/>
      <c r="L478" s="50"/>
      <c r="M478" s="57"/>
      <c r="N478" s="55"/>
      <c r="O478" s="57"/>
      <c r="P478" s="57"/>
      <c r="Q478" s="59" t="str">
        <f t="shared" si="100"/>
        <v/>
      </c>
      <c r="R478" s="57"/>
      <c r="S478" s="57"/>
      <c r="T478" s="59" t="str">
        <f t="shared" si="101"/>
        <v/>
      </c>
      <c r="U478" s="57"/>
      <c r="V478" s="57"/>
      <c r="W478" s="59" t="str">
        <f t="shared" si="102"/>
        <v/>
      </c>
      <c r="X478" s="57"/>
      <c r="Y478" s="57"/>
      <c r="Z478" s="59" t="str">
        <f t="shared" si="99"/>
        <v/>
      </c>
      <c r="AA478" s="57"/>
      <c r="AB478" s="57"/>
      <c r="AC478" s="59" t="str">
        <f t="shared" si="94"/>
        <v/>
      </c>
      <c r="AD478" s="57"/>
      <c r="AE478" s="57"/>
      <c r="AF478" s="59"/>
    </row>
    <row r="479" spans="1:32">
      <c r="A479" s="24"/>
      <c r="B479" s="26" t="s">
        <v>232</v>
      </c>
      <c r="C479" s="26" t="s">
        <v>451</v>
      </c>
      <c r="D479" s="50">
        <v>9.27</v>
      </c>
      <c r="E479" s="51"/>
      <c r="F479" s="50">
        <v>9.27</v>
      </c>
      <c r="G479" s="52"/>
      <c r="H479" s="50">
        <v>9.27</v>
      </c>
      <c r="I479" s="53"/>
      <c r="J479" s="50">
        <v>9.27</v>
      </c>
      <c r="K479" s="53"/>
      <c r="L479" s="50">
        <v>9.27</v>
      </c>
      <c r="M479" s="57"/>
      <c r="N479" s="55">
        <v>6.5624999999999998E-3</v>
      </c>
      <c r="O479" s="57"/>
      <c r="P479" s="57"/>
      <c r="Q479" s="59">
        <f t="shared" si="100"/>
        <v>6.5624999999999998E-3</v>
      </c>
      <c r="R479" s="57"/>
      <c r="S479" s="57"/>
      <c r="T479" s="59">
        <f t="shared" si="101"/>
        <v>6.5624999999999998E-3</v>
      </c>
      <c r="U479" s="57"/>
      <c r="V479" s="57"/>
      <c r="W479" s="59">
        <f t="shared" si="102"/>
        <v>6.5624999999999998E-3</v>
      </c>
      <c r="X479" s="57"/>
      <c r="Y479" s="57"/>
      <c r="Z479" s="59">
        <f t="shared" si="99"/>
        <v>6.5624999999999998E-3</v>
      </c>
      <c r="AA479" s="57"/>
      <c r="AB479" s="57"/>
      <c r="AC479" s="59">
        <f t="shared" si="94"/>
        <v>6.5624999999999998E-3</v>
      </c>
      <c r="AD479" s="57"/>
      <c r="AE479" s="57"/>
      <c r="AF479" s="59"/>
    </row>
    <row r="480" spans="1:32">
      <c r="A480" s="24"/>
      <c r="B480" s="26" t="s">
        <v>46</v>
      </c>
      <c r="C480" s="26" t="s">
        <v>451</v>
      </c>
      <c r="D480" s="50">
        <v>7.56</v>
      </c>
      <c r="E480" s="51" t="s">
        <v>315</v>
      </c>
      <c r="F480" s="50">
        <v>7.56</v>
      </c>
      <c r="G480" s="52" t="s">
        <v>363</v>
      </c>
      <c r="H480" s="50">
        <v>7.56</v>
      </c>
      <c r="I480" s="53"/>
      <c r="J480" s="50">
        <v>7.56</v>
      </c>
      <c r="K480" s="53">
        <v>10.01</v>
      </c>
      <c r="L480" s="50">
        <v>7.56</v>
      </c>
      <c r="M480" s="57"/>
      <c r="N480" s="55">
        <v>5.5092592592592589E-3</v>
      </c>
      <c r="O480" s="57"/>
      <c r="P480" s="57"/>
      <c r="Q480" s="59">
        <f t="shared" si="100"/>
        <v>5.5092592592592589E-3</v>
      </c>
      <c r="R480" s="57"/>
      <c r="S480" s="57"/>
      <c r="T480" s="59">
        <f t="shared" si="101"/>
        <v>5.5092592592592589E-3</v>
      </c>
      <c r="U480" s="57"/>
      <c r="V480" s="57"/>
      <c r="W480" s="59">
        <f t="shared" si="102"/>
        <v>5.5092592592592589E-3</v>
      </c>
      <c r="X480" s="57"/>
      <c r="Y480" s="57"/>
      <c r="Z480" s="59">
        <f t="shared" si="99"/>
        <v>5.5092592592592589E-3</v>
      </c>
      <c r="AA480" s="57"/>
      <c r="AB480" s="57"/>
      <c r="AC480" s="59">
        <f t="shared" si="94"/>
        <v>5.5092592592592589E-3</v>
      </c>
      <c r="AD480" s="57"/>
      <c r="AE480" s="57"/>
      <c r="AF480" s="59"/>
    </row>
    <row r="481" spans="1:32">
      <c r="A481" s="24"/>
      <c r="B481" s="26" t="s">
        <v>535</v>
      </c>
      <c r="C481" s="26" t="s">
        <v>451</v>
      </c>
      <c r="D481" s="50"/>
      <c r="E481" s="51"/>
      <c r="F481" s="50"/>
      <c r="G481" s="52"/>
      <c r="H481" s="50"/>
      <c r="I481" s="53"/>
      <c r="J481" s="50"/>
      <c r="K481" s="53"/>
      <c r="L481" s="50"/>
      <c r="M481" s="57"/>
      <c r="N481" s="55"/>
      <c r="O481" s="57"/>
      <c r="P481" s="57"/>
      <c r="Q481" s="59" t="str">
        <f t="shared" si="100"/>
        <v/>
      </c>
      <c r="R481" s="57"/>
      <c r="S481" s="57"/>
      <c r="T481" s="59" t="str">
        <f t="shared" si="101"/>
        <v/>
      </c>
      <c r="U481" s="57"/>
      <c r="V481" s="57"/>
      <c r="W481" s="59" t="str">
        <f t="shared" si="102"/>
        <v/>
      </c>
      <c r="X481" s="57"/>
      <c r="Y481" s="57"/>
      <c r="Z481" s="59" t="str">
        <f t="shared" si="99"/>
        <v/>
      </c>
      <c r="AA481" s="57"/>
      <c r="AB481" s="57"/>
      <c r="AC481" s="59" t="str">
        <f t="shared" si="94"/>
        <v/>
      </c>
      <c r="AD481" s="57"/>
      <c r="AE481" s="57"/>
      <c r="AF481" s="59"/>
    </row>
    <row r="482" spans="1:32">
      <c r="A482" s="24"/>
      <c r="B482" s="26" t="s">
        <v>491</v>
      </c>
      <c r="C482" s="26" t="s">
        <v>451</v>
      </c>
      <c r="D482" s="50"/>
      <c r="E482" s="51"/>
      <c r="F482" s="50"/>
      <c r="G482" s="52"/>
      <c r="H482" s="50"/>
      <c r="I482" s="53"/>
      <c r="J482" s="50"/>
      <c r="K482" s="53">
        <v>8.56</v>
      </c>
      <c r="L482" s="50">
        <v>8.56</v>
      </c>
      <c r="M482" s="57"/>
      <c r="N482" s="55">
        <v>6.2037037037037043E-3</v>
      </c>
      <c r="O482" s="57"/>
      <c r="P482" s="57"/>
      <c r="Q482" s="59">
        <f t="shared" si="100"/>
        <v>6.2037037037037043E-3</v>
      </c>
      <c r="R482" s="57"/>
      <c r="S482" s="57"/>
      <c r="T482" s="59">
        <f t="shared" si="101"/>
        <v>6.2037037037037043E-3</v>
      </c>
      <c r="U482" s="57"/>
      <c r="V482" s="57"/>
      <c r="W482" s="59">
        <f t="shared" si="102"/>
        <v>6.2037037037037043E-3</v>
      </c>
      <c r="X482" s="57"/>
      <c r="Y482" s="57"/>
      <c r="Z482" s="59">
        <f t="shared" si="99"/>
        <v>6.2037037037037043E-3</v>
      </c>
      <c r="AA482" s="57"/>
      <c r="AB482" s="57"/>
      <c r="AC482" s="59">
        <f t="shared" si="94"/>
        <v>6.2037037037037043E-3</v>
      </c>
      <c r="AD482" s="57"/>
      <c r="AE482" s="57"/>
      <c r="AF482" s="59"/>
    </row>
    <row r="483" spans="1:32">
      <c r="A483" s="24"/>
      <c r="B483" s="26" t="s">
        <v>68</v>
      </c>
      <c r="C483" s="26" t="s">
        <v>451</v>
      </c>
      <c r="D483" s="50">
        <v>10.34</v>
      </c>
      <c r="E483" s="51"/>
      <c r="F483" s="50">
        <v>10.34</v>
      </c>
      <c r="G483" s="52"/>
      <c r="H483" s="50">
        <v>10.34</v>
      </c>
      <c r="I483" s="53"/>
      <c r="J483" s="50">
        <v>10.34</v>
      </c>
      <c r="K483" s="53"/>
      <c r="L483" s="50">
        <v>10.34</v>
      </c>
      <c r="M483" s="57"/>
      <c r="N483" s="55">
        <v>7.3379629629629628E-3</v>
      </c>
      <c r="O483" s="57"/>
      <c r="P483" s="57"/>
      <c r="Q483" s="59">
        <f t="shared" si="100"/>
        <v>7.3379629629629628E-3</v>
      </c>
      <c r="R483" s="57"/>
      <c r="S483" s="57"/>
      <c r="T483" s="59">
        <f t="shared" si="101"/>
        <v>7.3379629629629628E-3</v>
      </c>
      <c r="U483" s="57"/>
      <c r="V483" s="57"/>
      <c r="W483" s="59">
        <f t="shared" si="102"/>
        <v>7.3379629629629628E-3</v>
      </c>
      <c r="X483" s="57"/>
      <c r="Y483" s="57"/>
      <c r="Z483" s="59">
        <f t="shared" si="99"/>
        <v>7.3379629629629628E-3</v>
      </c>
      <c r="AA483" s="57"/>
      <c r="AB483" s="57"/>
      <c r="AC483" s="59">
        <f t="shared" si="94"/>
        <v>7.3379629629629628E-3</v>
      </c>
      <c r="AD483" s="57"/>
      <c r="AE483" s="57"/>
      <c r="AF483" s="59"/>
    </row>
    <row r="484" spans="1:32">
      <c r="A484" s="24" t="s">
        <v>326</v>
      </c>
      <c r="B484" s="26" t="s">
        <v>443</v>
      </c>
      <c r="C484" s="26" t="s">
        <v>451</v>
      </c>
      <c r="D484" s="50"/>
      <c r="E484" s="51"/>
      <c r="F484" s="50"/>
      <c r="G484" s="52"/>
      <c r="H484" s="50"/>
      <c r="I484" s="53">
        <v>9.4700000000000006</v>
      </c>
      <c r="J484" s="50">
        <v>9.4700000000000006</v>
      </c>
      <c r="K484" s="53"/>
      <c r="L484" s="50">
        <v>9.4700000000000006</v>
      </c>
      <c r="M484" s="57"/>
      <c r="N484" s="55">
        <v>6.7939814814814816E-3</v>
      </c>
      <c r="O484" s="57"/>
      <c r="P484" s="57"/>
      <c r="Q484" s="59">
        <f t="shared" si="100"/>
        <v>6.7939814814814816E-3</v>
      </c>
      <c r="R484" s="57"/>
      <c r="S484" s="57"/>
      <c r="T484" s="59">
        <f t="shared" si="101"/>
        <v>6.7939814814814816E-3</v>
      </c>
      <c r="U484" s="57">
        <v>6.851851851851852E-3</v>
      </c>
      <c r="V484" s="57"/>
      <c r="W484" s="59">
        <f t="shared" si="102"/>
        <v>6.7939814814814816E-3</v>
      </c>
      <c r="X484" s="57"/>
      <c r="Y484" s="57"/>
      <c r="Z484" s="59">
        <f t="shared" si="99"/>
        <v>6.7939814814814816E-3</v>
      </c>
      <c r="AA484" s="57"/>
      <c r="AB484" s="57"/>
      <c r="AC484" s="59">
        <f t="shared" si="94"/>
        <v>6.7939814814814816E-3</v>
      </c>
      <c r="AD484" s="57"/>
      <c r="AE484" s="57"/>
      <c r="AF484" s="59"/>
    </row>
    <row r="485" spans="1:32">
      <c r="A485" s="24"/>
      <c r="B485" s="26" t="s">
        <v>73</v>
      </c>
      <c r="C485" s="26"/>
      <c r="D485" s="50">
        <v>10.58</v>
      </c>
      <c r="E485" s="51"/>
      <c r="F485" s="50">
        <v>10.58</v>
      </c>
      <c r="G485" s="52"/>
      <c r="H485" s="50">
        <v>10.58</v>
      </c>
      <c r="I485" s="53"/>
      <c r="J485" s="50">
        <v>10.58</v>
      </c>
      <c r="K485" s="53"/>
      <c r="L485" s="50">
        <v>10.58</v>
      </c>
      <c r="M485" s="57"/>
      <c r="N485" s="55">
        <v>7.6157407407407415E-3</v>
      </c>
      <c r="O485" s="57"/>
      <c r="P485" s="57"/>
      <c r="Q485" s="59">
        <f t="shared" si="100"/>
        <v>7.6157407407407415E-3</v>
      </c>
      <c r="R485" s="57"/>
      <c r="S485" s="57"/>
      <c r="T485" s="59">
        <f t="shared" si="101"/>
        <v>7.6157407407407415E-3</v>
      </c>
      <c r="U485" s="57"/>
      <c r="V485" s="57"/>
      <c r="W485" s="59">
        <f t="shared" si="102"/>
        <v>7.6157407407407415E-3</v>
      </c>
      <c r="X485" s="57"/>
      <c r="Y485" s="57"/>
      <c r="Z485" s="59">
        <f t="shared" si="99"/>
        <v>7.6157407407407415E-3</v>
      </c>
      <c r="AA485" s="57"/>
      <c r="AB485" s="57"/>
      <c r="AC485" s="59">
        <f t="shared" si="94"/>
        <v>7.6157407407407415E-3</v>
      </c>
      <c r="AD485" s="57"/>
      <c r="AE485" s="57"/>
      <c r="AF485" s="59"/>
    </row>
    <row r="486" spans="1:32">
      <c r="A486" s="24" t="s">
        <v>326</v>
      </c>
      <c r="B486" s="26" t="s">
        <v>80</v>
      </c>
      <c r="C486" s="26"/>
      <c r="D486" s="50"/>
      <c r="E486" s="51"/>
      <c r="F486" s="50" t="s">
        <v>455</v>
      </c>
      <c r="G486" s="52"/>
      <c r="H486" s="50"/>
      <c r="I486" s="53"/>
      <c r="J486" s="50" t="s">
        <v>455</v>
      </c>
      <c r="K486" s="53"/>
      <c r="L486" s="50"/>
      <c r="M486" s="57"/>
      <c r="N486" s="55"/>
      <c r="O486" s="57"/>
      <c r="P486" s="57"/>
      <c r="Q486" s="59" t="str">
        <f t="shared" si="100"/>
        <v/>
      </c>
      <c r="R486" s="57"/>
      <c r="S486" s="57"/>
      <c r="T486" s="59" t="str">
        <f t="shared" si="101"/>
        <v/>
      </c>
      <c r="U486" s="57">
        <v>7.2916666666666659E-3</v>
      </c>
      <c r="V486" s="57"/>
      <c r="W486" s="59">
        <f t="shared" si="102"/>
        <v>7.2916666666666659E-3</v>
      </c>
      <c r="X486" s="57"/>
      <c r="Y486" s="57"/>
      <c r="Z486" s="59">
        <f t="shared" si="99"/>
        <v>7.2916666666666659E-3</v>
      </c>
      <c r="AA486" s="57">
        <v>7.9629629629629634E-3</v>
      </c>
      <c r="AB486" s="57"/>
      <c r="AC486" s="59">
        <f t="shared" si="94"/>
        <v>7.2916666666666659E-3</v>
      </c>
      <c r="AD486" s="57">
        <v>6.8171296296296287E-3</v>
      </c>
      <c r="AE486" s="57"/>
      <c r="AF486" s="59"/>
    </row>
    <row r="487" spans="1:32">
      <c r="A487" s="24"/>
      <c r="B487" s="26" t="s">
        <v>424</v>
      </c>
      <c r="C487" s="26" t="s">
        <v>451</v>
      </c>
      <c r="D487" s="50"/>
      <c r="E487" s="51"/>
      <c r="F487" s="50"/>
      <c r="G487" s="52"/>
      <c r="H487" s="50"/>
      <c r="I487" s="53"/>
      <c r="J487" s="50" t="s">
        <v>455</v>
      </c>
      <c r="K487" s="53"/>
      <c r="L487" s="50"/>
      <c r="M487" s="57"/>
      <c r="N487" s="55"/>
      <c r="O487" s="57"/>
      <c r="P487" s="57"/>
      <c r="Q487" s="59" t="str">
        <f t="shared" si="100"/>
        <v/>
      </c>
      <c r="R487" s="57"/>
      <c r="S487" s="57"/>
      <c r="T487" s="59" t="str">
        <f t="shared" si="101"/>
        <v/>
      </c>
      <c r="U487" s="57"/>
      <c r="V487" s="57"/>
      <c r="W487" s="59" t="str">
        <f t="shared" si="102"/>
        <v/>
      </c>
      <c r="X487" s="57"/>
      <c r="Y487" s="57"/>
      <c r="Z487" s="59" t="str">
        <f t="shared" si="99"/>
        <v/>
      </c>
      <c r="AA487" s="57"/>
      <c r="AB487" s="57"/>
      <c r="AC487" s="59" t="str">
        <f t="shared" si="94"/>
        <v/>
      </c>
      <c r="AD487" s="57"/>
      <c r="AE487" s="57"/>
      <c r="AF487" s="59"/>
    </row>
    <row r="488" spans="1:32">
      <c r="A488" s="24" t="s">
        <v>326</v>
      </c>
      <c r="B488" s="26" t="s">
        <v>679</v>
      </c>
      <c r="C488" s="26"/>
      <c r="D488" s="50"/>
      <c r="E488" s="51"/>
      <c r="F488" s="50"/>
      <c r="G488" s="52"/>
      <c r="H488" s="50"/>
      <c r="I488" s="53"/>
      <c r="J488" s="50"/>
      <c r="K488" s="53"/>
      <c r="L488" s="50"/>
      <c r="M488" s="57"/>
      <c r="N488" s="55"/>
      <c r="O488" s="57"/>
      <c r="P488" s="57"/>
      <c r="Q488" s="59"/>
      <c r="R488" s="57"/>
      <c r="S488" s="57"/>
      <c r="T488" s="59"/>
      <c r="U488" s="57"/>
      <c r="V488" s="57"/>
      <c r="W488" s="59"/>
      <c r="X488" s="57"/>
      <c r="Y488" s="57"/>
      <c r="Z488" s="59" t="str">
        <f t="shared" si="99"/>
        <v/>
      </c>
      <c r="AA488" s="57"/>
      <c r="AB488" s="57"/>
      <c r="AC488" s="59" t="str">
        <f t="shared" si="94"/>
        <v/>
      </c>
      <c r="AD488" s="57"/>
      <c r="AE488" s="57"/>
      <c r="AF488" s="59"/>
    </row>
    <row r="489" spans="1:32">
      <c r="A489" s="24"/>
      <c r="B489" s="26" t="s">
        <v>84</v>
      </c>
      <c r="C489" s="26" t="s">
        <v>451</v>
      </c>
      <c r="D489" s="50">
        <v>7.31</v>
      </c>
      <c r="E489" s="51"/>
      <c r="F489" s="50">
        <v>7.31</v>
      </c>
      <c r="G489" s="52"/>
      <c r="H489" s="50">
        <v>7.31</v>
      </c>
      <c r="I489" s="53"/>
      <c r="J489" s="50">
        <v>7.31</v>
      </c>
      <c r="K489" s="53"/>
      <c r="L489" s="50">
        <v>7.31</v>
      </c>
      <c r="M489" s="57"/>
      <c r="N489" s="55">
        <v>5.2199074074074066E-3</v>
      </c>
      <c r="O489" s="57"/>
      <c r="P489" s="57"/>
      <c r="Q489" s="59">
        <f>IF(MIN(IF(ISBLANK(O489),N489,O489),IF(ISBLANK(N489),O489,N489))=0,"",MIN(IF(ISBLANK(O489),N489,O489),IF(ISBLANK(N489),O489,N489)))</f>
        <v>5.2199074074074066E-3</v>
      </c>
      <c r="R489" s="57"/>
      <c r="S489" s="57"/>
      <c r="T489" s="59">
        <f>IF(MIN(IF(ISBLANK(R489),Q489,R489),IF(ISBLANK(Q489),R489,Q489))=0,"",MIN(IF(ISBLANK(R489),Q489,R489),IF(ISBLANK(Q489),R489,Q489)))</f>
        <v>5.2199074074074066E-3</v>
      </c>
      <c r="U489" s="57"/>
      <c r="V489" s="57"/>
      <c r="W489" s="59">
        <f>IF(MIN(IF(ISBLANK(U489),T489,U489),IF(ISBLANK(T489),U489,T489))=0,"",MIN(IF(ISBLANK(U489),T489,U489),IF(ISBLANK(T489),U489,T489)))</f>
        <v>5.2199074074074066E-3</v>
      </c>
      <c r="X489" s="57"/>
      <c r="Y489" s="57"/>
      <c r="Z489" s="59">
        <f t="shared" si="99"/>
        <v>5.2199074074074066E-3</v>
      </c>
      <c r="AA489" s="57"/>
      <c r="AB489" s="57"/>
      <c r="AC489" s="59">
        <f t="shared" si="94"/>
        <v>5.2199074074074066E-3</v>
      </c>
      <c r="AD489" s="57"/>
      <c r="AE489" s="57"/>
      <c r="AF489" s="59"/>
    </row>
    <row r="490" spans="1:32">
      <c r="A490" s="24"/>
      <c r="B490" s="26" t="s">
        <v>553</v>
      </c>
      <c r="C490" s="26"/>
      <c r="D490" s="50"/>
      <c r="E490" s="51"/>
      <c r="F490" s="50"/>
      <c r="G490" s="52"/>
      <c r="H490" s="50"/>
      <c r="I490" s="53"/>
      <c r="J490" s="50"/>
      <c r="K490" s="53"/>
      <c r="L490" s="50"/>
      <c r="M490" s="57"/>
      <c r="N490" s="55"/>
      <c r="O490" s="57"/>
      <c r="P490" s="57"/>
      <c r="Q490" s="59" t="str">
        <f>IF(MIN(IF(ISBLANK(O490),N490,O490),IF(ISBLANK(N490),O490,N490))=0,"",MIN(IF(ISBLANK(O490),N490,O490),IF(ISBLANK(N490),O490,N490)))</f>
        <v/>
      </c>
      <c r="R490" s="57"/>
      <c r="S490" s="57"/>
      <c r="T490" s="59" t="str">
        <f>IF(MIN(IF(ISBLANK(R490),Q490,R490),IF(ISBLANK(Q490),R490,Q490))=0,"",MIN(IF(ISBLANK(R490),Q490,R490),IF(ISBLANK(Q490),R490,Q490)))</f>
        <v/>
      </c>
      <c r="U490" s="57"/>
      <c r="V490" s="57"/>
      <c r="W490" s="59" t="str">
        <f>IF(MIN(IF(ISBLANK(U490),T490,U490),IF(ISBLANK(T490),U490,T490))=0,"",MIN(IF(ISBLANK(U490),T490,U490),IF(ISBLANK(T490),U490,T490)))</f>
        <v/>
      </c>
      <c r="X490" s="57"/>
      <c r="Y490" s="57"/>
      <c r="Z490" s="59" t="str">
        <f t="shared" si="99"/>
        <v/>
      </c>
      <c r="AA490" s="57"/>
      <c r="AB490" s="57"/>
      <c r="AC490" s="59" t="str">
        <f t="shared" si="94"/>
        <v/>
      </c>
      <c r="AD490" s="57"/>
      <c r="AE490" s="57"/>
      <c r="AF490" s="59"/>
    </row>
    <row r="491" spans="1:32">
      <c r="A491" s="24"/>
      <c r="B491" s="26" t="s">
        <v>90</v>
      </c>
      <c r="C491" s="26" t="s">
        <v>451</v>
      </c>
      <c r="D491" s="50"/>
      <c r="E491" s="51"/>
      <c r="F491" s="50" t="s">
        <v>455</v>
      </c>
      <c r="G491" s="52"/>
      <c r="H491" s="50"/>
      <c r="I491" s="53"/>
      <c r="J491" s="50" t="s">
        <v>455</v>
      </c>
      <c r="K491" s="53"/>
      <c r="L491" s="50"/>
      <c r="M491" s="57"/>
      <c r="N491" s="55"/>
      <c r="O491" s="57"/>
      <c r="P491" s="57"/>
      <c r="Q491" s="59" t="str">
        <f>IF(MIN(IF(ISBLANK(O491),N491,O491),IF(ISBLANK(N491),O491,N491))=0,"",MIN(IF(ISBLANK(O491),N491,O491),IF(ISBLANK(N491),O491,N491)))</f>
        <v/>
      </c>
      <c r="R491" s="57"/>
      <c r="S491" s="57"/>
      <c r="T491" s="59" t="str">
        <f>IF(MIN(IF(ISBLANK(R491),Q491,R491),IF(ISBLANK(Q491),R491,Q491))=0,"",MIN(IF(ISBLANK(R491),Q491,R491),IF(ISBLANK(Q491),R491,Q491)))</f>
        <v/>
      </c>
      <c r="U491" s="57"/>
      <c r="V491" s="57"/>
      <c r="W491" s="59" t="str">
        <f>IF(MIN(IF(ISBLANK(U491),T491,U491),IF(ISBLANK(T491),U491,T491))=0,"",MIN(IF(ISBLANK(U491),T491,U491),IF(ISBLANK(T491),U491,T491)))</f>
        <v/>
      </c>
      <c r="X491" s="57"/>
      <c r="Y491" s="57"/>
      <c r="Z491" s="59" t="str">
        <f t="shared" si="99"/>
        <v/>
      </c>
      <c r="AA491" s="57"/>
      <c r="AB491" s="57"/>
      <c r="AC491" s="59" t="str">
        <f t="shared" si="94"/>
        <v/>
      </c>
      <c r="AD491" s="57"/>
      <c r="AE491" s="57"/>
      <c r="AF491" s="59"/>
    </row>
    <row r="492" spans="1:32">
      <c r="A492" s="24" t="s">
        <v>326</v>
      </c>
      <c r="B492" s="26" t="s">
        <v>680</v>
      </c>
      <c r="C492" s="26"/>
      <c r="D492" s="50"/>
      <c r="E492" s="51"/>
      <c r="F492" s="50"/>
      <c r="G492" s="52"/>
      <c r="H492" s="50"/>
      <c r="I492" s="53"/>
      <c r="J492" s="50"/>
      <c r="K492" s="53"/>
      <c r="L492" s="50"/>
      <c r="M492" s="57"/>
      <c r="N492" s="55"/>
      <c r="O492" s="57"/>
      <c r="P492" s="57"/>
      <c r="Q492" s="59"/>
      <c r="R492" s="57"/>
      <c r="S492" s="57"/>
      <c r="T492" s="59"/>
      <c r="U492" s="57"/>
      <c r="V492" s="57"/>
      <c r="W492" s="59"/>
      <c r="X492" s="57"/>
      <c r="Y492" s="57"/>
      <c r="Z492" s="59" t="str">
        <f t="shared" si="99"/>
        <v/>
      </c>
      <c r="AA492" s="57"/>
      <c r="AB492" s="57"/>
      <c r="AC492" s="59" t="str">
        <f t="shared" si="94"/>
        <v/>
      </c>
      <c r="AD492" s="57"/>
      <c r="AE492" s="57"/>
      <c r="AF492" s="59"/>
    </row>
    <row r="493" spans="1:32">
      <c r="A493" s="24" t="s">
        <v>326</v>
      </c>
      <c r="B493" s="26" t="s">
        <v>425</v>
      </c>
      <c r="C493" s="26" t="s">
        <v>451</v>
      </c>
      <c r="D493" s="50"/>
      <c r="E493" s="51"/>
      <c r="F493" s="50"/>
      <c r="G493" s="52"/>
      <c r="H493" s="50"/>
      <c r="I493" s="53">
        <v>8.51</v>
      </c>
      <c r="J493" s="50">
        <v>8.51</v>
      </c>
      <c r="K493" s="53">
        <v>8.1999999999999993</v>
      </c>
      <c r="L493" s="50" t="s">
        <v>222</v>
      </c>
      <c r="M493" s="57"/>
      <c r="N493" s="55">
        <v>5.7870370370370376E-3</v>
      </c>
      <c r="O493" s="57"/>
      <c r="P493" s="57"/>
      <c r="Q493" s="59">
        <f t="shared" ref="Q493:Q498" si="103">IF(MIN(IF(ISBLANK(O493),N493,O493),IF(ISBLANK(N493),O493,N493))=0,"",MIN(IF(ISBLANK(O493),N493,O493),IF(ISBLANK(N493),O493,N493)))</f>
        <v>5.7870370370370376E-3</v>
      </c>
      <c r="R493" s="57">
        <v>5.9027777777777776E-3</v>
      </c>
      <c r="S493" s="57"/>
      <c r="T493" s="59">
        <f t="shared" ref="T493:T498" si="104">IF(MIN(IF(ISBLANK(R493),Q493,R493),IF(ISBLANK(Q493),R493,Q493))=0,"",MIN(IF(ISBLANK(R493),Q493,R493),IF(ISBLANK(Q493),R493,Q493)))</f>
        <v>5.7870370370370376E-3</v>
      </c>
      <c r="U493" s="57">
        <v>5.6249999999999989E-3</v>
      </c>
      <c r="V493" s="57"/>
      <c r="W493" s="59">
        <f t="shared" ref="W493:W498" si="105">IF(MIN(IF(ISBLANK(U493),T493,U493),IF(ISBLANK(T493),U493,T493))=0,"",MIN(IF(ISBLANK(U493),T493,U493),IF(ISBLANK(T493),U493,T493)))</f>
        <v>5.6249999999999989E-3</v>
      </c>
      <c r="X493" s="57"/>
      <c r="Y493" s="57"/>
      <c r="Z493" s="59">
        <f t="shared" si="99"/>
        <v>5.6249999999999989E-3</v>
      </c>
      <c r="AA493" s="57">
        <v>5.7754629629629623E-3</v>
      </c>
      <c r="AB493" s="57"/>
      <c r="AC493" s="59">
        <f t="shared" si="94"/>
        <v>5.6249999999999989E-3</v>
      </c>
      <c r="AD493" s="57">
        <v>5.5208333333333333E-3</v>
      </c>
      <c r="AE493" s="57"/>
      <c r="AF493" s="59"/>
    </row>
    <row r="494" spans="1:32">
      <c r="A494" s="24"/>
      <c r="B494" s="26" t="s">
        <v>95</v>
      </c>
      <c r="C494" s="26" t="s">
        <v>451</v>
      </c>
      <c r="D494" s="50">
        <v>9.3800000000000008</v>
      </c>
      <c r="E494" s="51"/>
      <c r="F494" s="50">
        <v>9.3800000000000008</v>
      </c>
      <c r="G494" s="52"/>
      <c r="H494" s="50">
        <v>9.3800000000000008</v>
      </c>
      <c r="I494" s="53"/>
      <c r="J494" s="50">
        <v>9.3800000000000008</v>
      </c>
      <c r="K494" s="53">
        <v>9.0299999999999994</v>
      </c>
      <c r="L494" s="50">
        <v>9.0299999999999994</v>
      </c>
      <c r="M494" s="57"/>
      <c r="N494" s="55">
        <v>6.2847222222222228E-3</v>
      </c>
      <c r="O494" s="57"/>
      <c r="P494" s="57"/>
      <c r="Q494" s="59">
        <f t="shared" si="103"/>
        <v>6.2847222222222228E-3</v>
      </c>
      <c r="R494" s="57"/>
      <c r="S494" s="57"/>
      <c r="T494" s="59">
        <f t="shared" si="104"/>
        <v>6.2847222222222228E-3</v>
      </c>
      <c r="U494" s="57"/>
      <c r="V494" s="57"/>
      <c r="W494" s="59">
        <f t="shared" si="105"/>
        <v>6.2847222222222228E-3</v>
      </c>
      <c r="X494" s="57"/>
      <c r="Y494" s="57"/>
      <c r="Z494" s="59">
        <f t="shared" si="99"/>
        <v>6.2847222222222228E-3</v>
      </c>
      <c r="AA494" s="57"/>
      <c r="AB494" s="57"/>
      <c r="AC494" s="59">
        <f t="shared" si="94"/>
        <v>6.2847222222222228E-3</v>
      </c>
      <c r="AD494" s="57"/>
      <c r="AE494" s="57"/>
      <c r="AF494" s="59"/>
    </row>
    <row r="495" spans="1:32">
      <c r="A495" s="24"/>
      <c r="B495" s="26" t="s">
        <v>426</v>
      </c>
      <c r="C495" s="26" t="s">
        <v>451</v>
      </c>
      <c r="D495" s="50"/>
      <c r="E495" s="51"/>
      <c r="F495" s="50"/>
      <c r="G495" s="52"/>
      <c r="H495" s="50"/>
      <c r="I495" s="53"/>
      <c r="J495" s="50" t="s">
        <v>455</v>
      </c>
      <c r="K495" s="53"/>
      <c r="L495" s="50"/>
      <c r="M495" s="57"/>
      <c r="N495" s="55"/>
      <c r="O495" s="57"/>
      <c r="P495" s="57"/>
      <c r="Q495" s="59" t="str">
        <f t="shared" si="103"/>
        <v/>
      </c>
      <c r="R495" s="57"/>
      <c r="S495" s="57"/>
      <c r="T495" s="59" t="str">
        <f t="shared" si="104"/>
        <v/>
      </c>
      <c r="U495" s="57"/>
      <c r="V495" s="57"/>
      <c r="W495" s="59" t="str">
        <f t="shared" si="105"/>
        <v/>
      </c>
      <c r="X495" s="57"/>
      <c r="Y495" s="57"/>
      <c r="Z495" s="59" t="str">
        <f t="shared" si="99"/>
        <v/>
      </c>
      <c r="AA495" s="57"/>
      <c r="AB495" s="57"/>
      <c r="AC495" s="59" t="str">
        <f t="shared" si="94"/>
        <v/>
      </c>
      <c r="AD495" s="57"/>
      <c r="AE495" s="57"/>
      <c r="AF495" s="59"/>
    </row>
    <row r="496" spans="1:32">
      <c r="A496" s="24"/>
      <c r="B496" s="26" t="s">
        <v>101</v>
      </c>
      <c r="C496" s="26" t="s">
        <v>451</v>
      </c>
      <c r="D496" s="50"/>
      <c r="E496" s="51"/>
      <c r="F496" s="50" t="s">
        <v>455</v>
      </c>
      <c r="G496" s="52"/>
      <c r="H496" s="50"/>
      <c r="I496" s="53"/>
      <c r="J496" s="50" t="s">
        <v>455</v>
      </c>
      <c r="K496" s="53"/>
      <c r="L496" s="50"/>
      <c r="M496" s="57"/>
      <c r="N496" s="55"/>
      <c r="O496" s="57"/>
      <c r="P496" s="57"/>
      <c r="Q496" s="59" t="str">
        <f t="shared" si="103"/>
        <v/>
      </c>
      <c r="R496" s="57"/>
      <c r="S496" s="57"/>
      <c r="T496" s="59" t="str">
        <f t="shared" si="104"/>
        <v/>
      </c>
      <c r="U496" s="57"/>
      <c r="V496" s="57"/>
      <c r="W496" s="59" t="str">
        <f t="shared" si="105"/>
        <v/>
      </c>
      <c r="X496" s="57"/>
      <c r="Y496" s="57"/>
      <c r="Z496" s="59" t="str">
        <f t="shared" si="99"/>
        <v/>
      </c>
      <c r="AA496" s="57"/>
      <c r="AB496" s="57"/>
      <c r="AC496" s="59" t="str">
        <f t="shared" si="94"/>
        <v/>
      </c>
      <c r="AD496" s="57"/>
      <c r="AE496" s="57"/>
      <c r="AF496" s="59"/>
    </row>
    <row r="497" spans="1:32">
      <c r="A497" s="24" t="s">
        <v>326</v>
      </c>
      <c r="B497" s="26" t="s">
        <v>274</v>
      </c>
      <c r="C497" s="26" t="s">
        <v>451</v>
      </c>
      <c r="D497" s="50"/>
      <c r="E497" s="51"/>
      <c r="F497" s="50" t="s">
        <v>455</v>
      </c>
      <c r="G497" s="52"/>
      <c r="H497" s="50"/>
      <c r="I497" s="53"/>
      <c r="J497" s="50" t="s">
        <v>455</v>
      </c>
      <c r="K497" s="53"/>
      <c r="L497" s="50"/>
      <c r="M497" s="57"/>
      <c r="N497" s="55"/>
      <c r="O497" s="57"/>
      <c r="P497" s="57"/>
      <c r="Q497" s="59" t="str">
        <f t="shared" si="103"/>
        <v/>
      </c>
      <c r="R497" s="57"/>
      <c r="S497" s="57"/>
      <c r="T497" s="59" t="str">
        <f t="shared" si="104"/>
        <v/>
      </c>
      <c r="U497" s="57"/>
      <c r="V497" s="57"/>
      <c r="W497" s="59" t="str">
        <f t="shared" si="105"/>
        <v/>
      </c>
      <c r="X497" s="57"/>
      <c r="Y497" s="57"/>
      <c r="Z497" s="59" t="str">
        <f t="shared" si="99"/>
        <v/>
      </c>
      <c r="AA497" s="57"/>
      <c r="AB497" s="57"/>
      <c r="AC497" s="59" t="str">
        <f t="shared" si="94"/>
        <v/>
      </c>
      <c r="AD497" s="57"/>
      <c r="AE497" s="57"/>
      <c r="AF497" s="59"/>
    </row>
    <row r="498" spans="1:32">
      <c r="A498" s="24"/>
      <c r="B498" s="26" t="s">
        <v>371</v>
      </c>
      <c r="C498" s="26" t="s">
        <v>451</v>
      </c>
      <c r="D498" s="50"/>
      <c r="E498" s="51"/>
      <c r="F498" s="50"/>
      <c r="G498" s="52" t="s">
        <v>362</v>
      </c>
      <c r="H498" s="50">
        <v>7.46</v>
      </c>
      <c r="I498" s="53"/>
      <c r="J498" s="50">
        <v>7.46</v>
      </c>
      <c r="K498" s="53"/>
      <c r="L498" s="50">
        <v>7.46</v>
      </c>
      <c r="M498" s="57"/>
      <c r="N498" s="55">
        <v>5.3935185185185188E-3</v>
      </c>
      <c r="O498" s="57"/>
      <c r="P498" s="57"/>
      <c r="Q498" s="59">
        <f t="shared" si="103"/>
        <v>5.3935185185185188E-3</v>
      </c>
      <c r="R498" s="57"/>
      <c r="S498" s="57"/>
      <c r="T498" s="59">
        <f t="shared" si="104"/>
        <v>5.3935185185185188E-3</v>
      </c>
      <c r="U498" s="57"/>
      <c r="V498" s="57"/>
      <c r="W498" s="59">
        <f t="shared" si="105"/>
        <v>5.3935185185185188E-3</v>
      </c>
      <c r="X498" s="57"/>
      <c r="Y498" s="57"/>
      <c r="Z498" s="59">
        <f t="shared" si="99"/>
        <v>5.3935185185185188E-3</v>
      </c>
      <c r="AA498" s="57"/>
      <c r="AB498" s="57"/>
      <c r="AC498" s="59">
        <f t="shared" si="94"/>
        <v>5.3935185185185188E-3</v>
      </c>
      <c r="AD498" s="57"/>
      <c r="AE498" s="57"/>
      <c r="AF498" s="59"/>
    </row>
    <row r="499" spans="1:32">
      <c r="A499" s="24" t="s">
        <v>326</v>
      </c>
      <c r="B499" s="26" t="s">
        <v>712</v>
      </c>
      <c r="C499" s="26"/>
      <c r="D499" s="50"/>
      <c r="E499" s="51"/>
      <c r="F499" s="50"/>
      <c r="G499" s="52"/>
      <c r="H499" s="50"/>
      <c r="I499" s="53"/>
      <c r="J499" s="50"/>
      <c r="K499" s="54"/>
      <c r="L499" s="50"/>
      <c r="M499" s="56"/>
      <c r="N499" s="55"/>
      <c r="O499" s="56"/>
      <c r="P499" s="56"/>
      <c r="Q499" s="59"/>
      <c r="R499" s="56"/>
      <c r="S499" s="56"/>
      <c r="T499" s="59"/>
      <c r="U499" s="56"/>
      <c r="V499" s="56"/>
      <c r="W499" s="59"/>
      <c r="X499" s="56"/>
      <c r="Y499" s="56"/>
      <c r="Z499" s="59"/>
      <c r="AA499" s="57">
        <v>4.9537037037037041E-3</v>
      </c>
      <c r="AB499" s="56"/>
      <c r="AC499" s="59">
        <f t="shared" si="94"/>
        <v>4.9537037037037041E-3</v>
      </c>
      <c r="AD499" s="57"/>
      <c r="AE499" s="56"/>
      <c r="AF499" s="59"/>
    </row>
    <row r="500" spans="1:32">
      <c r="A500" s="24"/>
      <c r="B500" s="26" t="s">
        <v>108</v>
      </c>
      <c r="C500" s="26" t="s">
        <v>451</v>
      </c>
      <c r="D500" s="50">
        <v>9.32</v>
      </c>
      <c r="E500" s="51"/>
      <c r="F500" s="50">
        <v>9.32</v>
      </c>
      <c r="G500" s="52"/>
      <c r="H500" s="50">
        <v>9.32</v>
      </c>
      <c r="I500" s="53"/>
      <c r="J500" s="50">
        <v>9.32</v>
      </c>
      <c r="K500" s="53"/>
      <c r="L500" s="50">
        <v>9.32</v>
      </c>
      <c r="M500" s="57"/>
      <c r="N500" s="55">
        <v>6.6203703703703702E-3</v>
      </c>
      <c r="O500" s="57"/>
      <c r="P500" s="57"/>
      <c r="Q500" s="59">
        <f t="shared" ref="Q500:Q510" si="106">IF(MIN(IF(ISBLANK(O500),N500,O500),IF(ISBLANK(N500),O500,N500))=0,"",MIN(IF(ISBLANK(O500),N500,O500),IF(ISBLANK(N500),O500,N500)))</f>
        <v>6.6203703703703702E-3</v>
      </c>
      <c r="R500" s="57"/>
      <c r="S500" s="57"/>
      <c r="T500" s="59">
        <f t="shared" ref="T500:T534" si="107">IF(MIN(IF(ISBLANK(R500),Q500,R500),IF(ISBLANK(Q500),R500,Q500))=0,"",MIN(IF(ISBLANK(R500),Q500,R500),IF(ISBLANK(Q500),R500,Q500)))</f>
        <v>6.6203703703703702E-3</v>
      </c>
      <c r="U500" s="57"/>
      <c r="V500" s="57"/>
      <c r="W500" s="59">
        <f t="shared" ref="W500:W534" si="108">IF(MIN(IF(ISBLANK(U500),T500,U500),IF(ISBLANK(T500),U500,T500))=0,"",MIN(IF(ISBLANK(U500),T500,U500),IF(ISBLANK(T500),U500,T500)))</f>
        <v>6.6203703703703702E-3</v>
      </c>
      <c r="X500" s="57"/>
      <c r="Y500" s="57"/>
      <c r="Z500" s="59">
        <f t="shared" ref="Z500:Z532" si="109">IF(MIN(IF(ISBLANK(X500),W500,X500),IF(ISBLANK(W500),X500,W500))=0,"",MIN(IF(ISBLANK(X500),W500,X500),IF(ISBLANK(W500),X500,W500)))</f>
        <v>6.6203703703703702E-3</v>
      </c>
      <c r="AA500" s="57"/>
      <c r="AB500" s="57"/>
      <c r="AC500" s="59">
        <f t="shared" si="94"/>
        <v>6.6203703703703702E-3</v>
      </c>
      <c r="AD500" s="57"/>
      <c r="AE500" s="57"/>
      <c r="AF500" s="59"/>
    </row>
    <row r="501" spans="1:32">
      <c r="A501" s="24"/>
      <c r="B501" s="26" t="s">
        <v>114</v>
      </c>
      <c r="C501" s="26" t="s">
        <v>450</v>
      </c>
      <c r="D501" s="50"/>
      <c r="E501" s="51"/>
      <c r="F501" s="50" t="s">
        <v>455</v>
      </c>
      <c r="G501" s="52"/>
      <c r="H501" s="50"/>
      <c r="I501" s="53"/>
      <c r="J501" s="50" t="s">
        <v>455</v>
      </c>
      <c r="K501" s="53"/>
      <c r="L501" s="50"/>
      <c r="M501" s="57"/>
      <c r="N501" s="55"/>
      <c r="O501" s="57"/>
      <c r="P501" s="57"/>
      <c r="Q501" s="59" t="str">
        <f t="shared" si="106"/>
        <v/>
      </c>
      <c r="R501" s="57"/>
      <c r="S501" s="57"/>
      <c r="T501" s="59" t="str">
        <f t="shared" si="107"/>
        <v/>
      </c>
      <c r="U501" s="57"/>
      <c r="V501" s="57"/>
      <c r="W501" s="59" t="str">
        <f t="shared" si="108"/>
        <v/>
      </c>
      <c r="X501" s="57"/>
      <c r="Y501" s="57"/>
      <c r="Z501" s="59" t="str">
        <f t="shared" si="109"/>
        <v/>
      </c>
      <c r="AA501" s="57"/>
      <c r="AB501" s="57"/>
      <c r="AC501" s="59" t="str">
        <f t="shared" si="94"/>
        <v/>
      </c>
      <c r="AD501" s="57"/>
      <c r="AE501" s="57"/>
      <c r="AF501" s="59"/>
    </row>
    <row r="502" spans="1:32">
      <c r="A502" s="24"/>
      <c r="B502" s="26" t="s">
        <v>346</v>
      </c>
      <c r="C502" s="26" t="s">
        <v>450</v>
      </c>
      <c r="D502" s="50"/>
      <c r="E502" s="51"/>
      <c r="F502" s="50" t="s">
        <v>455</v>
      </c>
      <c r="G502" s="52"/>
      <c r="H502" s="50"/>
      <c r="I502" s="53"/>
      <c r="J502" s="50" t="s">
        <v>455</v>
      </c>
      <c r="K502" s="53"/>
      <c r="L502" s="50"/>
      <c r="M502" s="57"/>
      <c r="N502" s="55"/>
      <c r="O502" s="57"/>
      <c r="P502" s="57"/>
      <c r="Q502" s="59" t="str">
        <f t="shared" si="106"/>
        <v/>
      </c>
      <c r="R502" s="57"/>
      <c r="S502" s="57"/>
      <c r="T502" s="59" t="str">
        <f t="shared" si="107"/>
        <v/>
      </c>
      <c r="U502" s="57"/>
      <c r="V502" s="57"/>
      <c r="W502" s="59" t="str">
        <f t="shared" si="108"/>
        <v/>
      </c>
      <c r="X502" s="57"/>
      <c r="Y502" s="57"/>
      <c r="Z502" s="59" t="str">
        <f t="shared" si="109"/>
        <v/>
      </c>
      <c r="AA502" s="57"/>
      <c r="AB502" s="57"/>
      <c r="AC502" s="59" t="str">
        <f t="shared" si="94"/>
        <v/>
      </c>
      <c r="AD502" s="57"/>
      <c r="AE502" s="57"/>
      <c r="AF502" s="59"/>
    </row>
    <row r="503" spans="1:32">
      <c r="A503" s="24" t="s">
        <v>326</v>
      </c>
      <c r="B503" s="26" t="s">
        <v>739</v>
      </c>
      <c r="C503" s="26"/>
      <c r="D503" s="50"/>
      <c r="E503" s="51"/>
      <c r="F503" s="50"/>
      <c r="G503" s="52"/>
      <c r="H503" s="50"/>
      <c r="I503" s="53"/>
      <c r="J503" s="50"/>
      <c r="K503" s="53"/>
      <c r="L503" s="50"/>
      <c r="M503" s="57"/>
      <c r="N503" s="55"/>
      <c r="O503" s="57"/>
      <c r="P503" s="57"/>
      <c r="Q503" s="59"/>
      <c r="R503" s="57"/>
      <c r="S503" s="57"/>
      <c r="T503" s="59"/>
      <c r="U503" s="57"/>
      <c r="V503" s="57"/>
      <c r="W503" s="59"/>
      <c r="X503" s="57"/>
      <c r="Y503" s="57"/>
      <c r="Z503" s="59"/>
      <c r="AA503" s="57"/>
      <c r="AB503" s="57"/>
      <c r="AC503" s="59"/>
      <c r="AD503" s="57">
        <v>5.8449074074074072E-3</v>
      </c>
      <c r="AE503" s="57"/>
      <c r="AF503" s="59"/>
    </row>
    <row r="504" spans="1:32">
      <c r="A504" s="24"/>
      <c r="B504" s="26" t="s">
        <v>121</v>
      </c>
      <c r="C504" s="26" t="s">
        <v>450</v>
      </c>
      <c r="D504" s="50">
        <v>8.17</v>
      </c>
      <c r="E504" s="51"/>
      <c r="F504" s="50">
        <v>8.17</v>
      </c>
      <c r="G504" s="52"/>
      <c r="H504" s="50">
        <v>8.17</v>
      </c>
      <c r="I504" s="53"/>
      <c r="J504" s="50">
        <v>8.17</v>
      </c>
      <c r="K504" s="53"/>
      <c r="L504" s="50">
        <v>8.17</v>
      </c>
      <c r="M504" s="57"/>
      <c r="N504" s="55">
        <v>5.7523148148148143E-3</v>
      </c>
      <c r="O504" s="57"/>
      <c r="P504" s="57"/>
      <c r="Q504" s="59">
        <f t="shared" si="106"/>
        <v>5.7523148148148143E-3</v>
      </c>
      <c r="R504" s="57"/>
      <c r="S504" s="57"/>
      <c r="T504" s="59">
        <f t="shared" si="107"/>
        <v>5.7523148148148143E-3</v>
      </c>
      <c r="U504" s="57"/>
      <c r="V504" s="57"/>
      <c r="W504" s="59">
        <f t="shared" si="108"/>
        <v>5.7523148148148143E-3</v>
      </c>
      <c r="X504" s="57"/>
      <c r="Y504" s="57"/>
      <c r="Z504" s="59">
        <f t="shared" si="109"/>
        <v>5.7523148148148143E-3</v>
      </c>
      <c r="AA504" s="57"/>
      <c r="AB504" s="57"/>
      <c r="AC504" s="59">
        <f t="shared" si="94"/>
        <v>5.7523148148148143E-3</v>
      </c>
      <c r="AD504" s="57"/>
      <c r="AE504" s="57"/>
      <c r="AF504" s="59"/>
    </row>
    <row r="505" spans="1:32">
      <c r="A505" s="24"/>
      <c r="B505" s="26" t="s">
        <v>486</v>
      </c>
      <c r="C505" s="26" t="s">
        <v>450</v>
      </c>
      <c r="D505" s="50"/>
      <c r="E505" s="51"/>
      <c r="F505" s="50"/>
      <c r="G505" s="52"/>
      <c r="H505" s="50"/>
      <c r="I505" s="53"/>
      <c r="J505" s="50"/>
      <c r="K505" s="53">
        <v>8.49</v>
      </c>
      <c r="L505" s="50">
        <v>8.49</v>
      </c>
      <c r="M505" s="57"/>
      <c r="N505" s="55">
        <v>6.122685185185185E-3</v>
      </c>
      <c r="O505" s="57"/>
      <c r="P505" s="57"/>
      <c r="Q505" s="59">
        <f t="shared" si="106"/>
        <v>6.122685185185185E-3</v>
      </c>
      <c r="R505" s="57"/>
      <c r="S505" s="57"/>
      <c r="T505" s="59">
        <f t="shared" si="107"/>
        <v>6.122685185185185E-3</v>
      </c>
      <c r="U505" s="57"/>
      <c r="V505" s="57"/>
      <c r="W505" s="59">
        <f t="shared" si="108"/>
        <v>6.122685185185185E-3</v>
      </c>
      <c r="X505" s="57"/>
      <c r="Y505" s="57"/>
      <c r="Z505" s="59">
        <f t="shared" si="109"/>
        <v>6.122685185185185E-3</v>
      </c>
      <c r="AA505" s="57"/>
      <c r="AB505" s="57"/>
      <c r="AC505" s="59">
        <f t="shared" si="94"/>
        <v>6.122685185185185E-3</v>
      </c>
      <c r="AD505" s="57"/>
      <c r="AE505" s="57"/>
      <c r="AF505" s="59"/>
    </row>
    <row r="506" spans="1:32">
      <c r="A506" s="24" t="s">
        <v>326</v>
      </c>
      <c r="B506" s="26" t="s">
        <v>126</v>
      </c>
      <c r="C506" s="26" t="s">
        <v>450</v>
      </c>
      <c r="D506" s="50">
        <v>7.45</v>
      </c>
      <c r="E506" s="51"/>
      <c r="F506" s="50">
        <v>7.45</v>
      </c>
      <c r="G506" s="52"/>
      <c r="H506" s="50">
        <v>7.45</v>
      </c>
      <c r="I506" s="53"/>
      <c r="J506" s="50">
        <v>7.45</v>
      </c>
      <c r="K506" s="53"/>
      <c r="L506" s="50">
        <v>7.45</v>
      </c>
      <c r="M506" s="57"/>
      <c r="N506" s="55">
        <v>5.3819444444444453E-3</v>
      </c>
      <c r="O506" s="57">
        <v>5.8680555555555543E-3</v>
      </c>
      <c r="P506" s="57"/>
      <c r="Q506" s="59">
        <f t="shared" si="106"/>
        <v>5.3819444444444453E-3</v>
      </c>
      <c r="R506" s="57">
        <v>5.9606481481481489E-3</v>
      </c>
      <c r="S506" s="57"/>
      <c r="T506" s="59">
        <f t="shared" si="107"/>
        <v>5.3819444444444453E-3</v>
      </c>
      <c r="U506" s="57"/>
      <c r="V506" s="57"/>
      <c r="W506" s="59">
        <f t="shared" si="108"/>
        <v>5.3819444444444453E-3</v>
      </c>
      <c r="X506" s="57"/>
      <c r="Y506" s="57"/>
      <c r="Z506" s="59">
        <f t="shared" si="109"/>
        <v>5.3819444444444453E-3</v>
      </c>
      <c r="AA506" s="57"/>
      <c r="AB506" s="57"/>
      <c r="AC506" s="59">
        <f t="shared" si="94"/>
        <v>5.3819444444444453E-3</v>
      </c>
      <c r="AD506" s="57"/>
      <c r="AE506" s="57"/>
      <c r="AF506" s="59"/>
    </row>
    <row r="507" spans="1:32">
      <c r="A507" s="24"/>
      <c r="B507" s="26" t="s">
        <v>556</v>
      </c>
      <c r="C507" s="26"/>
      <c r="D507" s="50"/>
      <c r="E507" s="51"/>
      <c r="F507" s="50"/>
      <c r="G507" s="52"/>
      <c r="H507" s="50"/>
      <c r="I507" s="53"/>
      <c r="J507" s="50"/>
      <c r="K507" s="53"/>
      <c r="L507" s="50"/>
      <c r="M507" s="57"/>
      <c r="N507" s="55"/>
      <c r="O507" s="57">
        <v>6.0995370370370361E-3</v>
      </c>
      <c r="P507" s="57"/>
      <c r="Q507" s="59">
        <f t="shared" si="106"/>
        <v>6.0995370370370361E-3</v>
      </c>
      <c r="R507" s="57"/>
      <c r="S507" s="57"/>
      <c r="T507" s="59">
        <f t="shared" si="107"/>
        <v>6.0995370370370361E-3</v>
      </c>
      <c r="U507" s="57"/>
      <c r="V507" s="57"/>
      <c r="W507" s="59">
        <f t="shared" si="108"/>
        <v>6.0995370370370361E-3</v>
      </c>
      <c r="X507" s="57"/>
      <c r="Y507" s="57"/>
      <c r="Z507" s="59">
        <f t="shared" si="109"/>
        <v>6.0995370370370361E-3</v>
      </c>
      <c r="AA507" s="57"/>
      <c r="AB507" s="57"/>
      <c r="AC507" s="59">
        <f t="shared" si="94"/>
        <v>6.0995370370370361E-3</v>
      </c>
      <c r="AD507" s="57"/>
      <c r="AE507" s="57"/>
      <c r="AF507" s="59"/>
    </row>
    <row r="508" spans="1:32">
      <c r="A508" s="24"/>
      <c r="B508" s="26" t="s">
        <v>246</v>
      </c>
      <c r="C508" s="26" t="s">
        <v>451</v>
      </c>
      <c r="D508" s="50"/>
      <c r="E508" s="51"/>
      <c r="F508" s="50" t="s">
        <v>455</v>
      </c>
      <c r="G508" s="52"/>
      <c r="H508" s="50"/>
      <c r="I508" s="53"/>
      <c r="J508" s="50" t="s">
        <v>455</v>
      </c>
      <c r="K508" s="53"/>
      <c r="L508" s="50"/>
      <c r="M508" s="57"/>
      <c r="N508" s="55"/>
      <c r="O508" s="57"/>
      <c r="P508" s="57"/>
      <c r="Q508" s="59" t="str">
        <f t="shared" si="106"/>
        <v/>
      </c>
      <c r="R508" s="57"/>
      <c r="S508" s="57"/>
      <c r="T508" s="59" t="str">
        <f t="shared" si="107"/>
        <v/>
      </c>
      <c r="U508" s="57"/>
      <c r="V508" s="57"/>
      <c r="W508" s="59" t="str">
        <f t="shared" si="108"/>
        <v/>
      </c>
      <c r="X508" s="57"/>
      <c r="Y508" s="57"/>
      <c r="Z508" s="59" t="str">
        <f t="shared" si="109"/>
        <v/>
      </c>
      <c r="AA508" s="57"/>
      <c r="AB508" s="57"/>
      <c r="AC508" s="59" t="str">
        <f t="shared" si="94"/>
        <v/>
      </c>
      <c r="AD508" s="57"/>
      <c r="AE508" s="57"/>
      <c r="AF508" s="59"/>
    </row>
    <row r="509" spans="1:32">
      <c r="A509" s="24"/>
      <c r="B509" s="26" t="s">
        <v>131</v>
      </c>
      <c r="C509" s="26" t="s">
        <v>450</v>
      </c>
      <c r="D509" s="50">
        <v>6.46</v>
      </c>
      <c r="E509" s="51"/>
      <c r="F509" s="50">
        <v>6.46</v>
      </c>
      <c r="G509" s="52"/>
      <c r="H509" s="50">
        <v>6.46</v>
      </c>
      <c r="I509" s="53">
        <v>7.29</v>
      </c>
      <c r="J509" s="50">
        <v>6.46</v>
      </c>
      <c r="K509" s="53"/>
      <c r="L509" s="50">
        <v>6.46</v>
      </c>
      <c r="M509" s="57"/>
      <c r="N509" s="55">
        <v>4.6990740740740743E-3</v>
      </c>
      <c r="O509" s="57">
        <v>5.9606481481481489E-3</v>
      </c>
      <c r="P509" s="57"/>
      <c r="Q509" s="59">
        <f t="shared" si="106"/>
        <v>4.6990740740740743E-3</v>
      </c>
      <c r="R509" s="57"/>
      <c r="S509" s="57"/>
      <c r="T509" s="59">
        <f t="shared" si="107"/>
        <v>4.6990740740740743E-3</v>
      </c>
      <c r="U509" s="57"/>
      <c r="V509" s="57"/>
      <c r="W509" s="59">
        <f t="shared" si="108"/>
        <v>4.6990740740740743E-3</v>
      </c>
      <c r="X509" s="57"/>
      <c r="Y509" s="57"/>
      <c r="Z509" s="59">
        <f t="shared" si="109"/>
        <v>4.6990740740740743E-3</v>
      </c>
      <c r="AA509" s="57"/>
      <c r="AB509" s="57"/>
      <c r="AC509" s="59">
        <f t="shared" si="94"/>
        <v>4.6990740740740743E-3</v>
      </c>
      <c r="AD509" s="57"/>
      <c r="AE509" s="57"/>
      <c r="AF509" s="59"/>
    </row>
    <row r="510" spans="1:32">
      <c r="A510" s="24"/>
      <c r="B510" s="26" t="s">
        <v>137</v>
      </c>
      <c r="C510" s="26"/>
      <c r="D510" s="50">
        <v>10.01</v>
      </c>
      <c r="E510" s="51"/>
      <c r="F510" s="50">
        <v>10.01</v>
      </c>
      <c r="G510" s="52"/>
      <c r="H510" s="50">
        <v>10.01</v>
      </c>
      <c r="I510" s="53"/>
      <c r="J510" s="50">
        <v>10.01</v>
      </c>
      <c r="K510" s="53"/>
      <c r="L510" s="50">
        <v>10.01</v>
      </c>
      <c r="M510" s="57"/>
      <c r="N510" s="55">
        <v>6.9560185185185185E-3</v>
      </c>
      <c r="O510" s="57"/>
      <c r="P510" s="57"/>
      <c r="Q510" s="59">
        <f t="shared" si="106"/>
        <v>6.9560185185185185E-3</v>
      </c>
      <c r="R510" s="57"/>
      <c r="S510" s="57"/>
      <c r="T510" s="59">
        <f t="shared" si="107"/>
        <v>6.9560185185185185E-3</v>
      </c>
      <c r="U510" s="57"/>
      <c r="V510" s="57"/>
      <c r="W510" s="59">
        <f t="shared" si="108"/>
        <v>6.9560185185185185E-3</v>
      </c>
      <c r="X510" s="57"/>
      <c r="Y510" s="57"/>
      <c r="Z510" s="59">
        <f t="shared" si="109"/>
        <v>6.9560185185185185E-3</v>
      </c>
      <c r="AA510" s="57"/>
      <c r="AB510" s="57"/>
      <c r="AC510" s="59">
        <f t="shared" si="94"/>
        <v>6.9560185185185185E-3</v>
      </c>
      <c r="AD510" s="57"/>
      <c r="AE510" s="57"/>
      <c r="AF510" s="59"/>
    </row>
    <row r="511" spans="1:32">
      <c r="A511" s="24"/>
      <c r="B511" s="26" t="s">
        <v>606</v>
      </c>
      <c r="C511" s="26" t="s">
        <v>450</v>
      </c>
      <c r="D511" s="50"/>
      <c r="E511" s="51"/>
      <c r="F511" s="50"/>
      <c r="G511" s="52"/>
      <c r="H511" s="50"/>
      <c r="I511" s="53"/>
      <c r="J511" s="50"/>
      <c r="K511" s="53"/>
      <c r="L511" s="50"/>
      <c r="M511" s="57"/>
      <c r="N511" s="55"/>
      <c r="O511" s="57"/>
      <c r="P511" s="57"/>
      <c r="Q511" s="59"/>
      <c r="R511" s="57">
        <v>7.4074074074074068E-3</v>
      </c>
      <c r="S511" s="57" t="s">
        <v>575</v>
      </c>
      <c r="T511" s="59">
        <f t="shared" si="107"/>
        <v>7.4074074074074068E-3</v>
      </c>
      <c r="U511" s="57"/>
      <c r="V511" s="57"/>
      <c r="W511" s="59">
        <f t="shared" si="108"/>
        <v>7.4074074074074068E-3</v>
      </c>
      <c r="X511" s="57"/>
      <c r="Y511" s="57"/>
      <c r="Z511" s="59">
        <f t="shared" si="109"/>
        <v>7.4074074074074068E-3</v>
      </c>
      <c r="AA511" s="57"/>
      <c r="AB511" s="57"/>
      <c r="AC511" s="59">
        <f t="shared" si="94"/>
        <v>7.4074074074074068E-3</v>
      </c>
      <c r="AD511" s="57"/>
      <c r="AE511" s="57"/>
      <c r="AF511" s="59"/>
    </row>
    <row r="512" spans="1:32">
      <c r="A512" s="24"/>
      <c r="B512" s="26" t="s">
        <v>339</v>
      </c>
      <c r="C512" s="26"/>
      <c r="D512" s="50"/>
      <c r="E512" s="51"/>
      <c r="F512" s="50" t="s">
        <v>455</v>
      </c>
      <c r="G512" s="52"/>
      <c r="H512" s="50"/>
      <c r="I512" s="53"/>
      <c r="J512" s="50" t="s">
        <v>455</v>
      </c>
      <c r="K512" s="53"/>
      <c r="L512" s="50"/>
      <c r="M512" s="57"/>
      <c r="N512" s="55"/>
      <c r="O512" s="57"/>
      <c r="P512" s="57"/>
      <c r="Q512" s="59" t="str">
        <f>IF(MIN(IF(ISBLANK(O512),N512,O512),IF(ISBLANK(N512),O512,N512))=0,"",MIN(IF(ISBLANK(O512),N512,O512),IF(ISBLANK(N512),O512,N512)))</f>
        <v/>
      </c>
      <c r="R512" s="57"/>
      <c r="S512" s="57"/>
      <c r="T512" s="59" t="str">
        <f t="shared" si="107"/>
        <v/>
      </c>
      <c r="U512" s="57"/>
      <c r="V512" s="57"/>
      <c r="W512" s="59" t="str">
        <f t="shared" si="108"/>
        <v/>
      </c>
      <c r="X512" s="57"/>
      <c r="Y512" s="57"/>
      <c r="Z512" s="59" t="str">
        <f t="shared" si="109"/>
        <v/>
      </c>
      <c r="AA512" s="57"/>
      <c r="AB512" s="57"/>
      <c r="AC512" s="59" t="str">
        <f t="shared" si="94"/>
        <v/>
      </c>
      <c r="AD512" s="57"/>
      <c r="AE512" s="57"/>
      <c r="AF512" s="59"/>
    </row>
    <row r="513" spans="1:32">
      <c r="A513" s="24" t="s">
        <v>326</v>
      </c>
      <c r="B513" s="26" t="s">
        <v>144</v>
      </c>
      <c r="C513" s="26" t="s">
        <v>451</v>
      </c>
      <c r="D513" s="55">
        <v>8.5995370370370357E-3</v>
      </c>
      <c r="E513" s="57"/>
      <c r="F513" s="55">
        <v>8.5995370370370357E-3</v>
      </c>
      <c r="G513" s="57">
        <v>8.3217592592592596E-3</v>
      </c>
      <c r="H513" s="55">
        <v>8.3217592592592596E-3</v>
      </c>
      <c r="I513" s="57">
        <v>8.1018518518518514E-3</v>
      </c>
      <c r="J513" s="55">
        <v>8.1018518518518514E-3</v>
      </c>
      <c r="K513" s="57">
        <v>7.858796296296296E-3</v>
      </c>
      <c r="L513" s="55">
        <v>7.858796296296296E-3</v>
      </c>
      <c r="M513" s="57"/>
      <c r="N513" s="55">
        <v>7.858796296296296E-3</v>
      </c>
      <c r="O513" s="57">
        <v>7.4652777777777781E-3</v>
      </c>
      <c r="P513" s="57"/>
      <c r="Q513" s="59">
        <f>IF(MIN(IF(ISBLANK(O513),N513,O513),IF(ISBLANK(N513),O513,N513))=0,"",MIN(IF(ISBLANK(O513),N513,O513),IF(ISBLANK(N513),O513,N513)))</f>
        <v>7.4652777777777781E-3</v>
      </c>
      <c r="R513" s="57"/>
      <c r="S513" s="57"/>
      <c r="T513" s="59">
        <f t="shared" si="107"/>
        <v>7.4652777777777781E-3</v>
      </c>
      <c r="U513" s="57">
        <v>7.3148148148148148E-3</v>
      </c>
      <c r="V513" s="57"/>
      <c r="W513" s="59">
        <f t="shared" si="108"/>
        <v>7.3148148148148148E-3</v>
      </c>
      <c r="X513" s="57">
        <v>7.4652777777777781E-3</v>
      </c>
      <c r="Y513" s="57"/>
      <c r="Z513" s="59">
        <f t="shared" si="109"/>
        <v>7.3148148148148148E-3</v>
      </c>
      <c r="AA513" s="57">
        <v>7.5000000000000006E-3</v>
      </c>
      <c r="AB513" s="57"/>
      <c r="AC513" s="59">
        <f t="shared" si="94"/>
        <v>7.3148148148148148E-3</v>
      </c>
      <c r="AD513" s="57">
        <v>7.2916666666666659E-3</v>
      </c>
      <c r="AE513" s="57"/>
      <c r="AF513" s="59"/>
    </row>
    <row r="514" spans="1:32">
      <c r="A514" s="24" t="s">
        <v>326</v>
      </c>
      <c r="B514" s="26" t="s">
        <v>578</v>
      </c>
      <c r="C514" s="26"/>
      <c r="D514" s="50"/>
      <c r="E514" s="51"/>
      <c r="F514" s="50"/>
      <c r="G514" s="52"/>
      <c r="H514" s="50"/>
      <c r="I514" s="53"/>
      <c r="J514" s="50"/>
      <c r="K514" s="53"/>
      <c r="L514" s="50"/>
      <c r="M514" s="57"/>
      <c r="N514" s="55"/>
      <c r="O514" s="57"/>
      <c r="P514" s="57"/>
      <c r="Q514" s="59"/>
      <c r="R514" s="57">
        <v>6.4814814814814813E-3</v>
      </c>
      <c r="S514" s="57"/>
      <c r="T514" s="59">
        <f t="shared" si="107"/>
        <v>6.4814814814814813E-3</v>
      </c>
      <c r="U514" s="57">
        <v>7.0254629629629634E-3</v>
      </c>
      <c r="V514" s="57"/>
      <c r="W514" s="59">
        <f t="shared" si="108"/>
        <v>6.4814814814814813E-3</v>
      </c>
      <c r="X514" s="57">
        <v>5.7986111111111112E-3</v>
      </c>
      <c r="Y514" s="57"/>
      <c r="Z514" s="59">
        <f t="shared" si="109"/>
        <v>5.7986111111111112E-3</v>
      </c>
      <c r="AA514" s="57">
        <v>6.0069444444444441E-3</v>
      </c>
      <c r="AB514" s="57"/>
      <c r="AC514" s="59">
        <f t="shared" si="94"/>
        <v>5.7986111111111112E-3</v>
      </c>
      <c r="AD514" s="57"/>
      <c r="AE514" s="57"/>
      <c r="AF514" s="59"/>
    </row>
    <row r="515" spans="1:32">
      <c r="A515" s="24"/>
      <c r="B515" s="26" t="s">
        <v>499</v>
      </c>
      <c r="C515" s="26" t="s">
        <v>450</v>
      </c>
      <c r="D515" s="50"/>
      <c r="E515" s="51" t="s">
        <v>319</v>
      </c>
      <c r="F515" s="50">
        <v>6.47</v>
      </c>
      <c r="G515" s="52"/>
      <c r="H515" s="50">
        <v>6.47</v>
      </c>
      <c r="I515" s="53"/>
      <c r="J515" s="50">
        <v>6.47</v>
      </c>
      <c r="K515" s="53">
        <v>6.05</v>
      </c>
      <c r="L515" s="50" t="s">
        <v>500</v>
      </c>
      <c r="M515" s="57"/>
      <c r="N515" s="55">
        <v>4.2245370370370371E-3</v>
      </c>
      <c r="O515" s="57"/>
      <c r="P515" s="57"/>
      <c r="Q515" s="59">
        <f t="shared" ref="Q515:Q534" si="110">IF(MIN(IF(ISBLANK(O515),N515,O515),IF(ISBLANK(N515),O515,N515))=0,"",MIN(IF(ISBLANK(O515),N515,O515),IF(ISBLANK(N515),O515,N515)))</f>
        <v>4.2245370370370371E-3</v>
      </c>
      <c r="R515" s="57"/>
      <c r="S515" s="57"/>
      <c r="T515" s="59">
        <f t="shared" si="107"/>
        <v>4.2245370370370371E-3</v>
      </c>
      <c r="U515" s="57"/>
      <c r="V515" s="57"/>
      <c r="W515" s="59">
        <f t="shared" si="108"/>
        <v>4.2245370370370371E-3</v>
      </c>
      <c r="X515" s="57"/>
      <c r="Y515" s="57"/>
      <c r="Z515" s="59">
        <f t="shared" si="109"/>
        <v>4.2245370370370371E-3</v>
      </c>
      <c r="AA515" s="57"/>
      <c r="AB515" s="57"/>
      <c r="AC515" s="59">
        <f t="shared" si="94"/>
        <v>4.2245370370370371E-3</v>
      </c>
      <c r="AD515" s="57"/>
      <c r="AE515" s="57"/>
      <c r="AF515" s="59"/>
    </row>
    <row r="516" spans="1:32">
      <c r="A516" s="24"/>
      <c r="B516" s="26" t="s">
        <v>427</v>
      </c>
      <c r="C516" s="26"/>
      <c r="D516" s="50"/>
      <c r="E516" s="51"/>
      <c r="F516" s="50"/>
      <c r="G516" s="52"/>
      <c r="H516" s="50"/>
      <c r="I516" s="53"/>
      <c r="J516" s="50" t="s">
        <v>455</v>
      </c>
      <c r="K516" s="53"/>
      <c r="L516" s="50"/>
      <c r="M516" s="57"/>
      <c r="N516" s="55"/>
      <c r="O516" s="57"/>
      <c r="P516" s="57"/>
      <c r="Q516" s="59" t="str">
        <f t="shared" si="110"/>
        <v/>
      </c>
      <c r="R516" s="57"/>
      <c r="S516" s="57"/>
      <c r="T516" s="59" t="str">
        <f t="shared" si="107"/>
        <v/>
      </c>
      <c r="U516" s="57"/>
      <c r="V516" s="57"/>
      <c r="W516" s="59" t="str">
        <f t="shared" si="108"/>
        <v/>
      </c>
      <c r="X516" s="57"/>
      <c r="Y516" s="57"/>
      <c r="Z516" s="59" t="str">
        <f t="shared" si="109"/>
        <v/>
      </c>
      <c r="AA516" s="57"/>
      <c r="AB516" s="57"/>
      <c r="AC516" s="59" t="str">
        <f t="shared" ref="AC516:AC579" si="111">IF(MIN(IF(ISBLANK(Z516),AA516,Z516),IF(ISBLANK(AA516),Z516,AA516))=0,"",MIN(IF(ISBLANK(Z516),AA516,Z516),IF(ISBLANK(AA516),Z516,AA516)))</f>
        <v/>
      </c>
      <c r="AD516" s="57"/>
      <c r="AE516" s="57"/>
      <c r="AF516" s="59"/>
    </row>
    <row r="517" spans="1:32">
      <c r="A517" s="24"/>
      <c r="B517" s="26" t="s">
        <v>150</v>
      </c>
      <c r="C517" s="26" t="s">
        <v>451</v>
      </c>
      <c r="D517" s="50"/>
      <c r="E517" s="51"/>
      <c r="F517" s="50" t="s">
        <v>455</v>
      </c>
      <c r="G517" s="52"/>
      <c r="H517" s="50"/>
      <c r="I517" s="53"/>
      <c r="J517" s="50" t="s">
        <v>455</v>
      </c>
      <c r="K517" s="53"/>
      <c r="L517" s="50"/>
      <c r="M517" s="57"/>
      <c r="N517" s="55"/>
      <c r="O517" s="57"/>
      <c r="P517" s="57"/>
      <c r="Q517" s="59" t="str">
        <f t="shared" si="110"/>
        <v/>
      </c>
      <c r="R517" s="57"/>
      <c r="S517" s="57"/>
      <c r="T517" s="59" t="str">
        <f t="shared" si="107"/>
        <v/>
      </c>
      <c r="U517" s="57"/>
      <c r="V517" s="57"/>
      <c r="W517" s="59" t="str">
        <f t="shared" si="108"/>
        <v/>
      </c>
      <c r="X517" s="57"/>
      <c r="Y517" s="57"/>
      <c r="Z517" s="59" t="str">
        <f t="shared" si="109"/>
        <v/>
      </c>
      <c r="AA517" s="57"/>
      <c r="AB517" s="57"/>
      <c r="AC517" s="59" t="str">
        <f t="shared" si="111"/>
        <v/>
      </c>
      <c r="AD517" s="57"/>
      <c r="AE517" s="57"/>
      <c r="AF517" s="59"/>
    </row>
    <row r="518" spans="1:32">
      <c r="A518" s="24"/>
      <c r="B518" s="26" t="s">
        <v>502</v>
      </c>
      <c r="C518" s="26"/>
      <c r="D518" s="50"/>
      <c r="E518" s="51"/>
      <c r="F518" s="50"/>
      <c r="G518" s="52"/>
      <c r="H518" s="50"/>
      <c r="I518" s="53"/>
      <c r="J518" s="50"/>
      <c r="K518" s="53"/>
      <c r="L518" s="50"/>
      <c r="M518" s="57"/>
      <c r="N518" s="55"/>
      <c r="O518" s="57"/>
      <c r="P518" s="57"/>
      <c r="Q518" s="59" t="str">
        <f t="shared" si="110"/>
        <v/>
      </c>
      <c r="R518" s="57"/>
      <c r="S518" s="57"/>
      <c r="T518" s="59" t="str">
        <f t="shared" si="107"/>
        <v/>
      </c>
      <c r="U518" s="57"/>
      <c r="V518" s="57"/>
      <c r="W518" s="59" t="str">
        <f t="shared" si="108"/>
        <v/>
      </c>
      <c r="X518" s="57"/>
      <c r="Y518" s="57"/>
      <c r="Z518" s="59" t="str">
        <f t="shared" si="109"/>
        <v/>
      </c>
      <c r="AA518" s="57"/>
      <c r="AB518" s="57"/>
      <c r="AC518" s="59" t="str">
        <f t="shared" si="111"/>
        <v/>
      </c>
      <c r="AD518" s="57"/>
      <c r="AE518" s="57"/>
      <c r="AF518" s="59"/>
    </row>
    <row r="519" spans="1:32">
      <c r="A519" s="24"/>
      <c r="B519" s="26" t="s">
        <v>251</v>
      </c>
      <c r="C519" s="26"/>
      <c r="D519" s="50"/>
      <c r="E519" s="51"/>
      <c r="F519" s="50" t="s">
        <v>455</v>
      </c>
      <c r="G519" s="52"/>
      <c r="H519" s="50"/>
      <c r="I519" s="53"/>
      <c r="J519" s="50" t="s">
        <v>455</v>
      </c>
      <c r="K519" s="53"/>
      <c r="L519" s="50"/>
      <c r="M519" s="57"/>
      <c r="N519" s="55"/>
      <c r="O519" s="57"/>
      <c r="P519" s="57"/>
      <c r="Q519" s="59" t="str">
        <f t="shared" si="110"/>
        <v/>
      </c>
      <c r="R519" s="57"/>
      <c r="S519" s="57"/>
      <c r="T519" s="59" t="str">
        <f t="shared" si="107"/>
        <v/>
      </c>
      <c r="U519" s="57"/>
      <c r="V519" s="57"/>
      <c r="W519" s="59" t="str">
        <f t="shared" si="108"/>
        <v/>
      </c>
      <c r="X519" s="57"/>
      <c r="Y519" s="57"/>
      <c r="Z519" s="59" t="str">
        <f t="shared" si="109"/>
        <v/>
      </c>
      <c r="AA519" s="57"/>
      <c r="AB519" s="57"/>
      <c r="AC519" s="59" t="str">
        <f t="shared" si="111"/>
        <v/>
      </c>
      <c r="AD519" s="57"/>
      <c r="AE519" s="57"/>
      <c r="AF519" s="59"/>
    </row>
    <row r="520" spans="1:32">
      <c r="A520" s="24"/>
      <c r="B520" s="26" t="s">
        <v>428</v>
      </c>
      <c r="C520" s="26"/>
      <c r="D520" s="50"/>
      <c r="E520" s="51"/>
      <c r="F520" s="50"/>
      <c r="G520" s="52"/>
      <c r="H520" s="50"/>
      <c r="I520" s="53">
        <v>8.19</v>
      </c>
      <c r="J520" s="50">
        <v>8.19</v>
      </c>
      <c r="K520" s="53">
        <v>8.17</v>
      </c>
      <c r="L520" s="50">
        <v>8.17</v>
      </c>
      <c r="M520" s="57">
        <v>6.1921296296296299E-3</v>
      </c>
      <c r="N520" s="55">
        <v>5.7523148148148143E-3</v>
      </c>
      <c r="O520" s="57"/>
      <c r="P520" s="57"/>
      <c r="Q520" s="59">
        <f t="shared" si="110"/>
        <v>5.7523148148148143E-3</v>
      </c>
      <c r="R520" s="57"/>
      <c r="S520" s="57"/>
      <c r="T520" s="59">
        <f t="shared" si="107"/>
        <v>5.7523148148148143E-3</v>
      </c>
      <c r="U520" s="57"/>
      <c r="V520" s="57"/>
      <c r="W520" s="59">
        <f t="shared" si="108"/>
        <v>5.7523148148148143E-3</v>
      </c>
      <c r="X520" s="57"/>
      <c r="Y520" s="57"/>
      <c r="Z520" s="59">
        <f t="shared" si="109"/>
        <v>5.7523148148148143E-3</v>
      </c>
      <c r="AA520" s="57"/>
      <c r="AB520" s="57"/>
      <c r="AC520" s="59">
        <f t="shared" si="111"/>
        <v>5.7523148148148143E-3</v>
      </c>
      <c r="AD520" s="57"/>
      <c r="AE520" s="57"/>
      <c r="AF520" s="59"/>
    </row>
    <row r="521" spans="1:32">
      <c r="A521" s="24"/>
      <c r="B521" s="26" t="s">
        <v>156</v>
      </c>
      <c r="C521" s="26" t="s">
        <v>450</v>
      </c>
      <c r="D521" s="50">
        <v>8.24</v>
      </c>
      <c r="E521" s="51" t="s">
        <v>261</v>
      </c>
      <c r="F521" s="50">
        <v>8.24</v>
      </c>
      <c r="G521" s="52" t="s">
        <v>364</v>
      </c>
      <c r="H521" s="50">
        <v>8.24</v>
      </c>
      <c r="I521" s="53">
        <v>8.4499999999999993</v>
      </c>
      <c r="J521" s="50">
        <v>8.24</v>
      </c>
      <c r="K521" s="53">
        <v>8.41</v>
      </c>
      <c r="L521" s="50">
        <v>8.24</v>
      </c>
      <c r="M521" s="57">
        <v>6.3194444444444444E-3</v>
      </c>
      <c r="N521" s="55">
        <v>5.8333333333333336E-3</v>
      </c>
      <c r="O521" s="57">
        <v>7.4768518518518526E-3</v>
      </c>
      <c r="P521" s="57"/>
      <c r="Q521" s="59">
        <f t="shared" si="110"/>
        <v>5.8333333333333336E-3</v>
      </c>
      <c r="R521" s="57"/>
      <c r="S521" s="57"/>
      <c r="T521" s="59">
        <f t="shared" si="107"/>
        <v>5.8333333333333336E-3</v>
      </c>
      <c r="U521" s="57"/>
      <c r="V521" s="57"/>
      <c r="W521" s="59">
        <f t="shared" si="108"/>
        <v>5.8333333333333336E-3</v>
      </c>
      <c r="X521" s="57"/>
      <c r="Y521" s="57"/>
      <c r="Z521" s="59">
        <f t="shared" si="109"/>
        <v>5.8333333333333336E-3</v>
      </c>
      <c r="AA521" s="57"/>
      <c r="AB521" s="57"/>
      <c r="AC521" s="59">
        <f t="shared" si="111"/>
        <v>5.8333333333333336E-3</v>
      </c>
      <c r="AD521" s="57"/>
      <c r="AE521" s="57"/>
      <c r="AF521" s="59"/>
    </row>
    <row r="522" spans="1:32">
      <c r="A522" s="24"/>
      <c r="B522" s="26" t="s">
        <v>162</v>
      </c>
      <c r="C522" s="26" t="s">
        <v>451</v>
      </c>
      <c r="D522" s="50">
        <v>9.26</v>
      </c>
      <c r="E522" s="51"/>
      <c r="F522" s="50">
        <v>9.26</v>
      </c>
      <c r="G522" s="52"/>
      <c r="H522" s="50">
        <v>9.26</v>
      </c>
      <c r="I522" s="53"/>
      <c r="J522" s="50">
        <v>9.26</v>
      </c>
      <c r="K522" s="53"/>
      <c r="L522" s="50">
        <v>9.26</v>
      </c>
      <c r="M522" s="57"/>
      <c r="N522" s="55">
        <v>6.5509259259259262E-3</v>
      </c>
      <c r="O522" s="57"/>
      <c r="P522" s="57"/>
      <c r="Q522" s="59">
        <f t="shared" si="110"/>
        <v>6.5509259259259262E-3</v>
      </c>
      <c r="R522" s="57"/>
      <c r="S522" s="57"/>
      <c r="T522" s="59">
        <f t="shared" si="107"/>
        <v>6.5509259259259262E-3</v>
      </c>
      <c r="U522" s="57"/>
      <c r="V522" s="57"/>
      <c r="W522" s="59">
        <f t="shared" si="108"/>
        <v>6.5509259259259262E-3</v>
      </c>
      <c r="X522" s="57"/>
      <c r="Y522" s="57"/>
      <c r="Z522" s="59">
        <f t="shared" si="109"/>
        <v>6.5509259259259262E-3</v>
      </c>
      <c r="AA522" s="57"/>
      <c r="AB522" s="57"/>
      <c r="AC522" s="59">
        <f t="shared" si="111"/>
        <v>6.5509259259259262E-3</v>
      </c>
      <c r="AD522" s="57"/>
      <c r="AE522" s="57"/>
      <c r="AF522" s="59"/>
    </row>
    <row r="523" spans="1:32">
      <c r="A523" s="24"/>
      <c r="B523" s="26" t="s">
        <v>169</v>
      </c>
      <c r="C523" s="26" t="s">
        <v>450</v>
      </c>
      <c r="D523" s="50">
        <v>7.51</v>
      </c>
      <c r="E523" s="51"/>
      <c r="F523" s="50">
        <v>7.51</v>
      </c>
      <c r="G523" s="52"/>
      <c r="H523" s="50">
        <v>7.51</v>
      </c>
      <c r="I523" s="53"/>
      <c r="J523" s="50">
        <v>7.51</v>
      </c>
      <c r="K523" s="53"/>
      <c r="L523" s="50">
        <v>7.51</v>
      </c>
      <c r="M523" s="57"/>
      <c r="N523" s="55">
        <v>5.4513888888888884E-3</v>
      </c>
      <c r="O523" s="57"/>
      <c r="P523" s="57"/>
      <c r="Q523" s="59">
        <f t="shared" si="110"/>
        <v>5.4513888888888884E-3</v>
      </c>
      <c r="R523" s="57"/>
      <c r="S523" s="57"/>
      <c r="T523" s="59">
        <f t="shared" si="107"/>
        <v>5.4513888888888884E-3</v>
      </c>
      <c r="U523" s="57"/>
      <c r="V523" s="57"/>
      <c r="W523" s="59">
        <f t="shared" si="108"/>
        <v>5.4513888888888884E-3</v>
      </c>
      <c r="X523" s="57"/>
      <c r="Y523" s="57"/>
      <c r="Z523" s="59">
        <f t="shared" si="109"/>
        <v>5.4513888888888884E-3</v>
      </c>
      <c r="AA523" s="57"/>
      <c r="AB523" s="57"/>
      <c r="AC523" s="59">
        <f t="shared" si="111"/>
        <v>5.4513888888888884E-3</v>
      </c>
      <c r="AD523" s="57"/>
      <c r="AE523" s="57"/>
      <c r="AF523" s="59"/>
    </row>
    <row r="524" spans="1:32">
      <c r="A524" s="24" t="s">
        <v>326</v>
      </c>
      <c r="B524" s="26" t="s">
        <v>447</v>
      </c>
      <c r="C524" s="26" t="s">
        <v>450</v>
      </c>
      <c r="D524" s="50"/>
      <c r="E524" s="51"/>
      <c r="F524" s="50"/>
      <c r="G524" s="52"/>
      <c r="H524" s="50"/>
      <c r="I524" s="53">
        <v>7.31</v>
      </c>
      <c r="J524" s="50">
        <v>7.31</v>
      </c>
      <c r="K524" s="53"/>
      <c r="L524" s="50">
        <v>7.31</v>
      </c>
      <c r="M524" s="57">
        <v>5.37037037037037E-3</v>
      </c>
      <c r="N524" s="55">
        <v>5.2199074074074066E-3</v>
      </c>
      <c r="O524" s="57"/>
      <c r="P524" s="57"/>
      <c r="Q524" s="59">
        <f t="shared" si="110"/>
        <v>5.2199074074074066E-3</v>
      </c>
      <c r="R524" s="57"/>
      <c r="S524" s="57"/>
      <c r="T524" s="59">
        <f t="shared" si="107"/>
        <v>5.2199074074074066E-3</v>
      </c>
      <c r="U524" s="57"/>
      <c r="V524" s="57"/>
      <c r="W524" s="59">
        <f t="shared" si="108"/>
        <v>5.2199074074074066E-3</v>
      </c>
      <c r="X524" s="57"/>
      <c r="Y524" s="57"/>
      <c r="Z524" s="59">
        <f t="shared" si="109"/>
        <v>5.2199074074074066E-3</v>
      </c>
      <c r="AA524" s="57"/>
      <c r="AB524" s="57"/>
      <c r="AC524" s="59">
        <f t="shared" si="111"/>
        <v>5.2199074074074066E-3</v>
      </c>
      <c r="AD524" s="57">
        <v>5.1736111111111115E-3</v>
      </c>
      <c r="AE524" s="57"/>
      <c r="AF524" s="59"/>
    </row>
    <row r="525" spans="1:32">
      <c r="A525" s="24"/>
      <c r="B525" s="26" t="s">
        <v>489</v>
      </c>
      <c r="C525" s="26" t="s">
        <v>450</v>
      </c>
      <c r="D525" s="50"/>
      <c r="E525" s="51"/>
      <c r="F525" s="50"/>
      <c r="G525" s="52"/>
      <c r="H525" s="50"/>
      <c r="I525" s="53"/>
      <c r="J525" s="50"/>
      <c r="K525" s="53">
        <v>6.12</v>
      </c>
      <c r="L525" s="50">
        <v>6.12</v>
      </c>
      <c r="M525" s="57">
        <v>4.4560185185185189E-3</v>
      </c>
      <c r="N525" s="55">
        <v>4.3055555555555555E-3</v>
      </c>
      <c r="O525" s="57"/>
      <c r="P525" s="57"/>
      <c r="Q525" s="59">
        <f t="shared" si="110"/>
        <v>4.3055555555555555E-3</v>
      </c>
      <c r="R525" s="57"/>
      <c r="S525" s="57"/>
      <c r="T525" s="59">
        <f t="shared" si="107"/>
        <v>4.3055555555555555E-3</v>
      </c>
      <c r="U525" s="57"/>
      <c r="V525" s="57"/>
      <c r="W525" s="59">
        <f t="shared" si="108"/>
        <v>4.3055555555555555E-3</v>
      </c>
      <c r="X525" s="57"/>
      <c r="Y525" s="57"/>
      <c r="Z525" s="59">
        <f t="shared" si="109"/>
        <v>4.3055555555555555E-3</v>
      </c>
      <c r="AA525" s="57"/>
      <c r="AB525" s="57"/>
      <c r="AC525" s="59">
        <f t="shared" si="111"/>
        <v>4.3055555555555555E-3</v>
      </c>
      <c r="AD525" s="57"/>
      <c r="AE525" s="57"/>
      <c r="AF525" s="59"/>
    </row>
    <row r="526" spans="1:32">
      <c r="A526" s="24" t="s">
        <v>326</v>
      </c>
      <c r="B526" s="26" t="s">
        <v>477</v>
      </c>
      <c r="C526" s="26" t="s">
        <v>451</v>
      </c>
      <c r="D526" s="50"/>
      <c r="E526" s="51"/>
      <c r="F526" s="50"/>
      <c r="G526" s="52"/>
      <c r="H526" s="50"/>
      <c r="I526" s="53"/>
      <c r="J526" s="50"/>
      <c r="K526" s="53">
        <v>8.1300000000000008</v>
      </c>
      <c r="L526" s="50" t="s">
        <v>488</v>
      </c>
      <c r="M526" s="57"/>
      <c r="N526" s="55">
        <v>5.7060185185185191E-3</v>
      </c>
      <c r="O526" s="57"/>
      <c r="P526" s="57"/>
      <c r="Q526" s="59">
        <f t="shared" si="110"/>
        <v>5.7060185185185191E-3</v>
      </c>
      <c r="R526" s="57"/>
      <c r="S526" s="57"/>
      <c r="T526" s="59">
        <f t="shared" si="107"/>
        <v>5.7060185185185191E-3</v>
      </c>
      <c r="U526" s="57"/>
      <c r="V526" s="57"/>
      <c r="W526" s="59">
        <f t="shared" si="108"/>
        <v>5.7060185185185191E-3</v>
      </c>
      <c r="X526" s="57"/>
      <c r="Y526" s="57"/>
      <c r="Z526" s="59">
        <f t="shared" si="109"/>
        <v>5.7060185185185191E-3</v>
      </c>
      <c r="AA526" s="57"/>
      <c r="AB526" s="57"/>
      <c r="AC526" s="59">
        <f t="shared" si="111"/>
        <v>5.7060185185185191E-3</v>
      </c>
      <c r="AD526" s="57"/>
      <c r="AE526" s="57"/>
      <c r="AF526" s="59"/>
    </row>
    <row r="527" spans="1:32">
      <c r="A527" s="24"/>
      <c r="B527" s="26" t="s">
        <v>176</v>
      </c>
      <c r="C527" s="26" t="s">
        <v>451</v>
      </c>
      <c r="D527" s="50">
        <v>9.24</v>
      </c>
      <c r="E527" s="51" t="s">
        <v>320</v>
      </c>
      <c r="F527" s="50">
        <v>9.24</v>
      </c>
      <c r="G527" s="52"/>
      <c r="H527" s="50">
        <v>9.24</v>
      </c>
      <c r="I527" s="53"/>
      <c r="J527" s="50">
        <v>9.24</v>
      </c>
      <c r="K527" s="53"/>
      <c r="L527" s="50">
        <v>9.24</v>
      </c>
      <c r="M527" s="57"/>
      <c r="N527" s="55">
        <v>6.5277777777777782E-3</v>
      </c>
      <c r="O527" s="57"/>
      <c r="P527" s="57"/>
      <c r="Q527" s="59">
        <f t="shared" si="110"/>
        <v>6.5277777777777782E-3</v>
      </c>
      <c r="R527" s="57"/>
      <c r="S527" s="57"/>
      <c r="T527" s="59">
        <f t="shared" si="107"/>
        <v>6.5277777777777782E-3</v>
      </c>
      <c r="U527" s="57"/>
      <c r="V527" s="57"/>
      <c r="W527" s="59">
        <f t="shared" si="108"/>
        <v>6.5277777777777782E-3</v>
      </c>
      <c r="X527" s="57"/>
      <c r="Y527" s="57"/>
      <c r="Z527" s="59">
        <f t="shared" si="109"/>
        <v>6.5277777777777782E-3</v>
      </c>
      <c r="AA527" s="57"/>
      <c r="AB527" s="57"/>
      <c r="AC527" s="59">
        <f t="shared" si="111"/>
        <v>6.5277777777777782E-3</v>
      </c>
      <c r="AD527" s="57"/>
      <c r="AE527" s="57"/>
      <c r="AF527" s="59"/>
    </row>
    <row r="528" spans="1:32">
      <c r="A528" s="24" t="s">
        <v>326</v>
      </c>
      <c r="B528" s="26" t="s">
        <v>187</v>
      </c>
      <c r="C528" s="26" t="s">
        <v>451</v>
      </c>
      <c r="D528" s="50">
        <v>9.14</v>
      </c>
      <c r="E528" s="51" t="s">
        <v>321</v>
      </c>
      <c r="F528" s="50">
        <v>9.14</v>
      </c>
      <c r="G528" s="52" t="s">
        <v>365</v>
      </c>
      <c r="H528" s="50">
        <v>9.14</v>
      </c>
      <c r="I528" s="53">
        <v>9.16</v>
      </c>
      <c r="J528" s="50">
        <v>9.14</v>
      </c>
      <c r="K528" s="53">
        <v>9.14</v>
      </c>
      <c r="L528" s="50">
        <v>9.14</v>
      </c>
      <c r="M528" s="57">
        <v>6.9328703703703696E-3</v>
      </c>
      <c r="N528" s="55">
        <v>6.4120370370370364E-3</v>
      </c>
      <c r="O528" s="57">
        <v>6.4699074074074069E-3</v>
      </c>
      <c r="P528" s="57"/>
      <c r="Q528" s="59">
        <f t="shared" si="110"/>
        <v>6.4120370370370364E-3</v>
      </c>
      <c r="R528" s="57">
        <v>6.3773148148148148E-3</v>
      </c>
      <c r="S528" s="57"/>
      <c r="T528" s="59">
        <f t="shared" si="107"/>
        <v>6.3773148148148148E-3</v>
      </c>
      <c r="U528" s="57">
        <v>6.4814814814814813E-3</v>
      </c>
      <c r="V528" s="57"/>
      <c r="W528" s="59">
        <f t="shared" si="108"/>
        <v>6.3773148148148148E-3</v>
      </c>
      <c r="X528" s="57">
        <v>6.5046296296296302E-3</v>
      </c>
      <c r="Y528" s="57"/>
      <c r="Z528" s="59">
        <f t="shared" si="109"/>
        <v>6.3773148148148148E-3</v>
      </c>
      <c r="AA528" s="57"/>
      <c r="AB528" s="57"/>
      <c r="AC528" s="59">
        <f t="shared" si="111"/>
        <v>6.3773148148148148E-3</v>
      </c>
      <c r="AD528" s="57">
        <v>6.6898148148148142E-3</v>
      </c>
      <c r="AE528" s="57"/>
      <c r="AF528" s="59"/>
    </row>
    <row r="529" spans="1:32">
      <c r="A529" s="24"/>
      <c r="B529" s="26" t="s">
        <v>436</v>
      </c>
      <c r="C529" s="26"/>
      <c r="D529" s="50"/>
      <c r="E529" s="51"/>
      <c r="F529" s="50"/>
      <c r="G529" s="52"/>
      <c r="H529" s="50"/>
      <c r="I529" s="53"/>
      <c r="J529" s="50" t="s">
        <v>455</v>
      </c>
      <c r="K529" s="53"/>
      <c r="L529" s="50"/>
      <c r="M529" s="57"/>
      <c r="N529" s="55"/>
      <c r="O529" s="57"/>
      <c r="P529" s="57"/>
      <c r="Q529" s="59" t="str">
        <f t="shared" si="110"/>
        <v/>
      </c>
      <c r="R529" s="57"/>
      <c r="S529" s="57"/>
      <c r="T529" s="59" t="str">
        <f t="shared" si="107"/>
        <v/>
      </c>
      <c r="U529" s="57"/>
      <c r="V529" s="57"/>
      <c r="W529" s="59" t="str">
        <f t="shared" si="108"/>
        <v/>
      </c>
      <c r="X529" s="57"/>
      <c r="Y529" s="57"/>
      <c r="Z529" s="59" t="str">
        <f t="shared" si="109"/>
        <v/>
      </c>
      <c r="AA529" s="57"/>
      <c r="AB529" s="57"/>
      <c r="AC529" s="59" t="str">
        <f t="shared" si="111"/>
        <v/>
      </c>
      <c r="AD529" s="57"/>
      <c r="AE529" s="57"/>
      <c r="AF529" s="59"/>
    </row>
    <row r="530" spans="1:32">
      <c r="A530" s="24"/>
      <c r="B530" s="26" t="s">
        <v>194</v>
      </c>
      <c r="C530" s="26" t="s">
        <v>451</v>
      </c>
      <c r="D530" s="50">
        <v>8.26</v>
      </c>
      <c r="E530" s="51"/>
      <c r="F530" s="50">
        <v>8.26</v>
      </c>
      <c r="G530" s="52"/>
      <c r="H530" s="50">
        <v>8.26</v>
      </c>
      <c r="I530" s="53"/>
      <c r="J530" s="50">
        <v>8.26</v>
      </c>
      <c r="K530" s="53"/>
      <c r="L530" s="50">
        <v>8.26</v>
      </c>
      <c r="M530" s="57"/>
      <c r="N530" s="55">
        <v>5.8564814814814825E-3</v>
      </c>
      <c r="O530" s="57"/>
      <c r="P530" s="57"/>
      <c r="Q530" s="59">
        <f t="shared" si="110"/>
        <v>5.8564814814814825E-3</v>
      </c>
      <c r="R530" s="57"/>
      <c r="S530" s="57"/>
      <c r="T530" s="59">
        <f t="shared" si="107"/>
        <v>5.8564814814814825E-3</v>
      </c>
      <c r="U530" s="57"/>
      <c r="V530" s="57"/>
      <c r="W530" s="59">
        <f t="shared" si="108"/>
        <v>5.8564814814814825E-3</v>
      </c>
      <c r="X530" s="57"/>
      <c r="Y530" s="57"/>
      <c r="Z530" s="59">
        <f t="shared" si="109"/>
        <v>5.8564814814814825E-3</v>
      </c>
      <c r="AA530" s="57"/>
      <c r="AB530" s="57"/>
      <c r="AC530" s="59">
        <f t="shared" si="111"/>
        <v>5.8564814814814825E-3</v>
      </c>
      <c r="AD530" s="57"/>
      <c r="AE530" s="57"/>
      <c r="AF530" s="59"/>
    </row>
    <row r="531" spans="1:32">
      <c r="A531" s="24"/>
      <c r="B531" s="26" t="s">
        <v>464</v>
      </c>
      <c r="C531" s="26" t="s">
        <v>451</v>
      </c>
      <c r="D531" s="50"/>
      <c r="E531" s="51"/>
      <c r="F531" s="50"/>
      <c r="G531" s="52"/>
      <c r="H531" s="50"/>
      <c r="I531" s="53"/>
      <c r="J531" s="50"/>
      <c r="K531" s="53"/>
      <c r="L531" s="50"/>
      <c r="M531" s="57"/>
      <c r="N531" s="55"/>
      <c r="O531" s="57"/>
      <c r="P531" s="57"/>
      <c r="Q531" s="59" t="str">
        <f t="shared" si="110"/>
        <v/>
      </c>
      <c r="R531" s="57"/>
      <c r="S531" s="57"/>
      <c r="T531" s="59" t="str">
        <f t="shared" si="107"/>
        <v/>
      </c>
      <c r="U531" s="57"/>
      <c r="V531" s="57"/>
      <c r="W531" s="59" t="str">
        <f t="shared" si="108"/>
        <v/>
      </c>
      <c r="X531" s="57"/>
      <c r="Y531" s="57"/>
      <c r="Z531" s="59" t="str">
        <f t="shared" si="109"/>
        <v/>
      </c>
      <c r="AA531" s="57"/>
      <c r="AB531" s="57"/>
      <c r="AC531" s="59" t="str">
        <f t="shared" si="111"/>
        <v/>
      </c>
      <c r="AD531" s="57"/>
      <c r="AE531" s="57"/>
      <c r="AF531" s="59"/>
    </row>
    <row r="532" spans="1:32">
      <c r="A532" s="24"/>
      <c r="B532" s="26" t="s">
        <v>244</v>
      </c>
      <c r="C532" s="26" t="s">
        <v>451</v>
      </c>
      <c r="D532" s="50">
        <v>8.52</v>
      </c>
      <c r="E532" s="51"/>
      <c r="F532" s="50">
        <v>8.52</v>
      </c>
      <c r="G532" s="52"/>
      <c r="H532" s="50">
        <v>8.52</v>
      </c>
      <c r="I532" s="53"/>
      <c r="J532" s="50">
        <v>8.52</v>
      </c>
      <c r="K532" s="53"/>
      <c r="L532" s="50">
        <v>8.52</v>
      </c>
      <c r="M532" s="57"/>
      <c r="N532" s="55">
        <v>6.1574074074074074E-3</v>
      </c>
      <c r="O532" s="57"/>
      <c r="P532" s="57"/>
      <c r="Q532" s="59">
        <f t="shared" si="110"/>
        <v>6.1574074074074074E-3</v>
      </c>
      <c r="R532" s="57"/>
      <c r="S532" s="57"/>
      <c r="T532" s="59">
        <f t="shared" si="107"/>
        <v>6.1574074074074074E-3</v>
      </c>
      <c r="U532" s="57"/>
      <c r="V532" s="57"/>
      <c r="W532" s="59">
        <f t="shared" si="108"/>
        <v>6.1574074074074074E-3</v>
      </c>
      <c r="X532" s="57"/>
      <c r="Y532" s="57"/>
      <c r="Z532" s="59">
        <f t="shared" si="109"/>
        <v>6.1574074074074074E-3</v>
      </c>
      <c r="AA532" s="57"/>
      <c r="AB532" s="57"/>
      <c r="AC532" s="59">
        <f t="shared" si="111"/>
        <v>6.1574074074074074E-3</v>
      </c>
      <c r="AD532" s="57"/>
      <c r="AE532" s="57"/>
      <c r="AF532" s="59"/>
    </row>
    <row r="533" spans="1:32">
      <c r="A533" s="24" t="s">
        <v>326</v>
      </c>
      <c r="B533" s="26" t="s">
        <v>200</v>
      </c>
      <c r="C533" s="26" t="s">
        <v>451</v>
      </c>
      <c r="D533" s="50">
        <v>9.35</v>
      </c>
      <c r="E533" s="51"/>
      <c r="F533" s="50">
        <v>9.35</v>
      </c>
      <c r="G533" s="52"/>
      <c r="H533" s="50">
        <v>9.35</v>
      </c>
      <c r="I533" s="53"/>
      <c r="J533" s="50">
        <v>9.35</v>
      </c>
      <c r="K533" s="53"/>
      <c r="L533" s="50">
        <v>9.35</v>
      </c>
      <c r="M533" s="57"/>
      <c r="N533" s="55">
        <v>6.6550925925925935E-3</v>
      </c>
      <c r="O533" s="57"/>
      <c r="P533" s="57"/>
      <c r="Q533" s="59">
        <f t="shared" si="110"/>
        <v>6.6550925925925935E-3</v>
      </c>
      <c r="R533" s="57"/>
      <c r="S533" s="57"/>
      <c r="T533" s="59">
        <f t="shared" si="107"/>
        <v>6.6550925925925935E-3</v>
      </c>
      <c r="U533" s="57"/>
      <c r="V533" s="57"/>
      <c r="W533" s="59">
        <f t="shared" si="108"/>
        <v>6.6550925925925935E-3</v>
      </c>
      <c r="X533" s="57">
        <v>6.2499999999999995E-3</v>
      </c>
      <c r="Y533" s="57"/>
      <c r="Z533" s="59">
        <f t="shared" ref="Z533:Z564" si="112">IF(MIN(IF(ISBLANK(X533),W533,X533),IF(ISBLANK(W533),X533,W533))=0,"",MIN(IF(ISBLANK(X533),W533,X533),IF(ISBLANK(W533),X533,W533)))</f>
        <v>6.2499999999999995E-3</v>
      </c>
      <c r="AA533" s="57">
        <v>6.3541666666666668E-3</v>
      </c>
      <c r="AB533" s="57"/>
      <c r="AC533" s="59">
        <f t="shared" si="111"/>
        <v>6.2499999999999995E-3</v>
      </c>
      <c r="AD533" s="57">
        <v>6.168981481481481E-3</v>
      </c>
      <c r="AE533" s="57"/>
      <c r="AF533" s="59"/>
    </row>
    <row r="534" spans="1:32">
      <c r="A534" s="24"/>
      <c r="B534" s="26" t="s">
        <v>277</v>
      </c>
      <c r="C534" s="26"/>
      <c r="D534" s="50"/>
      <c r="E534" s="51"/>
      <c r="F534" s="50" t="s">
        <v>455</v>
      </c>
      <c r="G534" s="52" t="s">
        <v>366</v>
      </c>
      <c r="H534" s="50">
        <v>8.3699999999999992</v>
      </c>
      <c r="I534" s="53"/>
      <c r="J534" s="50">
        <v>8.3699999999999992</v>
      </c>
      <c r="K534" s="53"/>
      <c r="L534" s="50">
        <v>8.3699999999999992</v>
      </c>
      <c r="M534" s="57"/>
      <c r="N534" s="55">
        <v>5.9837962962962961E-3</v>
      </c>
      <c r="O534" s="57"/>
      <c r="P534" s="57"/>
      <c r="Q534" s="59">
        <f t="shared" si="110"/>
        <v>5.9837962962962961E-3</v>
      </c>
      <c r="R534" s="57"/>
      <c r="S534" s="57"/>
      <c r="T534" s="59">
        <f t="shared" si="107"/>
        <v>5.9837962962962961E-3</v>
      </c>
      <c r="U534" s="57"/>
      <c r="V534" s="57"/>
      <c r="W534" s="59">
        <f t="shared" si="108"/>
        <v>5.9837962962962961E-3</v>
      </c>
      <c r="X534" s="57"/>
      <c r="Y534" s="57"/>
      <c r="Z534" s="59">
        <f t="shared" si="112"/>
        <v>5.9837962962962961E-3</v>
      </c>
      <c r="AA534" s="57"/>
      <c r="AB534" s="57"/>
      <c r="AC534" s="59">
        <f t="shared" si="111"/>
        <v>5.9837962962962961E-3</v>
      </c>
      <c r="AD534" s="57"/>
      <c r="AE534" s="57"/>
      <c r="AF534" s="59"/>
    </row>
    <row r="535" spans="1:32">
      <c r="A535" s="24"/>
      <c r="B535" s="26" t="s">
        <v>696</v>
      </c>
      <c r="C535" s="26"/>
      <c r="D535" s="50"/>
      <c r="E535" s="51"/>
      <c r="F535" s="50"/>
      <c r="G535" s="52"/>
      <c r="H535" s="50"/>
      <c r="I535" s="53"/>
      <c r="J535" s="50"/>
      <c r="K535" s="53"/>
      <c r="L535" s="50"/>
      <c r="M535" s="57"/>
      <c r="N535" s="55"/>
      <c r="O535" s="57"/>
      <c r="P535" s="57"/>
      <c r="Q535" s="59"/>
      <c r="R535" s="57"/>
      <c r="S535" s="57"/>
      <c r="T535" s="59"/>
      <c r="U535" s="57"/>
      <c r="V535" s="57"/>
      <c r="W535" s="59"/>
      <c r="X535" s="57"/>
      <c r="Y535" s="57"/>
      <c r="Z535" s="59" t="str">
        <f t="shared" si="112"/>
        <v/>
      </c>
      <c r="AA535" s="57"/>
      <c r="AB535" s="57"/>
      <c r="AC535" s="59" t="str">
        <f t="shared" si="111"/>
        <v/>
      </c>
      <c r="AD535" s="57"/>
      <c r="AE535" s="57"/>
      <c r="AF535" s="59"/>
    </row>
    <row r="536" spans="1:32">
      <c r="A536" s="24"/>
      <c r="B536" s="26" t="s">
        <v>367</v>
      </c>
      <c r="C536" s="26" t="s">
        <v>450</v>
      </c>
      <c r="D536" s="50"/>
      <c r="E536" s="51"/>
      <c r="F536" s="50" t="s">
        <v>455</v>
      </c>
      <c r="G536" s="52" t="s">
        <v>285</v>
      </c>
      <c r="H536" s="50" t="s">
        <v>285</v>
      </c>
      <c r="I536" s="53">
        <v>8.5299999999999994</v>
      </c>
      <c r="J536" s="50">
        <v>8.5299999999999994</v>
      </c>
      <c r="K536" s="53"/>
      <c r="L536" s="50">
        <v>8.5299999999999994</v>
      </c>
      <c r="M536" s="57"/>
      <c r="N536" s="55">
        <v>6.168981481481481E-3</v>
      </c>
      <c r="O536" s="57"/>
      <c r="P536" s="57"/>
      <c r="Q536" s="59">
        <f>IF(MIN(IF(ISBLANK(O536),N536,O536),IF(ISBLANK(N536),O536,N536))=0,"",MIN(IF(ISBLANK(O536),N536,O536),IF(ISBLANK(N536),O536,N536)))</f>
        <v>6.168981481481481E-3</v>
      </c>
      <c r="R536" s="57"/>
      <c r="S536" s="57"/>
      <c r="T536" s="59">
        <f t="shared" ref="T536:T545" si="113">IF(MIN(IF(ISBLANK(R536),Q536,R536),IF(ISBLANK(Q536),R536,Q536))=0,"",MIN(IF(ISBLANK(R536),Q536,R536),IF(ISBLANK(Q536),R536,Q536)))</f>
        <v>6.168981481481481E-3</v>
      </c>
      <c r="U536" s="57">
        <v>6.2615740740740748E-3</v>
      </c>
      <c r="V536" s="57"/>
      <c r="W536" s="59">
        <f t="shared" ref="W536:W545" si="114">IF(MIN(IF(ISBLANK(U536),T536,U536),IF(ISBLANK(T536),U536,T536))=0,"",MIN(IF(ISBLANK(U536),T536,U536),IF(ISBLANK(T536),U536,T536)))</f>
        <v>6.168981481481481E-3</v>
      </c>
      <c r="X536" s="57"/>
      <c r="Y536" s="57"/>
      <c r="Z536" s="59">
        <f t="shared" si="112"/>
        <v>6.168981481481481E-3</v>
      </c>
      <c r="AA536" s="57"/>
      <c r="AB536" s="57"/>
      <c r="AC536" s="59">
        <f t="shared" si="111"/>
        <v>6.168981481481481E-3</v>
      </c>
      <c r="AD536" s="57"/>
      <c r="AE536" s="57"/>
      <c r="AF536" s="59"/>
    </row>
    <row r="537" spans="1:32">
      <c r="A537" s="24"/>
      <c r="B537" s="26" t="s">
        <v>341</v>
      </c>
      <c r="C537" s="26" t="s">
        <v>450</v>
      </c>
      <c r="D537" s="50"/>
      <c r="E537" s="51"/>
      <c r="F537" s="50" t="s">
        <v>455</v>
      </c>
      <c r="G537" s="52"/>
      <c r="H537" s="50"/>
      <c r="I537" s="53"/>
      <c r="J537" s="50" t="s">
        <v>455</v>
      </c>
      <c r="K537" s="53"/>
      <c r="L537" s="50"/>
      <c r="M537" s="57"/>
      <c r="N537" s="55"/>
      <c r="O537" s="57"/>
      <c r="P537" s="57"/>
      <c r="Q537" s="59" t="str">
        <f>IF(MIN(IF(ISBLANK(O537),N537,O537),IF(ISBLANK(N537),O537,N537))=0,"",MIN(IF(ISBLANK(O537),N537,O537),IF(ISBLANK(N537),O537,N537)))</f>
        <v/>
      </c>
      <c r="R537" s="57"/>
      <c r="S537" s="57"/>
      <c r="T537" s="59" t="str">
        <f t="shared" si="113"/>
        <v/>
      </c>
      <c r="U537" s="57"/>
      <c r="V537" s="57"/>
      <c r="W537" s="59" t="str">
        <f t="shared" si="114"/>
        <v/>
      </c>
      <c r="X537" s="57"/>
      <c r="Y537" s="57"/>
      <c r="Z537" s="59" t="str">
        <f t="shared" si="112"/>
        <v/>
      </c>
      <c r="AA537" s="57"/>
      <c r="AB537" s="57"/>
      <c r="AC537" s="59" t="str">
        <f t="shared" si="111"/>
        <v/>
      </c>
      <c r="AD537" s="57"/>
      <c r="AE537" s="57"/>
      <c r="AF537" s="59"/>
    </row>
    <row r="538" spans="1:32">
      <c r="A538" s="24"/>
      <c r="B538" s="26" t="s">
        <v>429</v>
      </c>
      <c r="C538" s="26" t="s">
        <v>450</v>
      </c>
      <c r="D538" s="50"/>
      <c r="E538" s="51"/>
      <c r="F538" s="50"/>
      <c r="G538" s="52"/>
      <c r="H538" s="50"/>
      <c r="I538" s="53">
        <v>7</v>
      </c>
      <c r="J538" s="50" t="s">
        <v>459</v>
      </c>
      <c r="K538" s="53"/>
      <c r="L538" s="50" t="s">
        <v>459</v>
      </c>
      <c r="M538" s="57"/>
      <c r="N538" s="55">
        <v>4.8611111111111112E-3</v>
      </c>
      <c r="O538" s="57"/>
      <c r="P538" s="57"/>
      <c r="Q538" s="59">
        <f>IF(MIN(IF(ISBLANK(O538),N538,O538),IF(ISBLANK(N538),O538,N538))=0,"",MIN(IF(ISBLANK(O538),N538,O538),IF(ISBLANK(N538),O538,N538)))</f>
        <v>4.8611111111111112E-3</v>
      </c>
      <c r="R538" s="57"/>
      <c r="S538" s="57"/>
      <c r="T538" s="59">
        <f t="shared" si="113"/>
        <v>4.8611111111111112E-3</v>
      </c>
      <c r="U538" s="57"/>
      <c r="V538" s="57"/>
      <c r="W538" s="59">
        <f t="shared" si="114"/>
        <v>4.8611111111111112E-3</v>
      </c>
      <c r="X538" s="57"/>
      <c r="Y538" s="57"/>
      <c r="Z538" s="59">
        <f t="shared" si="112"/>
        <v>4.8611111111111112E-3</v>
      </c>
      <c r="AA538" s="57"/>
      <c r="AB538" s="57"/>
      <c r="AC538" s="59">
        <f t="shared" si="111"/>
        <v>4.8611111111111112E-3</v>
      </c>
      <c r="AD538" s="57"/>
      <c r="AE538" s="57"/>
      <c r="AF538" s="59"/>
    </row>
    <row r="539" spans="1:32">
      <c r="A539" s="24"/>
      <c r="B539" s="26" t="s">
        <v>247</v>
      </c>
      <c r="C539" s="26"/>
      <c r="D539" s="50"/>
      <c r="E539" s="51"/>
      <c r="F539" s="50" t="s">
        <v>455</v>
      </c>
      <c r="G539" s="52"/>
      <c r="H539" s="50"/>
      <c r="I539" s="53"/>
      <c r="J539" s="50" t="s">
        <v>455</v>
      </c>
      <c r="K539" s="53"/>
      <c r="L539" s="50"/>
      <c r="M539" s="57"/>
      <c r="N539" s="55"/>
      <c r="O539" s="57"/>
      <c r="P539" s="57"/>
      <c r="Q539" s="59" t="str">
        <f>IF(MIN(IF(ISBLANK(O539),N539,O539),IF(ISBLANK(N539),O539,N539))=0,"",MIN(IF(ISBLANK(O539),N539,O539),IF(ISBLANK(N539),O539,N539)))</f>
        <v/>
      </c>
      <c r="R539" s="57"/>
      <c r="S539" s="57"/>
      <c r="T539" s="59" t="str">
        <f t="shared" si="113"/>
        <v/>
      </c>
      <c r="U539" s="57"/>
      <c r="V539" s="57"/>
      <c r="W539" s="59" t="str">
        <f t="shared" si="114"/>
        <v/>
      </c>
      <c r="X539" s="57"/>
      <c r="Y539" s="57"/>
      <c r="Z539" s="59" t="str">
        <f t="shared" si="112"/>
        <v/>
      </c>
      <c r="AA539" s="57"/>
      <c r="AB539" s="57"/>
      <c r="AC539" s="59" t="str">
        <f t="shared" si="111"/>
        <v/>
      </c>
      <c r="AD539" s="57"/>
      <c r="AE539" s="57"/>
      <c r="AF539" s="59"/>
    </row>
    <row r="540" spans="1:32">
      <c r="A540" s="24"/>
      <c r="B540" s="26" t="s">
        <v>579</v>
      </c>
      <c r="C540" s="26"/>
      <c r="D540" s="50"/>
      <c r="E540" s="51"/>
      <c r="F540" s="50"/>
      <c r="G540" s="52"/>
      <c r="H540" s="50"/>
      <c r="I540" s="53"/>
      <c r="J540" s="50"/>
      <c r="K540" s="53"/>
      <c r="L540" s="50"/>
      <c r="M540" s="57"/>
      <c r="N540" s="55"/>
      <c r="O540" s="57"/>
      <c r="P540" s="57"/>
      <c r="Q540" s="59"/>
      <c r="R540" s="57"/>
      <c r="S540" s="57"/>
      <c r="T540" s="59" t="str">
        <f t="shared" si="113"/>
        <v/>
      </c>
      <c r="U540" s="57"/>
      <c r="V540" s="57"/>
      <c r="W540" s="59" t="str">
        <f t="shared" si="114"/>
        <v/>
      </c>
      <c r="X540" s="57"/>
      <c r="Y540" s="57"/>
      <c r="Z540" s="59" t="str">
        <f t="shared" si="112"/>
        <v/>
      </c>
      <c r="AA540" s="57"/>
      <c r="AB540" s="57"/>
      <c r="AC540" s="59" t="str">
        <f t="shared" si="111"/>
        <v/>
      </c>
      <c r="AD540" s="57"/>
      <c r="AE540" s="57"/>
      <c r="AF540" s="59"/>
    </row>
    <row r="541" spans="1:32">
      <c r="A541" s="24"/>
      <c r="B541" s="26" t="s">
        <v>206</v>
      </c>
      <c r="C541" s="26" t="s">
        <v>450</v>
      </c>
      <c r="D541" s="50">
        <v>8.11</v>
      </c>
      <c r="E541" s="51" t="s">
        <v>297</v>
      </c>
      <c r="F541" s="50">
        <v>8.11</v>
      </c>
      <c r="G541" s="52">
        <v>8.0299999999999994</v>
      </c>
      <c r="H541" s="50">
        <v>8.0299999999999994</v>
      </c>
      <c r="I541" s="53"/>
      <c r="J541" s="50">
        <v>8.0299999999999994</v>
      </c>
      <c r="K541" s="53"/>
      <c r="L541" s="50">
        <v>8.0299999999999994</v>
      </c>
      <c r="M541" s="57"/>
      <c r="N541" s="55">
        <v>5.5902777777777782E-3</v>
      </c>
      <c r="O541" s="57"/>
      <c r="P541" s="57"/>
      <c r="Q541" s="59">
        <f>IF(MIN(IF(ISBLANK(O541),N541,O541),IF(ISBLANK(N541),O541,N541))=0,"",MIN(IF(ISBLANK(O541),N541,O541),IF(ISBLANK(N541),O541,N541)))</f>
        <v>5.5902777777777782E-3</v>
      </c>
      <c r="R541" s="57"/>
      <c r="S541" s="57"/>
      <c r="T541" s="59">
        <f t="shared" si="113"/>
        <v>5.5902777777777782E-3</v>
      </c>
      <c r="U541" s="57"/>
      <c r="V541" s="57"/>
      <c r="W541" s="59">
        <f t="shared" si="114"/>
        <v>5.5902777777777782E-3</v>
      </c>
      <c r="X541" s="57"/>
      <c r="Y541" s="57"/>
      <c r="Z541" s="59">
        <f t="shared" si="112"/>
        <v>5.5902777777777782E-3</v>
      </c>
      <c r="AA541" s="57"/>
      <c r="AB541" s="57"/>
      <c r="AC541" s="59">
        <f t="shared" si="111"/>
        <v>5.5902777777777782E-3</v>
      </c>
      <c r="AD541" s="57"/>
      <c r="AE541" s="57"/>
      <c r="AF541" s="59"/>
    </row>
    <row r="542" spans="1:32">
      <c r="A542" s="24"/>
      <c r="B542" s="26" t="s">
        <v>210</v>
      </c>
      <c r="C542" s="26" t="s">
        <v>450</v>
      </c>
      <c r="D542" s="50">
        <v>8.23</v>
      </c>
      <c r="E542" s="51"/>
      <c r="F542" s="50">
        <v>8.23</v>
      </c>
      <c r="G542" s="52"/>
      <c r="H542" s="50">
        <v>8.23</v>
      </c>
      <c r="I542" s="53"/>
      <c r="J542" s="50">
        <v>8.23</v>
      </c>
      <c r="K542" s="53"/>
      <c r="L542" s="50">
        <v>8.23</v>
      </c>
      <c r="M542" s="57"/>
      <c r="N542" s="55">
        <v>5.8217592592592592E-3</v>
      </c>
      <c r="O542" s="57"/>
      <c r="P542" s="57"/>
      <c r="Q542" s="59">
        <f>IF(MIN(IF(ISBLANK(O542),N542,O542),IF(ISBLANK(N542),O542,N542))=0,"",MIN(IF(ISBLANK(O542),N542,O542),IF(ISBLANK(N542),O542,N542)))</f>
        <v>5.8217592592592592E-3</v>
      </c>
      <c r="R542" s="57"/>
      <c r="S542" s="57"/>
      <c r="T542" s="59">
        <f t="shared" si="113"/>
        <v>5.8217592592592592E-3</v>
      </c>
      <c r="U542" s="57"/>
      <c r="V542" s="57"/>
      <c r="W542" s="59">
        <f t="shared" si="114"/>
        <v>5.8217592592592592E-3</v>
      </c>
      <c r="X542" s="57"/>
      <c r="Y542" s="57"/>
      <c r="Z542" s="59">
        <f t="shared" si="112"/>
        <v>5.8217592592592592E-3</v>
      </c>
      <c r="AA542" s="57"/>
      <c r="AB542" s="57"/>
      <c r="AC542" s="59">
        <f t="shared" si="111"/>
        <v>5.8217592592592592E-3</v>
      </c>
      <c r="AD542" s="57"/>
      <c r="AE542" s="57"/>
      <c r="AF542" s="59"/>
    </row>
    <row r="543" spans="1:32">
      <c r="A543" s="24"/>
      <c r="B543" s="26" t="s">
        <v>340</v>
      </c>
      <c r="C543" s="26" t="s">
        <v>451</v>
      </c>
      <c r="D543" s="50"/>
      <c r="E543" s="51"/>
      <c r="F543" s="50" t="s">
        <v>455</v>
      </c>
      <c r="G543" s="52"/>
      <c r="H543" s="50"/>
      <c r="I543" s="53">
        <v>7.21</v>
      </c>
      <c r="J543" s="50">
        <v>7.21</v>
      </c>
      <c r="K543" s="53">
        <v>7.05</v>
      </c>
      <c r="L543" s="50">
        <v>7.05</v>
      </c>
      <c r="M543" s="57"/>
      <c r="N543" s="55">
        <v>4.9189814814814816E-3</v>
      </c>
      <c r="O543" s="57"/>
      <c r="P543" s="57"/>
      <c r="Q543" s="59">
        <f>IF(MIN(IF(ISBLANK(O543),N543,O543),IF(ISBLANK(N543),O543,N543))=0,"",MIN(IF(ISBLANK(O543),N543,O543),IF(ISBLANK(N543),O543,N543)))</f>
        <v>4.9189814814814816E-3</v>
      </c>
      <c r="R543" s="57"/>
      <c r="S543" s="57"/>
      <c r="T543" s="59">
        <f t="shared" si="113"/>
        <v>4.9189814814814816E-3</v>
      </c>
      <c r="U543" s="57"/>
      <c r="V543" s="57"/>
      <c r="W543" s="59">
        <f t="shared" si="114"/>
        <v>4.9189814814814816E-3</v>
      </c>
      <c r="X543" s="57"/>
      <c r="Y543" s="57"/>
      <c r="Z543" s="59">
        <f t="shared" si="112"/>
        <v>4.9189814814814816E-3</v>
      </c>
      <c r="AA543" s="57"/>
      <c r="AB543" s="57"/>
      <c r="AC543" s="59">
        <f t="shared" si="111"/>
        <v>4.9189814814814816E-3</v>
      </c>
      <c r="AD543" s="57"/>
      <c r="AE543" s="57"/>
      <c r="AF543" s="59"/>
    </row>
    <row r="544" spans="1:32">
      <c r="A544" s="24"/>
      <c r="B544" s="26" t="s">
        <v>433</v>
      </c>
      <c r="C544" s="26" t="s">
        <v>450</v>
      </c>
      <c r="D544" s="50"/>
      <c r="E544" s="51"/>
      <c r="F544" s="50"/>
      <c r="G544" s="52"/>
      <c r="H544" s="50"/>
      <c r="I544" s="53">
        <v>10</v>
      </c>
      <c r="J544" s="50" t="s">
        <v>460</v>
      </c>
      <c r="K544" s="53"/>
      <c r="L544" s="50" t="s">
        <v>460</v>
      </c>
      <c r="M544" s="57"/>
      <c r="N544" s="55">
        <v>6.9444444444444441E-3</v>
      </c>
      <c r="O544" s="57"/>
      <c r="P544" s="57"/>
      <c r="Q544" s="59">
        <f>IF(MIN(IF(ISBLANK(O544),N544,O544),IF(ISBLANK(N544),O544,N544))=0,"",MIN(IF(ISBLANK(O544),N544,O544),IF(ISBLANK(N544),O544,N544)))</f>
        <v>6.9444444444444441E-3</v>
      </c>
      <c r="R544" s="57"/>
      <c r="S544" s="57"/>
      <c r="T544" s="59">
        <f t="shared" si="113"/>
        <v>6.9444444444444441E-3</v>
      </c>
      <c r="U544" s="57"/>
      <c r="V544" s="57"/>
      <c r="W544" s="59">
        <f t="shared" si="114"/>
        <v>6.9444444444444441E-3</v>
      </c>
      <c r="X544" s="57"/>
      <c r="Y544" s="57"/>
      <c r="Z544" s="59">
        <f t="shared" si="112"/>
        <v>6.9444444444444441E-3</v>
      </c>
      <c r="AA544" s="57"/>
      <c r="AB544" s="57"/>
      <c r="AC544" s="59">
        <f t="shared" si="111"/>
        <v>6.9444444444444441E-3</v>
      </c>
      <c r="AD544" s="57"/>
      <c r="AE544" s="57"/>
      <c r="AF544" s="59"/>
    </row>
    <row r="545" spans="1:32">
      <c r="A545" s="24"/>
      <c r="B545" s="26" t="s">
        <v>220</v>
      </c>
      <c r="C545" s="26"/>
      <c r="D545" s="50">
        <v>10.59</v>
      </c>
      <c r="E545" s="51" t="s">
        <v>322</v>
      </c>
      <c r="F545" s="50">
        <v>10.59</v>
      </c>
      <c r="G545" s="52"/>
      <c r="H545" s="50">
        <v>10.59</v>
      </c>
      <c r="I545" s="53"/>
      <c r="J545" s="50">
        <v>10.59</v>
      </c>
      <c r="K545" s="53"/>
      <c r="L545" s="50">
        <v>10.59</v>
      </c>
      <c r="M545" s="57"/>
      <c r="N545" s="55">
        <v>7.6273148148148151E-3</v>
      </c>
      <c r="O545" s="57"/>
      <c r="P545" s="57"/>
      <c r="Q545" s="59">
        <f>IF(MIN(IF(ISBLANK(O545),N545,O545),IF(ISBLANK(N545),O545,N545))=0,"",MIN(IF(ISBLANK(O545),N545,O545),IF(ISBLANK(N545),O545,N545)))</f>
        <v>7.6273148148148151E-3</v>
      </c>
      <c r="R545" s="57"/>
      <c r="S545" s="57"/>
      <c r="T545" s="59">
        <f t="shared" si="113"/>
        <v>7.6273148148148151E-3</v>
      </c>
      <c r="U545" s="57"/>
      <c r="V545" s="57"/>
      <c r="W545" s="59">
        <f t="shared" si="114"/>
        <v>7.6273148148148151E-3</v>
      </c>
      <c r="X545" s="57"/>
      <c r="Y545" s="57"/>
      <c r="Z545" s="59">
        <f t="shared" si="112"/>
        <v>7.6273148148148151E-3</v>
      </c>
      <c r="AA545" s="57"/>
      <c r="AB545" s="57"/>
      <c r="AC545" s="59">
        <f t="shared" si="111"/>
        <v>7.6273148148148151E-3</v>
      </c>
      <c r="AD545" s="57"/>
      <c r="AE545" s="57"/>
      <c r="AF545" s="59"/>
    </row>
    <row r="546" spans="1:32">
      <c r="A546" s="24"/>
      <c r="B546" s="26" t="s">
        <v>681</v>
      </c>
      <c r="C546" s="26"/>
      <c r="D546" s="50"/>
      <c r="E546" s="51"/>
      <c r="F546" s="50"/>
      <c r="G546" s="52"/>
      <c r="H546" s="50"/>
      <c r="I546" s="53"/>
      <c r="J546" s="50"/>
      <c r="K546" s="53"/>
      <c r="L546" s="50"/>
      <c r="M546" s="57"/>
      <c r="N546" s="55"/>
      <c r="O546" s="57"/>
      <c r="P546" s="57"/>
      <c r="Q546" s="59"/>
      <c r="R546" s="57"/>
      <c r="S546" s="57"/>
      <c r="T546" s="59"/>
      <c r="U546" s="57"/>
      <c r="V546" s="57"/>
      <c r="W546" s="59"/>
      <c r="X546" s="57"/>
      <c r="Y546" s="57"/>
      <c r="Z546" s="59" t="str">
        <f t="shared" si="112"/>
        <v/>
      </c>
      <c r="AA546" s="57"/>
      <c r="AB546" s="57"/>
      <c r="AC546" s="59" t="str">
        <f t="shared" si="111"/>
        <v/>
      </c>
      <c r="AD546" s="57"/>
      <c r="AE546" s="57"/>
      <c r="AF546" s="59"/>
    </row>
    <row r="547" spans="1:32">
      <c r="A547" s="24"/>
      <c r="B547" s="26" t="s">
        <v>6</v>
      </c>
      <c r="C547" s="26"/>
      <c r="D547" s="50"/>
      <c r="E547" s="51"/>
      <c r="F547" s="50" t="s">
        <v>455</v>
      </c>
      <c r="G547" s="52"/>
      <c r="H547" s="50"/>
      <c r="I547" s="53"/>
      <c r="J547" s="50" t="s">
        <v>455</v>
      </c>
      <c r="K547" s="53"/>
      <c r="L547" s="50"/>
      <c r="M547" s="57"/>
      <c r="N547" s="55"/>
      <c r="O547" s="57"/>
      <c r="P547" s="57"/>
      <c r="Q547" s="59" t="str">
        <f>IF(MIN(IF(ISBLANK(O547),N547,O547),IF(ISBLANK(N547),O547,N547))=0,"",MIN(IF(ISBLANK(O547),N547,O547),IF(ISBLANK(N547),O547,N547)))</f>
        <v/>
      </c>
      <c r="R547" s="57"/>
      <c r="S547" s="57"/>
      <c r="T547" s="59" t="str">
        <f t="shared" ref="T547:T556" si="115">IF(MIN(IF(ISBLANK(R547),Q547,R547),IF(ISBLANK(Q547),R547,Q547))=0,"",MIN(IF(ISBLANK(R547),Q547,R547),IF(ISBLANK(Q547),R547,Q547)))</f>
        <v/>
      </c>
      <c r="U547" s="57"/>
      <c r="V547" s="57"/>
      <c r="W547" s="59" t="str">
        <f t="shared" ref="W547:W556" si="116">IF(MIN(IF(ISBLANK(U547),T547,U547),IF(ISBLANK(T547),U547,T547))=0,"",MIN(IF(ISBLANK(U547),T547,U547),IF(ISBLANK(T547),U547,T547)))</f>
        <v/>
      </c>
      <c r="X547" s="57"/>
      <c r="Y547" s="57"/>
      <c r="Z547" s="59" t="str">
        <f t="shared" si="112"/>
        <v/>
      </c>
      <c r="AA547" s="57"/>
      <c r="AB547" s="57"/>
      <c r="AC547" s="59" t="str">
        <f t="shared" si="111"/>
        <v/>
      </c>
      <c r="AD547" s="57"/>
      <c r="AE547" s="57"/>
      <c r="AF547" s="59"/>
    </row>
    <row r="548" spans="1:32">
      <c r="A548" s="24"/>
      <c r="B548" s="26" t="s">
        <v>609</v>
      </c>
      <c r="C548" s="26"/>
      <c r="D548" s="50"/>
      <c r="E548" s="51"/>
      <c r="F548" s="50"/>
      <c r="G548" s="52"/>
      <c r="H548" s="50"/>
      <c r="I548" s="53"/>
      <c r="J548" s="50"/>
      <c r="K548" s="53"/>
      <c r="L548" s="50"/>
      <c r="M548" s="57"/>
      <c r="N548" s="55"/>
      <c r="O548" s="57"/>
      <c r="P548" s="57"/>
      <c r="Q548" s="59"/>
      <c r="R548" s="57"/>
      <c r="S548" s="57"/>
      <c r="T548" s="59" t="str">
        <f t="shared" si="115"/>
        <v/>
      </c>
      <c r="U548" s="57"/>
      <c r="V548" s="57"/>
      <c r="W548" s="59" t="str">
        <f t="shared" si="116"/>
        <v/>
      </c>
      <c r="X548" s="57"/>
      <c r="Y548" s="57"/>
      <c r="Z548" s="59" t="str">
        <f t="shared" si="112"/>
        <v/>
      </c>
      <c r="AA548" s="57"/>
      <c r="AB548" s="57"/>
      <c r="AC548" s="59" t="str">
        <f t="shared" si="111"/>
        <v/>
      </c>
      <c r="AD548" s="57"/>
      <c r="AE548" s="57"/>
      <c r="AF548" s="59"/>
    </row>
    <row r="549" spans="1:32">
      <c r="A549" s="24" t="s">
        <v>326</v>
      </c>
      <c r="B549" s="26" t="s">
        <v>11</v>
      </c>
      <c r="C549" s="26" t="s">
        <v>450</v>
      </c>
      <c r="D549" s="50">
        <v>6.12</v>
      </c>
      <c r="E549" s="51" t="s">
        <v>289</v>
      </c>
      <c r="F549" s="50">
        <v>6.12</v>
      </c>
      <c r="G549" s="52" t="s">
        <v>298</v>
      </c>
      <c r="H549" s="50">
        <v>6.12</v>
      </c>
      <c r="I549" s="53">
        <v>6.03</v>
      </c>
      <c r="J549" s="50">
        <v>6.03</v>
      </c>
      <c r="K549" s="53"/>
      <c r="L549" s="50">
        <v>6.03</v>
      </c>
      <c r="M549" s="57"/>
      <c r="N549" s="55">
        <v>4.2013888888888891E-3</v>
      </c>
      <c r="O549" s="57">
        <v>4.6527777777777774E-3</v>
      </c>
      <c r="P549" s="57"/>
      <c r="Q549" s="59">
        <f t="shared" ref="Q549:Q556" si="117">IF(MIN(IF(ISBLANK(O549),N549,O549),IF(ISBLANK(N549),O549,N549))=0,"",MIN(IF(ISBLANK(O549),N549,O549),IF(ISBLANK(N549),O549,N549)))</f>
        <v>4.2013888888888891E-3</v>
      </c>
      <c r="R549" s="57"/>
      <c r="S549" s="57"/>
      <c r="T549" s="59">
        <f t="shared" si="115"/>
        <v>4.2013888888888891E-3</v>
      </c>
      <c r="U549" s="57"/>
      <c r="V549" s="57"/>
      <c r="W549" s="59">
        <f t="shared" si="116"/>
        <v>4.2013888888888891E-3</v>
      </c>
      <c r="X549" s="57"/>
      <c r="Y549" s="57"/>
      <c r="Z549" s="59">
        <f t="shared" si="112"/>
        <v>4.2013888888888891E-3</v>
      </c>
      <c r="AA549" s="57"/>
      <c r="AB549" s="57"/>
      <c r="AC549" s="59">
        <f t="shared" si="111"/>
        <v>4.2013888888888891E-3</v>
      </c>
      <c r="AD549" s="57"/>
      <c r="AE549" s="57"/>
      <c r="AF549" s="59"/>
    </row>
    <row r="550" spans="1:32">
      <c r="A550" s="24" t="s">
        <v>326</v>
      </c>
      <c r="B550" s="26" t="s">
        <v>435</v>
      </c>
      <c r="C550" s="26" t="s">
        <v>450</v>
      </c>
      <c r="D550" s="50"/>
      <c r="E550" s="51"/>
      <c r="F550" s="50"/>
      <c r="G550" s="52"/>
      <c r="H550" s="50"/>
      <c r="I550" s="53"/>
      <c r="J550" s="50" t="s">
        <v>455</v>
      </c>
      <c r="K550" s="53"/>
      <c r="L550" s="50"/>
      <c r="M550" s="57"/>
      <c r="N550" s="55"/>
      <c r="O550" s="57">
        <v>5.9375000000000009E-3</v>
      </c>
      <c r="P550" s="57"/>
      <c r="Q550" s="59">
        <f t="shared" si="117"/>
        <v>5.9375000000000009E-3</v>
      </c>
      <c r="R550" s="57"/>
      <c r="S550" s="57"/>
      <c r="T550" s="59">
        <f t="shared" si="115"/>
        <v>5.9375000000000009E-3</v>
      </c>
      <c r="U550" s="57"/>
      <c r="V550" s="57"/>
      <c r="W550" s="59">
        <f t="shared" si="116"/>
        <v>5.9375000000000009E-3</v>
      </c>
      <c r="X550" s="57"/>
      <c r="Y550" s="57"/>
      <c r="Z550" s="59">
        <f t="shared" si="112"/>
        <v>5.9375000000000009E-3</v>
      </c>
      <c r="AA550" s="57"/>
      <c r="AB550" s="57"/>
      <c r="AC550" s="59">
        <f t="shared" si="111"/>
        <v>5.9375000000000009E-3</v>
      </c>
      <c r="AD550" s="57"/>
      <c r="AE550" s="57"/>
      <c r="AF550" s="59"/>
    </row>
    <row r="551" spans="1:32">
      <c r="A551" s="24" t="s">
        <v>326</v>
      </c>
      <c r="B551" s="26" t="s">
        <v>18</v>
      </c>
      <c r="C551" s="26" t="s">
        <v>450</v>
      </c>
      <c r="D551" s="50">
        <v>8.39</v>
      </c>
      <c r="E551" s="51" t="s">
        <v>323</v>
      </c>
      <c r="F551" s="50">
        <v>8.39</v>
      </c>
      <c r="G551" s="52"/>
      <c r="H551" s="50">
        <v>8.39</v>
      </c>
      <c r="I551" s="53"/>
      <c r="J551" s="50">
        <v>8.39</v>
      </c>
      <c r="K551" s="53"/>
      <c r="L551" s="50">
        <v>8.39</v>
      </c>
      <c r="M551" s="57"/>
      <c r="N551" s="55">
        <v>6.0069444444444441E-3</v>
      </c>
      <c r="O551" s="57">
        <v>6.6319444444444446E-3</v>
      </c>
      <c r="P551" s="57"/>
      <c r="Q551" s="59">
        <f t="shared" si="117"/>
        <v>6.0069444444444441E-3</v>
      </c>
      <c r="R551" s="57"/>
      <c r="S551" s="57"/>
      <c r="T551" s="59">
        <f t="shared" si="115"/>
        <v>6.0069444444444441E-3</v>
      </c>
      <c r="U551" s="57">
        <v>6.5856481481481469E-3</v>
      </c>
      <c r="V551" s="57"/>
      <c r="W551" s="59">
        <f t="shared" si="116"/>
        <v>6.0069444444444441E-3</v>
      </c>
      <c r="X551" s="57"/>
      <c r="Y551" s="57"/>
      <c r="Z551" s="59">
        <f t="shared" si="112"/>
        <v>6.0069444444444441E-3</v>
      </c>
      <c r="AA551" s="57">
        <v>6.6782407407407415E-3</v>
      </c>
      <c r="AB551" s="57"/>
      <c r="AC551" s="59">
        <f t="shared" si="111"/>
        <v>6.0069444444444441E-3</v>
      </c>
      <c r="AD551" s="57"/>
      <c r="AE551" s="57"/>
      <c r="AF551" s="59"/>
    </row>
    <row r="552" spans="1:32">
      <c r="A552" s="24" t="s">
        <v>326</v>
      </c>
      <c r="B552" s="26" t="s">
        <v>23</v>
      </c>
      <c r="C552" s="26" t="s">
        <v>450</v>
      </c>
      <c r="D552" s="50" t="s">
        <v>262</v>
      </c>
      <c r="E552" s="51"/>
      <c r="F552" s="50" t="s">
        <v>262</v>
      </c>
      <c r="G552" s="52"/>
      <c r="H552" s="50" t="s">
        <v>262</v>
      </c>
      <c r="I552" s="53"/>
      <c r="J552" s="50" t="s">
        <v>262</v>
      </c>
      <c r="K552" s="53">
        <v>6.33</v>
      </c>
      <c r="L552" s="50">
        <v>6.33</v>
      </c>
      <c r="M552" s="57"/>
      <c r="N552" s="55">
        <v>4.5486111111111109E-3</v>
      </c>
      <c r="O552" s="57"/>
      <c r="P552" s="57"/>
      <c r="Q552" s="59">
        <f t="shared" si="117"/>
        <v>4.5486111111111109E-3</v>
      </c>
      <c r="R552" s="57"/>
      <c r="S552" s="57"/>
      <c r="T552" s="59">
        <f t="shared" si="115"/>
        <v>4.5486111111111109E-3</v>
      </c>
      <c r="U552" s="57"/>
      <c r="V552" s="57"/>
      <c r="W552" s="59">
        <f t="shared" si="116"/>
        <v>4.5486111111111109E-3</v>
      </c>
      <c r="X552" s="57"/>
      <c r="Y552" s="57"/>
      <c r="Z552" s="59">
        <f t="shared" si="112"/>
        <v>4.5486111111111109E-3</v>
      </c>
      <c r="AA552" s="57"/>
      <c r="AB552" s="57"/>
      <c r="AC552" s="59">
        <f t="shared" si="111"/>
        <v>4.5486111111111109E-3</v>
      </c>
      <c r="AD552" s="57"/>
      <c r="AE552" s="57"/>
      <c r="AF552" s="59"/>
    </row>
    <row r="553" spans="1:32">
      <c r="A553" s="24" t="s">
        <v>326</v>
      </c>
      <c r="B553" s="26" t="s">
        <v>28</v>
      </c>
      <c r="C553" s="26" t="s">
        <v>450</v>
      </c>
      <c r="D553" s="50">
        <v>7.03</v>
      </c>
      <c r="E553" s="51" t="s">
        <v>324</v>
      </c>
      <c r="F553" s="50">
        <v>7.03</v>
      </c>
      <c r="G553" s="52">
        <v>6.49</v>
      </c>
      <c r="H553" s="50">
        <v>6.49</v>
      </c>
      <c r="I553" s="53">
        <v>6.49</v>
      </c>
      <c r="J553" s="50">
        <v>6.49</v>
      </c>
      <c r="K553" s="53">
        <v>6.54</v>
      </c>
      <c r="L553" s="50">
        <v>6.49</v>
      </c>
      <c r="M553" s="57">
        <v>5.3935185185185188E-3</v>
      </c>
      <c r="N553" s="55">
        <v>4.7337962962962958E-3</v>
      </c>
      <c r="O553" s="57">
        <v>4.9537037037037041E-3</v>
      </c>
      <c r="P553" s="57"/>
      <c r="Q553" s="59">
        <f t="shared" si="117"/>
        <v>4.7337962962962958E-3</v>
      </c>
      <c r="R553" s="57"/>
      <c r="S553" s="57"/>
      <c r="T553" s="59">
        <f t="shared" si="115"/>
        <v>4.7337962962962958E-3</v>
      </c>
      <c r="U553" s="57">
        <v>5.2893518518518515E-3</v>
      </c>
      <c r="V553" s="57"/>
      <c r="W553" s="59">
        <f t="shared" si="116"/>
        <v>4.7337962962962958E-3</v>
      </c>
      <c r="X553" s="57"/>
      <c r="Y553" s="57"/>
      <c r="Z553" s="59">
        <f t="shared" si="112"/>
        <v>4.7337962962962958E-3</v>
      </c>
      <c r="AA553" s="57">
        <v>5.6249999999999989E-3</v>
      </c>
      <c r="AB553" s="57"/>
      <c r="AC553" s="59">
        <f t="shared" si="111"/>
        <v>4.7337962962962958E-3</v>
      </c>
      <c r="AD553" s="57"/>
      <c r="AE553" s="57"/>
      <c r="AF553" s="59"/>
    </row>
    <row r="554" spans="1:32">
      <c r="A554" s="24"/>
      <c r="B554" s="26" t="s">
        <v>349</v>
      </c>
      <c r="C554" s="26" t="s">
        <v>450</v>
      </c>
      <c r="D554" s="50"/>
      <c r="E554" s="51"/>
      <c r="F554" s="50" t="s">
        <v>455</v>
      </c>
      <c r="G554" s="52"/>
      <c r="H554" s="50"/>
      <c r="I554" s="53"/>
      <c r="J554" s="50" t="s">
        <v>455</v>
      </c>
      <c r="K554" s="53"/>
      <c r="L554" s="50"/>
      <c r="M554" s="57"/>
      <c r="N554" s="55"/>
      <c r="O554" s="57"/>
      <c r="P554" s="57"/>
      <c r="Q554" s="59" t="str">
        <f t="shared" si="117"/>
        <v/>
      </c>
      <c r="R554" s="57"/>
      <c r="S554" s="57"/>
      <c r="T554" s="59" t="str">
        <f t="shared" si="115"/>
        <v/>
      </c>
      <c r="U554" s="57"/>
      <c r="V554" s="57"/>
      <c r="W554" s="59" t="str">
        <f t="shared" si="116"/>
        <v/>
      </c>
      <c r="X554" s="57"/>
      <c r="Y554" s="57"/>
      <c r="Z554" s="59" t="str">
        <f t="shared" si="112"/>
        <v/>
      </c>
      <c r="AA554" s="57"/>
      <c r="AB554" s="57"/>
      <c r="AC554" s="59" t="str">
        <f t="shared" si="111"/>
        <v/>
      </c>
      <c r="AD554" s="57"/>
      <c r="AE554" s="57"/>
      <c r="AF554" s="59"/>
    </row>
    <row r="555" spans="1:32">
      <c r="A555" s="24"/>
      <c r="B555" s="26" t="s">
        <v>434</v>
      </c>
      <c r="C555" s="26" t="s">
        <v>451</v>
      </c>
      <c r="D555" s="50"/>
      <c r="E555" s="51"/>
      <c r="F555" s="50"/>
      <c r="G555" s="52"/>
      <c r="H555" s="50"/>
      <c r="I555" s="53">
        <v>11.21</v>
      </c>
      <c r="J555" s="50">
        <v>11.21</v>
      </c>
      <c r="K555" s="53">
        <v>12.12</v>
      </c>
      <c r="L555" s="50">
        <v>11.21</v>
      </c>
      <c r="M555" s="57"/>
      <c r="N555" s="55">
        <v>7.8819444444444432E-3</v>
      </c>
      <c r="O555" s="57"/>
      <c r="P555" s="57"/>
      <c r="Q555" s="59">
        <f t="shared" si="117"/>
        <v>7.8819444444444432E-3</v>
      </c>
      <c r="R555" s="57"/>
      <c r="S555" s="57"/>
      <c r="T555" s="59">
        <f t="shared" si="115"/>
        <v>7.8819444444444432E-3</v>
      </c>
      <c r="U555" s="57"/>
      <c r="V555" s="57"/>
      <c r="W555" s="59">
        <f t="shared" si="116"/>
        <v>7.8819444444444432E-3</v>
      </c>
      <c r="X555" s="57"/>
      <c r="Y555" s="57"/>
      <c r="Z555" s="59">
        <f t="shared" si="112"/>
        <v>7.8819444444444432E-3</v>
      </c>
      <c r="AA555" s="57"/>
      <c r="AB555" s="57"/>
      <c r="AC555" s="59">
        <f t="shared" si="111"/>
        <v>7.8819444444444432E-3</v>
      </c>
      <c r="AD555" s="57"/>
      <c r="AE555" s="57"/>
      <c r="AF555" s="59"/>
    </row>
    <row r="556" spans="1:32">
      <c r="A556" s="24"/>
      <c r="B556" s="26" t="s">
        <v>518</v>
      </c>
      <c r="C556" s="26"/>
      <c r="D556" s="50"/>
      <c r="E556" s="51"/>
      <c r="F556" s="50"/>
      <c r="G556" s="52"/>
      <c r="H556" s="50"/>
      <c r="I556" s="53"/>
      <c r="J556" s="50"/>
      <c r="K556" s="53"/>
      <c r="L556" s="50"/>
      <c r="M556" s="57"/>
      <c r="N556" s="55"/>
      <c r="O556" s="57"/>
      <c r="P556" s="57"/>
      <c r="Q556" s="59" t="str">
        <f t="shared" si="117"/>
        <v/>
      </c>
      <c r="R556" s="57"/>
      <c r="S556" s="57"/>
      <c r="T556" s="59" t="str">
        <f t="shared" si="115"/>
        <v/>
      </c>
      <c r="U556" s="57"/>
      <c r="V556" s="57"/>
      <c r="W556" s="59" t="str">
        <f t="shared" si="116"/>
        <v/>
      </c>
      <c r="X556" s="57"/>
      <c r="Y556" s="57"/>
      <c r="Z556" s="59" t="str">
        <f t="shared" si="112"/>
        <v/>
      </c>
      <c r="AA556" s="57"/>
      <c r="AB556" s="57"/>
      <c r="AC556" s="59" t="str">
        <f t="shared" si="111"/>
        <v/>
      </c>
      <c r="AD556" s="57"/>
      <c r="AE556" s="57"/>
      <c r="AF556" s="59"/>
    </row>
    <row r="557" spans="1:32">
      <c r="A557" s="24" t="s">
        <v>326</v>
      </c>
      <c r="B557" s="26" t="s">
        <v>682</v>
      </c>
      <c r="C557" s="26"/>
      <c r="D557" s="50"/>
      <c r="E557" s="51"/>
      <c r="F557" s="50"/>
      <c r="G557" s="52"/>
      <c r="H557" s="50"/>
      <c r="I557" s="53"/>
      <c r="J557" s="50"/>
      <c r="K557" s="53"/>
      <c r="L557" s="50"/>
      <c r="M557" s="57"/>
      <c r="N557" s="55"/>
      <c r="O557" s="57"/>
      <c r="P557" s="57"/>
      <c r="Q557" s="59"/>
      <c r="R557" s="57"/>
      <c r="S557" s="57"/>
      <c r="T557" s="59"/>
      <c r="U557" s="57"/>
      <c r="V557" s="57"/>
      <c r="W557" s="59"/>
      <c r="X557" s="57"/>
      <c r="Y557" s="57"/>
      <c r="Z557" s="59" t="str">
        <f t="shared" si="112"/>
        <v/>
      </c>
      <c r="AA557" s="57">
        <v>5.9259259259259256E-3</v>
      </c>
      <c r="AB557" s="57"/>
      <c r="AC557" s="59">
        <f t="shared" si="111"/>
        <v>5.9259259259259256E-3</v>
      </c>
      <c r="AD557" s="57">
        <v>5.8680555555555543E-3</v>
      </c>
      <c r="AE557" s="57"/>
      <c r="AF557" s="59"/>
    </row>
    <row r="558" spans="1:32">
      <c r="A558" s="24"/>
      <c r="B558" s="26" t="s">
        <v>683</v>
      </c>
      <c r="C558" s="26"/>
      <c r="D558" s="50"/>
      <c r="E558" s="51"/>
      <c r="F558" s="50"/>
      <c r="G558" s="52"/>
      <c r="H558" s="50"/>
      <c r="I558" s="53"/>
      <c r="J558" s="50"/>
      <c r="K558" s="53"/>
      <c r="L558" s="50"/>
      <c r="M558" s="57"/>
      <c r="N558" s="55"/>
      <c r="O558" s="57"/>
      <c r="P558" s="57"/>
      <c r="Q558" s="59"/>
      <c r="R558" s="57"/>
      <c r="S558" s="57"/>
      <c r="T558" s="59"/>
      <c r="U558" s="57"/>
      <c r="V558" s="57"/>
      <c r="W558" s="59"/>
      <c r="X558" s="57"/>
      <c r="Y558" s="57"/>
      <c r="Z558" s="59" t="str">
        <f t="shared" si="112"/>
        <v/>
      </c>
      <c r="AA558" s="57"/>
      <c r="AB558" s="57"/>
      <c r="AC558" s="59" t="str">
        <f t="shared" si="111"/>
        <v/>
      </c>
      <c r="AD558" s="57"/>
      <c r="AE558" s="57"/>
      <c r="AF558" s="59"/>
    </row>
    <row r="559" spans="1:32">
      <c r="A559" s="24"/>
      <c r="B559" s="26" t="s">
        <v>430</v>
      </c>
      <c r="C559" s="26" t="s">
        <v>451</v>
      </c>
      <c r="D559" s="50"/>
      <c r="E559" s="51"/>
      <c r="F559" s="50"/>
      <c r="G559" s="52"/>
      <c r="H559" s="50"/>
      <c r="I559" s="53"/>
      <c r="J559" s="50" t="s">
        <v>455</v>
      </c>
      <c r="K559" s="53"/>
      <c r="L559" s="50"/>
      <c r="M559" s="57"/>
      <c r="N559" s="55"/>
      <c r="O559" s="57"/>
      <c r="P559" s="57"/>
      <c r="Q559" s="59" t="str">
        <f t="shared" ref="Q559:Q564" si="118">IF(MIN(IF(ISBLANK(O559),N559,O559),IF(ISBLANK(N559),O559,N559))=0,"",MIN(IF(ISBLANK(O559),N559,O559),IF(ISBLANK(N559),O559,N559)))</f>
        <v/>
      </c>
      <c r="R559" s="57"/>
      <c r="S559" s="57"/>
      <c r="T559" s="59" t="str">
        <f t="shared" ref="T559:T564" si="119">IF(MIN(IF(ISBLANK(R559),Q559,R559),IF(ISBLANK(Q559),R559,Q559))=0,"",MIN(IF(ISBLANK(R559),Q559,R559),IF(ISBLANK(Q559),R559,Q559)))</f>
        <v/>
      </c>
      <c r="U559" s="57"/>
      <c r="V559" s="57"/>
      <c r="W559" s="59" t="str">
        <f t="shared" ref="W559:W564" si="120">IF(MIN(IF(ISBLANK(U559),T559,U559),IF(ISBLANK(T559),U559,T559))=0,"",MIN(IF(ISBLANK(U559),T559,U559),IF(ISBLANK(T559),U559,T559)))</f>
        <v/>
      </c>
      <c r="X559" s="57"/>
      <c r="Y559" s="57"/>
      <c r="Z559" s="59" t="str">
        <f t="shared" si="112"/>
        <v/>
      </c>
      <c r="AA559" s="57"/>
      <c r="AB559" s="57"/>
      <c r="AC559" s="59" t="str">
        <f t="shared" si="111"/>
        <v/>
      </c>
      <c r="AD559" s="57"/>
      <c r="AE559" s="57"/>
      <c r="AF559" s="59"/>
    </row>
    <row r="560" spans="1:32">
      <c r="A560" s="24"/>
      <c r="B560" s="26" t="s">
        <v>549</v>
      </c>
      <c r="C560" s="26" t="s">
        <v>450</v>
      </c>
      <c r="D560" s="50"/>
      <c r="E560" s="51"/>
      <c r="F560" s="50"/>
      <c r="G560" s="52"/>
      <c r="H560" s="50"/>
      <c r="I560" s="53"/>
      <c r="J560" s="50"/>
      <c r="K560" s="53"/>
      <c r="L560" s="50"/>
      <c r="M560" s="57"/>
      <c r="N560" s="55"/>
      <c r="O560" s="57">
        <v>5.7638888888888887E-3</v>
      </c>
      <c r="P560" s="57"/>
      <c r="Q560" s="59">
        <f t="shared" si="118"/>
        <v>5.7638888888888887E-3</v>
      </c>
      <c r="R560" s="57"/>
      <c r="S560" s="57"/>
      <c r="T560" s="59">
        <f t="shared" si="119"/>
        <v>5.7638888888888887E-3</v>
      </c>
      <c r="U560" s="57"/>
      <c r="V560" s="57"/>
      <c r="W560" s="59">
        <f t="shared" si="120"/>
        <v>5.7638888888888887E-3</v>
      </c>
      <c r="X560" s="57"/>
      <c r="Y560" s="57"/>
      <c r="Z560" s="59">
        <f t="shared" si="112"/>
        <v>5.7638888888888887E-3</v>
      </c>
      <c r="AA560" s="57"/>
      <c r="AB560" s="57"/>
      <c r="AC560" s="59">
        <f t="shared" si="111"/>
        <v>5.7638888888888887E-3</v>
      </c>
      <c r="AD560" s="57"/>
      <c r="AE560" s="57"/>
      <c r="AF560" s="59"/>
    </row>
    <row r="561" spans="1:32">
      <c r="A561" s="24"/>
      <c r="B561" s="26" t="s">
        <v>40</v>
      </c>
      <c r="C561" s="26" t="s">
        <v>451</v>
      </c>
      <c r="D561" s="50"/>
      <c r="E561" s="51"/>
      <c r="F561" s="50" t="s">
        <v>455</v>
      </c>
      <c r="G561" s="52"/>
      <c r="H561" s="50"/>
      <c r="I561" s="53"/>
      <c r="J561" s="50" t="s">
        <v>455</v>
      </c>
      <c r="K561" s="53"/>
      <c r="L561" s="50"/>
      <c r="M561" s="57"/>
      <c r="N561" s="55"/>
      <c r="O561" s="57"/>
      <c r="P561" s="57"/>
      <c r="Q561" s="59" t="str">
        <f t="shared" si="118"/>
        <v/>
      </c>
      <c r="R561" s="57"/>
      <c r="S561" s="57"/>
      <c r="T561" s="59" t="str">
        <f t="shared" si="119"/>
        <v/>
      </c>
      <c r="U561" s="57"/>
      <c r="V561" s="57"/>
      <c r="W561" s="59" t="str">
        <f t="shared" si="120"/>
        <v/>
      </c>
      <c r="X561" s="57"/>
      <c r="Y561" s="57"/>
      <c r="Z561" s="59" t="str">
        <f t="shared" si="112"/>
        <v/>
      </c>
      <c r="AA561" s="57"/>
      <c r="AB561" s="57"/>
      <c r="AC561" s="59" t="str">
        <f t="shared" si="111"/>
        <v/>
      </c>
      <c r="AD561" s="57"/>
      <c r="AE561" s="57"/>
      <c r="AF561" s="59"/>
    </row>
    <row r="562" spans="1:32">
      <c r="A562" s="24"/>
      <c r="B562" s="26" t="s">
        <v>34</v>
      </c>
      <c r="C562" s="26" t="s">
        <v>451</v>
      </c>
      <c r="D562" s="50">
        <v>10.25</v>
      </c>
      <c r="E562" s="51"/>
      <c r="F562" s="50">
        <v>10.25</v>
      </c>
      <c r="G562" s="52"/>
      <c r="H562" s="50">
        <v>10.25</v>
      </c>
      <c r="I562" s="53"/>
      <c r="J562" s="50">
        <v>10.25</v>
      </c>
      <c r="K562" s="53"/>
      <c r="L562" s="50">
        <v>10.25</v>
      </c>
      <c r="M562" s="57"/>
      <c r="N562" s="55">
        <v>7.2337962962962963E-3</v>
      </c>
      <c r="O562" s="57"/>
      <c r="P562" s="57"/>
      <c r="Q562" s="59">
        <f t="shared" si="118"/>
        <v>7.2337962962962963E-3</v>
      </c>
      <c r="R562" s="57"/>
      <c r="S562" s="57"/>
      <c r="T562" s="59">
        <f t="shared" si="119"/>
        <v>7.2337962962962963E-3</v>
      </c>
      <c r="U562" s="57"/>
      <c r="V562" s="57"/>
      <c r="W562" s="59">
        <f t="shared" si="120"/>
        <v>7.2337962962962963E-3</v>
      </c>
      <c r="X562" s="57"/>
      <c r="Y562" s="57"/>
      <c r="Z562" s="59">
        <f t="shared" si="112"/>
        <v>7.2337962962962963E-3</v>
      </c>
      <c r="AA562" s="57"/>
      <c r="AB562" s="57"/>
      <c r="AC562" s="59">
        <f t="shared" si="111"/>
        <v>7.2337962962962963E-3</v>
      </c>
      <c r="AD562" s="57"/>
      <c r="AE562" s="57"/>
      <c r="AF562" s="59"/>
    </row>
    <row r="563" spans="1:32">
      <c r="A563" s="24"/>
      <c r="B563" s="26" t="s">
        <v>240</v>
      </c>
      <c r="C563" s="26" t="s">
        <v>451</v>
      </c>
      <c r="D563" s="50"/>
      <c r="E563" s="51"/>
      <c r="F563" s="50" t="s">
        <v>455</v>
      </c>
      <c r="G563" s="52"/>
      <c r="H563" s="50"/>
      <c r="I563" s="53"/>
      <c r="J563" s="50" t="s">
        <v>455</v>
      </c>
      <c r="K563" s="53"/>
      <c r="L563" s="50"/>
      <c r="M563" s="57"/>
      <c r="N563" s="55"/>
      <c r="O563" s="57"/>
      <c r="P563" s="57"/>
      <c r="Q563" s="59" t="str">
        <f t="shared" si="118"/>
        <v/>
      </c>
      <c r="R563" s="57"/>
      <c r="S563" s="57"/>
      <c r="T563" s="59" t="str">
        <f t="shared" si="119"/>
        <v/>
      </c>
      <c r="U563" s="57"/>
      <c r="V563" s="57"/>
      <c r="W563" s="59" t="str">
        <f t="shared" si="120"/>
        <v/>
      </c>
      <c r="X563" s="57"/>
      <c r="Y563" s="57"/>
      <c r="Z563" s="59" t="str">
        <f t="shared" si="112"/>
        <v/>
      </c>
      <c r="AA563" s="57"/>
      <c r="AB563" s="57"/>
      <c r="AC563" s="59" t="str">
        <f t="shared" si="111"/>
        <v/>
      </c>
      <c r="AD563" s="57"/>
      <c r="AE563" s="57"/>
      <c r="AF563" s="59"/>
    </row>
    <row r="564" spans="1:32">
      <c r="A564" s="24"/>
      <c r="B564" s="26" t="s">
        <v>47</v>
      </c>
      <c r="C564" s="26" t="s">
        <v>450</v>
      </c>
      <c r="D564" s="50"/>
      <c r="E564" s="51"/>
      <c r="F564" s="50" t="s">
        <v>455</v>
      </c>
      <c r="G564" s="52"/>
      <c r="H564" s="50"/>
      <c r="I564" s="53"/>
      <c r="J564" s="50" t="s">
        <v>455</v>
      </c>
      <c r="K564" s="53"/>
      <c r="L564" s="50"/>
      <c r="M564" s="57"/>
      <c r="N564" s="55"/>
      <c r="O564" s="57"/>
      <c r="P564" s="57"/>
      <c r="Q564" s="59" t="str">
        <f t="shared" si="118"/>
        <v/>
      </c>
      <c r="R564" s="57"/>
      <c r="S564" s="57"/>
      <c r="T564" s="59" t="str">
        <f t="shared" si="119"/>
        <v/>
      </c>
      <c r="U564" s="57"/>
      <c r="V564" s="57"/>
      <c r="W564" s="59" t="str">
        <f t="shared" si="120"/>
        <v/>
      </c>
      <c r="X564" s="57"/>
      <c r="Y564" s="57"/>
      <c r="Z564" s="59" t="str">
        <f t="shared" si="112"/>
        <v/>
      </c>
      <c r="AA564" s="57"/>
      <c r="AB564" s="57"/>
      <c r="AC564" s="59" t="str">
        <f t="shared" si="111"/>
        <v/>
      </c>
      <c r="AD564" s="57"/>
      <c r="AE564" s="57"/>
      <c r="AF564" s="59"/>
    </row>
    <row r="565" spans="1:32">
      <c r="A565" s="24" t="s">
        <v>326</v>
      </c>
      <c r="B565" s="26" t="s">
        <v>684</v>
      </c>
      <c r="C565" s="26"/>
      <c r="D565" s="50"/>
      <c r="E565" s="51"/>
      <c r="F565" s="50"/>
      <c r="G565" s="52"/>
      <c r="H565" s="50"/>
      <c r="I565" s="53"/>
      <c r="J565" s="50"/>
      <c r="K565" s="53"/>
      <c r="L565" s="50"/>
      <c r="M565" s="57"/>
      <c r="N565" s="55"/>
      <c r="O565" s="57"/>
      <c r="P565" s="57"/>
      <c r="Q565" s="59"/>
      <c r="R565" s="57"/>
      <c r="S565" s="57"/>
      <c r="T565" s="59"/>
      <c r="U565" s="57"/>
      <c r="V565" s="57"/>
      <c r="W565" s="59"/>
      <c r="X565" s="57"/>
      <c r="Y565" s="57"/>
      <c r="Z565" s="59" t="str">
        <f t="shared" ref="Z565:Z592" si="121">IF(MIN(IF(ISBLANK(X565),W565,X565),IF(ISBLANK(W565),X565,W565))=0,"",MIN(IF(ISBLANK(X565),W565,X565),IF(ISBLANK(W565),X565,W565)))</f>
        <v/>
      </c>
      <c r="AA565" s="57">
        <v>6.5162037037037037E-3</v>
      </c>
      <c r="AB565" s="57"/>
      <c r="AC565" s="59">
        <f t="shared" si="111"/>
        <v>6.5162037037037037E-3</v>
      </c>
      <c r="AD565" s="57"/>
      <c r="AE565" s="57"/>
      <c r="AF565" s="59"/>
    </row>
    <row r="566" spans="1:32">
      <c r="A566" s="24"/>
      <c r="B566" s="26" t="s">
        <v>472</v>
      </c>
      <c r="C566" s="26" t="s">
        <v>450</v>
      </c>
      <c r="D566" s="50"/>
      <c r="E566" s="51"/>
      <c r="F566" s="50"/>
      <c r="G566" s="52"/>
      <c r="H566" s="50"/>
      <c r="I566" s="53"/>
      <c r="J566" s="50"/>
      <c r="K566" s="53"/>
      <c r="L566" s="50"/>
      <c r="M566" s="57"/>
      <c r="N566" s="55"/>
      <c r="O566" s="57"/>
      <c r="P566" s="57"/>
      <c r="Q566" s="59" t="str">
        <f t="shared" ref="Q566:Q573" si="122">IF(MIN(IF(ISBLANK(O566),N566,O566),IF(ISBLANK(N566),O566,N566))=0,"",MIN(IF(ISBLANK(O566),N566,O566),IF(ISBLANK(N566),O566,N566)))</f>
        <v/>
      </c>
      <c r="R566" s="57"/>
      <c r="S566" s="57"/>
      <c r="T566" s="59" t="str">
        <f t="shared" ref="T566:T578" si="123">IF(MIN(IF(ISBLANK(R566),Q566,R566),IF(ISBLANK(Q566),R566,Q566))=0,"",MIN(IF(ISBLANK(R566),Q566,R566),IF(ISBLANK(Q566),R566,Q566)))</f>
        <v/>
      </c>
      <c r="U566" s="57"/>
      <c r="V566" s="57"/>
      <c r="W566" s="59" t="str">
        <f t="shared" ref="W566:W578" si="124">IF(MIN(IF(ISBLANK(U566),T566,U566),IF(ISBLANK(T566),U566,T566))=0,"",MIN(IF(ISBLANK(U566),T566,U566),IF(ISBLANK(T566),U566,T566)))</f>
        <v/>
      </c>
      <c r="X566" s="57"/>
      <c r="Y566" s="57"/>
      <c r="Z566" s="59" t="str">
        <f t="shared" si="121"/>
        <v/>
      </c>
      <c r="AA566" s="57"/>
      <c r="AB566" s="57"/>
      <c r="AC566" s="59" t="str">
        <f t="shared" si="111"/>
        <v/>
      </c>
      <c r="AD566" s="57"/>
      <c r="AE566" s="57"/>
      <c r="AF566" s="59"/>
    </row>
    <row r="567" spans="1:32">
      <c r="A567" s="24" t="s">
        <v>326</v>
      </c>
      <c r="B567" s="26" t="s">
        <v>53</v>
      </c>
      <c r="C567" s="26" t="s">
        <v>450</v>
      </c>
      <c r="D567" s="50">
        <v>6.03</v>
      </c>
      <c r="E567" s="51" t="s">
        <v>325</v>
      </c>
      <c r="F567" s="50">
        <v>6.03</v>
      </c>
      <c r="G567" s="52">
        <v>6.01</v>
      </c>
      <c r="H567" s="50">
        <v>6.01</v>
      </c>
      <c r="I567" s="53">
        <v>6.11</v>
      </c>
      <c r="J567" s="50">
        <v>6.01</v>
      </c>
      <c r="K567" s="53">
        <v>6.16</v>
      </c>
      <c r="L567" s="50">
        <v>6.01</v>
      </c>
      <c r="M567" s="57">
        <v>4.7685185185185183E-3</v>
      </c>
      <c r="N567" s="55">
        <v>4.1782407407407402E-3</v>
      </c>
      <c r="O567" s="57"/>
      <c r="P567" s="57"/>
      <c r="Q567" s="59">
        <f t="shared" si="122"/>
        <v>4.1782407407407402E-3</v>
      </c>
      <c r="R567" s="57">
        <v>4.2939814814814811E-3</v>
      </c>
      <c r="S567" s="57"/>
      <c r="T567" s="59">
        <f t="shared" si="123"/>
        <v>4.1782407407407402E-3</v>
      </c>
      <c r="U567" s="57">
        <v>4.6064814814814814E-3</v>
      </c>
      <c r="V567" s="57"/>
      <c r="W567" s="59">
        <f t="shared" si="124"/>
        <v>4.1782407407407402E-3</v>
      </c>
      <c r="X567" s="57"/>
      <c r="Y567" s="57"/>
      <c r="Z567" s="59">
        <f t="shared" si="121"/>
        <v>4.1782407407407402E-3</v>
      </c>
      <c r="AA567" s="57"/>
      <c r="AB567" s="57"/>
      <c r="AC567" s="59">
        <f t="shared" si="111"/>
        <v>4.1782407407407402E-3</v>
      </c>
      <c r="AD567" s="57">
        <v>4.5254629629629629E-3</v>
      </c>
      <c r="AE567" s="57"/>
      <c r="AF567" s="59"/>
    </row>
    <row r="568" spans="1:32">
      <c r="A568" s="24"/>
      <c r="B568" s="26" t="s">
        <v>58</v>
      </c>
      <c r="C568" s="26" t="s">
        <v>450</v>
      </c>
      <c r="D568" s="50">
        <v>13.11</v>
      </c>
      <c r="E568" s="51"/>
      <c r="F568" s="50">
        <v>13.11</v>
      </c>
      <c r="G568" s="52"/>
      <c r="H568" s="50">
        <v>13.11</v>
      </c>
      <c r="I568" s="53"/>
      <c r="J568" s="50">
        <v>13.11</v>
      </c>
      <c r="K568" s="53"/>
      <c r="L568" s="50">
        <v>13.11</v>
      </c>
      <c r="M568" s="57"/>
      <c r="N568" s="55">
        <v>9.1550925925925931E-3</v>
      </c>
      <c r="O568" s="57"/>
      <c r="P568" s="57"/>
      <c r="Q568" s="59">
        <f t="shared" si="122"/>
        <v>9.1550925925925931E-3</v>
      </c>
      <c r="R568" s="57"/>
      <c r="S568" s="57"/>
      <c r="T568" s="59">
        <f t="shared" si="123"/>
        <v>9.1550925925925931E-3</v>
      </c>
      <c r="U568" s="57"/>
      <c r="V568" s="57"/>
      <c r="W568" s="59">
        <f t="shared" si="124"/>
        <v>9.1550925925925931E-3</v>
      </c>
      <c r="X568" s="57"/>
      <c r="Y568" s="57"/>
      <c r="Z568" s="59">
        <f t="shared" si="121"/>
        <v>9.1550925925925931E-3</v>
      </c>
      <c r="AA568" s="57"/>
      <c r="AB568" s="57"/>
      <c r="AC568" s="59">
        <f t="shared" si="111"/>
        <v>9.1550925925925931E-3</v>
      </c>
      <c r="AD568" s="57"/>
      <c r="AE568" s="57"/>
      <c r="AF568" s="59"/>
    </row>
    <row r="569" spans="1:32">
      <c r="A569" s="24"/>
      <c r="B569" s="26" t="s">
        <v>63</v>
      </c>
      <c r="C569" s="26" t="s">
        <v>450</v>
      </c>
      <c r="D569" s="50"/>
      <c r="E569" s="51"/>
      <c r="F569" s="50" t="s">
        <v>455</v>
      </c>
      <c r="G569" s="52"/>
      <c r="H569" s="50"/>
      <c r="I569" s="53"/>
      <c r="J569" s="50" t="s">
        <v>455</v>
      </c>
      <c r="K569" s="53"/>
      <c r="L569" s="50"/>
      <c r="M569" s="57"/>
      <c r="N569" s="55"/>
      <c r="O569" s="57"/>
      <c r="P569" s="57"/>
      <c r="Q569" s="59" t="str">
        <f t="shared" si="122"/>
        <v/>
      </c>
      <c r="R569" s="57"/>
      <c r="S569" s="57"/>
      <c r="T569" s="59" t="str">
        <f t="shared" si="123"/>
        <v/>
      </c>
      <c r="U569" s="57"/>
      <c r="V569" s="57"/>
      <c r="W569" s="59" t="str">
        <f t="shared" si="124"/>
        <v/>
      </c>
      <c r="X569" s="57"/>
      <c r="Y569" s="57"/>
      <c r="Z569" s="59" t="str">
        <f t="shared" si="121"/>
        <v/>
      </c>
      <c r="AA569" s="57"/>
      <c r="AB569" s="57"/>
      <c r="AC569" s="59" t="str">
        <f t="shared" si="111"/>
        <v/>
      </c>
      <c r="AD569" s="57"/>
      <c r="AE569" s="57"/>
      <c r="AF569" s="59"/>
    </row>
    <row r="570" spans="1:32">
      <c r="A570" s="24"/>
      <c r="B570" s="26" t="s">
        <v>503</v>
      </c>
      <c r="C570" s="26"/>
      <c r="D570" s="50"/>
      <c r="E570" s="51"/>
      <c r="F570" s="50"/>
      <c r="G570" s="52"/>
      <c r="H570" s="50"/>
      <c r="I570" s="53"/>
      <c r="J570" s="50"/>
      <c r="K570" s="53"/>
      <c r="L570" s="50"/>
      <c r="M570" s="57">
        <v>6.5624999999999998E-3</v>
      </c>
      <c r="N570" s="55">
        <v>6.5624999999999998E-3</v>
      </c>
      <c r="O570" s="57">
        <v>5.7754629629629623E-3</v>
      </c>
      <c r="P570" s="57"/>
      <c r="Q570" s="59">
        <f t="shared" si="122"/>
        <v>5.7754629629629623E-3</v>
      </c>
      <c r="R570" s="57">
        <v>6.5972222222222222E-3</v>
      </c>
      <c r="S570" s="57"/>
      <c r="T570" s="59">
        <f t="shared" si="123"/>
        <v>5.7754629629629623E-3</v>
      </c>
      <c r="U570" s="57"/>
      <c r="V570" s="57"/>
      <c r="W570" s="59">
        <f t="shared" si="124"/>
        <v>5.7754629629629623E-3</v>
      </c>
      <c r="X570" s="57"/>
      <c r="Y570" s="57"/>
      <c r="Z570" s="59">
        <f t="shared" si="121"/>
        <v>5.7754629629629623E-3</v>
      </c>
      <c r="AA570" s="57"/>
      <c r="AB570" s="57"/>
      <c r="AC570" s="59">
        <f t="shared" si="111"/>
        <v>5.7754629629629623E-3</v>
      </c>
      <c r="AD570" s="57"/>
      <c r="AE570" s="57"/>
      <c r="AF570" s="59"/>
    </row>
    <row r="571" spans="1:32">
      <c r="A571" s="24"/>
      <c r="B571" s="26" t="s">
        <v>69</v>
      </c>
      <c r="C571" s="26"/>
      <c r="D571" s="50">
        <v>10.25</v>
      </c>
      <c r="E571" s="51"/>
      <c r="F571" s="50">
        <v>10.25</v>
      </c>
      <c r="G571" s="52"/>
      <c r="H571" s="50">
        <v>10.25</v>
      </c>
      <c r="I571" s="53"/>
      <c r="J571" s="50">
        <v>10.25</v>
      </c>
      <c r="K571" s="53"/>
      <c r="L571" s="50">
        <v>10.25</v>
      </c>
      <c r="M571" s="57"/>
      <c r="N571" s="55">
        <v>7.2337962962962963E-3</v>
      </c>
      <c r="O571" s="57"/>
      <c r="P571" s="57"/>
      <c r="Q571" s="59">
        <f t="shared" si="122"/>
        <v>7.2337962962962963E-3</v>
      </c>
      <c r="R571" s="57"/>
      <c r="S571" s="57"/>
      <c r="T571" s="59">
        <f t="shared" si="123"/>
        <v>7.2337962962962963E-3</v>
      </c>
      <c r="U571" s="57"/>
      <c r="V571" s="57"/>
      <c r="W571" s="59">
        <f t="shared" si="124"/>
        <v>7.2337962962962963E-3</v>
      </c>
      <c r="X571" s="57"/>
      <c r="Y571" s="57"/>
      <c r="Z571" s="59">
        <f t="shared" si="121"/>
        <v>7.2337962962962963E-3</v>
      </c>
      <c r="AA571" s="57"/>
      <c r="AB571" s="57"/>
      <c r="AC571" s="59">
        <f t="shared" si="111"/>
        <v>7.2337962962962963E-3</v>
      </c>
      <c r="AD571" s="57"/>
      <c r="AE571" s="57"/>
      <c r="AF571" s="59"/>
    </row>
    <row r="572" spans="1:32">
      <c r="A572" s="24"/>
      <c r="B572" s="26" t="s">
        <v>74</v>
      </c>
      <c r="C572" s="26"/>
      <c r="D572" s="50">
        <v>8.56</v>
      </c>
      <c r="E572" s="51"/>
      <c r="F572" s="50">
        <v>8.56</v>
      </c>
      <c r="G572" s="52"/>
      <c r="H572" s="50">
        <v>8.56</v>
      </c>
      <c r="I572" s="53"/>
      <c r="J572" s="50">
        <v>8.56</v>
      </c>
      <c r="K572" s="53"/>
      <c r="L572" s="50">
        <v>8.56</v>
      </c>
      <c r="M572" s="57"/>
      <c r="N572" s="55">
        <v>6.2037037037037043E-3</v>
      </c>
      <c r="O572" s="57"/>
      <c r="P572" s="57"/>
      <c r="Q572" s="59">
        <f t="shared" si="122"/>
        <v>6.2037037037037043E-3</v>
      </c>
      <c r="R572" s="57"/>
      <c r="S572" s="57"/>
      <c r="T572" s="59">
        <f t="shared" si="123"/>
        <v>6.2037037037037043E-3</v>
      </c>
      <c r="U572" s="57"/>
      <c r="V572" s="57"/>
      <c r="W572" s="59">
        <f t="shared" si="124"/>
        <v>6.2037037037037043E-3</v>
      </c>
      <c r="X572" s="57"/>
      <c r="Y572" s="57"/>
      <c r="Z572" s="59">
        <f t="shared" si="121"/>
        <v>6.2037037037037043E-3</v>
      </c>
      <c r="AA572" s="57"/>
      <c r="AB572" s="57"/>
      <c r="AC572" s="59">
        <f t="shared" si="111"/>
        <v>6.2037037037037043E-3</v>
      </c>
      <c r="AD572" s="57"/>
      <c r="AE572" s="57"/>
      <c r="AF572" s="59"/>
    </row>
    <row r="573" spans="1:32">
      <c r="A573" s="24"/>
      <c r="B573" s="26" t="s">
        <v>542</v>
      </c>
      <c r="C573" s="26"/>
      <c r="D573" s="50"/>
      <c r="E573" s="51"/>
      <c r="F573" s="50"/>
      <c r="G573" s="52"/>
      <c r="H573" s="50"/>
      <c r="I573" s="53"/>
      <c r="J573" s="50"/>
      <c r="K573" s="53"/>
      <c r="L573" s="50"/>
      <c r="M573" s="57"/>
      <c r="N573" s="55"/>
      <c r="O573" s="57"/>
      <c r="P573" s="57"/>
      <c r="Q573" s="59" t="str">
        <f t="shared" si="122"/>
        <v/>
      </c>
      <c r="R573" s="57"/>
      <c r="S573" s="57"/>
      <c r="T573" s="59" t="str">
        <f t="shared" si="123"/>
        <v/>
      </c>
      <c r="U573" s="57"/>
      <c r="V573" s="57"/>
      <c r="W573" s="59" t="str">
        <f t="shared" si="124"/>
        <v/>
      </c>
      <c r="X573" s="57"/>
      <c r="Y573" s="57"/>
      <c r="Z573" s="59" t="str">
        <f t="shared" si="121"/>
        <v/>
      </c>
      <c r="AA573" s="57"/>
      <c r="AB573" s="57"/>
      <c r="AC573" s="59" t="str">
        <f t="shared" si="111"/>
        <v/>
      </c>
      <c r="AD573" s="57"/>
      <c r="AE573" s="57"/>
      <c r="AF573" s="59"/>
    </row>
    <row r="574" spans="1:32">
      <c r="A574" s="24"/>
      <c r="B574" s="26" t="s">
        <v>600</v>
      </c>
      <c r="C574" s="26"/>
      <c r="D574" s="50"/>
      <c r="E574" s="51"/>
      <c r="F574" s="50"/>
      <c r="G574" s="52"/>
      <c r="H574" s="50"/>
      <c r="I574" s="53"/>
      <c r="J574" s="50"/>
      <c r="K574" s="53"/>
      <c r="L574" s="50"/>
      <c r="M574" s="57"/>
      <c r="N574" s="55"/>
      <c r="O574" s="57"/>
      <c r="P574" s="57"/>
      <c r="Q574" s="59"/>
      <c r="R574" s="57"/>
      <c r="S574" s="57"/>
      <c r="T574" s="59" t="str">
        <f t="shared" si="123"/>
        <v/>
      </c>
      <c r="U574" s="57">
        <v>6.2499999999999995E-3</v>
      </c>
      <c r="V574" s="57"/>
      <c r="W574" s="59">
        <f t="shared" si="124"/>
        <v>6.2499999999999995E-3</v>
      </c>
      <c r="X574" s="57"/>
      <c r="Y574" s="57"/>
      <c r="Z574" s="59">
        <f t="shared" si="121"/>
        <v>6.2499999999999995E-3</v>
      </c>
      <c r="AA574" s="57"/>
      <c r="AB574" s="57"/>
      <c r="AC574" s="59">
        <f t="shared" si="111"/>
        <v>6.2499999999999995E-3</v>
      </c>
      <c r="AD574" s="57"/>
      <c r="AE574" s="57"/>
      <c r="AF574" s="59"/>
    </row>
    <row r="575" spans="1:32">
      <c r="A575" s="24"/>
      <c r="B575" s="26" t="s">
        <v>81</v>
      </c>
      <c r="C575" s="26" t="s">
        <v>451</v>
      </c>
      <c r="D575" s="50" t="s">
        <v>225</v>
      </c>
      <c r="E575" s="51"/>
      <c r="F575" s="50" t="s">
        <v>225</v>
      </c>
      <c r="G575" s="52"/>
      <c r="H575" s="50" t="s">
        <v>225</v>
      </c>
      <c r="I575" s="53"/>
      <c r="J575" s="50" t="s">
        <v>225</v>
      </c>
      <c r="K575" s="53"/>
      <c r="L575" s="50" t="s">
        <v>225</v>
      </c>
      <c r="M575" s="57"/>
      <c r="N575" s="55">
        <v>7.8703703703703713E-3</v>
      </c>
      <c r="O575" s="57"/>
      <c r="P575" s="57"/>
      <c r="Q575" s="59">
        <f>IF(MIN(IF(ISBLANK(O575),N575,O575),IF(ISBLANK(N575),O575,N575))=0,"",MIN(IF(ISBLANK(O575),N575,O575),IF(ISBLANK(N575),O575,N575)))</f>
        <v>7.8703703703703713E-3</v>
      </c>
      <c r="R575" s="57"/>
      <c r="S575" s="57"/>
      <c r="T575" s="59">
        <f t="shared" si="123"/>
        <v>7.8703703703703713E-3</v>
      </c>
      <c r="U575" s="57"/>
      <c r="V575" s="57"/>
      <c r="W575" s="59">
        <f t="shared" si="124"/>
        <v>7.8703703703703713E-3</v>
      </c>
      <c r="X575" s="57"/>
      <c r="Y575" s="57"/>
      <c r="Z575" s="59">
        <f t="shared" si="121"/>
        <v>7.8703703703703713E-3</v>
      </c>
      <c r="AA575" s="57"/>
      <c r="AB575" s="57"/>
      <c r="AC575" s="59">
        <f t="shared" si="111"/>
        <v>7.8703703703703713E-3</v>
      </c>
      <c r="AD575" s="57"/>
      <c r="AE575" s="57"/>
      <c r="AF575" s="59"/>
    </row>
    <row r="576" spans="1:32">
      <c r="A576" s="24"/>
      <c r="B576" s="26" t="s">
        <v>85</v>
      </c>
      <c r="C576" s="26"/>
      <c r="D576" s="50"/>
      <c r="E576" s="51"/>
      <c r="F576" s="50" t="s">
        <v>455</v>
      </c>
      <c r="G576" s="52"/>
      <c r="H576" s="50"/>
      <c r="I576" s="53">
        <v>11.54</v>
      </c>
      <c r="J576" s="50">
        <v>11.54</v>
      </c>
      <c r="K576" s="53"/>
      <c r="L576" s="50">
        <v>11.54</v>
      </c>
      <c r="M576" s="57"/>
      <c r="N576" s="55">
        <v>8.2638888888888883E-3</v>
      </c>
      <c r="O576" s="57"/>
      <c r="P576" s="57"/>
      <c r="Q576" s="59">
        <f>IF(MIN(IF(ISBLANK(O576),N576,O576),IF(ISBLANK(N576),O576,N576))=0,"",MIN(IF(ISBLANK(O576),N576,O576),IF(ISBLANK(N576),O576,N576)))</f>
        <v>8.2638888888888883E-3</v>
      </c>
      <c r="R576" s="57"/>
      <c r="S576" s="57"/>
      <c r="T576" s="59">
        <f t="shared" si="123"/>
        <v>8.2638888888888883E-3</v>
      </c>
      <c r="U576" s="57"/>
      <c r="V576" s="57"/>
      <c r="W576" s="59">
        <f t="shared" si="124"/>
        <v>8.2638888888888883E-3</v>
      </c>
      <c r="X576" s="57"/>
      <c r="Y576" s="57"/>
      <c r="Z576" s="59">
        <f t="shared" si="121"/>
        <v>8.2638888888888883E-3</v>
      </c>
      <c r="AA576" s="57"/>
      <c r="AB576" s="57"/>
      <c r="AC576" s="59">
        <f t="shared" si="111"/>
        <v>8.2638888888888883E-3</v>
      </c>
      <c r="AD576" s="57"/>
      <c r="AE576" s="57"/>
      <c r="AF576" s="59"/>
    </row>
    <row r="577" spans="1:32">
      <c r="A577" s="24"/>
      <c r="B577" s="26" t="s">
        <v>91</v>
      </c>
      <c r="C577" s="26" t="s">
        <v>451</v>
      </c>
      <c r="D577" s="50"/>
      <c r="E577" s="51"/>
      <c r="F577" s="50" t="s">
        <v>455</v>
      </c>
      <c r="G577" s="52"/>
      <c r="H577" s="50"/>
      <c r="I577" s="53"/>
      <c r="J577" s="50" t="s">
        <v>455</v>
      </c>
      <c r="K577" s="53"/>
      <c r="L577" s="50"/>
      <c r="M577" s="57"/>
      <c r="N577" s="55"/>
      <c r="O577" s="57"/>
      <c r="P577" s="57"/>
      <c r="Q577" s="59" t="str">
        <f>IF(MIN(IF(ISBLANK(O577),N577,O577),IF(ISBLANK(N577),O577,N577))=0,"",MIN(IF(ISBLANK(O577),N577,O577),IF(ISBLANK(N577),O577,N577)))</f>
        <v/>
      </c>
      <c r="R577" s="57"/>
      <c r="S577" s="57"/>
      <c r="T577" s="59" t="str">
        <f t="shared" si="123"/>
        <v/>
      </c>
      <c r="U577" s="57"/>
      <c r="V577" s="57"/>
      <c r="W577" s="59" t="str">
        <f t="shared" si="124"/>
        <v/>
      </c>
      <c r="X577" s="57"/>
      <c r="Y577" s="57"/>
      <c r="Z577" s="59" t="str">
        <f t="shared" si="121"/>
        <v/>
      </c>
      <c r="AA577" s="57"/>
      <c r="AB577" s="57"/>
      <c r="AC577" s="59" t="str">
        <f t="shared" si="111"/>
        <v/>
      </c>
      <c r="AD577" s="57"/>
      <c r="AE577" s="57"/>
      <c r="AF577" s="59"/>
    </row>
    <row r="578" spans="1:32">
      <c r="A578" s="24" t="s">
        <v>326</v>
      </c>
      <c r="B578" s="26" t="s">
        <v>96</v>
      </c>
      <c r="C578" s="26" t="s">
        <v>450</v>
      </c>
      <c r="D578" s="50">
        <v>7.17</v>
      </c>
      <c r="E578" s="51"/>
      <c r="F578" s="50">
        <v>7.17</v>
      </c>
      <c r="G578" s="52"/>
      <c r="H578" s="50">
        <v>7.17</v>
      </c>
      <c r="I578" s="53"/>
      <c r="J578" s="50">
        <v>7.17</v>
      </c>
      <c r="K578" s="53"/>
      <c r="L578" s="50">
        <v>7.17</v>
      </c>
      <c r="M578" s="57"/>
      <c r="N578" s="55">
        <v>5.0578703703703706E-3</v>
      </c>
      <c r="O578" s="57"/>
      <c r="P578" s="57"/>
      <c r="Q578" s="59">
        <f>IF(MIN(IF(ISBLANK(O578),N578,O578),IF(ISBLANK(N578),O578,N578))=0,"",MIN(IF(ISBLANK(O578),N578,O578),IF(ISBLANK(N578),O578,N578)))</f>
        <v>5.0578703703703706E-3</v>
      </c>
      <c r="R578" s="57"/>
      <c r="S578" s="57"/>
      <c r="T578" s="59">
        <f t="shared" si="123"/>
        <v>5.0578703703703706E-3</v>
      </c>
      <c r="U578" s="57"/>
      <c r="V578" s="57"/>
      <c r="W578" s="59">
        <f t="shared" si="124"/>
        <v>5.0578703703703706E-3</v>
      </c>
      <c r="X578" s="57">
        <v>5.1041666666666666E-3</v>
      </c>
      <c r="Y578" s="57"/>
      <c r="Z578" s="59">
        <f t="shared" si="121"/>
        <v>5.0578703703703706E-3</v>
      </c>
      <c r="AA578" s="57">
        <v>5.0000000000000001E-3</v>
      </c>
      <c r="AB578" s="57"/>
      <c r="AC578" s="59">
        <f t="shared" si="111"/>
        <v>5.0000000000000001E-3</v>
      </c>
      <c r="AD578" s="57">
        <v>5.2546296296296299E-3</v>
      </c>
      <c r="AE578" s="57"/>
      <c r="AF578" s="59"/>
    </row>
    <row r="579" spans="1:32">
      <c r="A579" s="24" t="s">
        <v>326</v>
      </c>
      <c r="B579" s="26" t="s">
        <v>685</v>
      </c>
      <c r="C579" s="26"/>
      <c r="D579" s="50"/>
      <c r="E579" s="51"/>
      <c r="F579" s="50"/>
      <c r="G579" s="52"/>
      <c r="H579" s="50"/>
      <c r="I579" s="53"/>
      <c r="J579" s="50"/>
      <c r="K579" s="53"/>
      <c r="L579" s="50"/>
      <c r="M579" s="57"/>
      <c r="N579" s="55"/>
      <c r="O579" s="57"/>
      <c r="P579" s="57"/>
      <c r="Q579" s="59"/>
      <c r="R579" s="57"/>
      <c r="S579" s="57"/>
      <c r="T579" s="59"/>
      <c r="U579" s="57"/>
      <c r="V579" s="57"/>
      <c r="W579" s="59"/>
      <c r="X579" s="57"/>
      <c r="Y579" s="57"/>
      <c r="Z579" s="59" t="str">
        <f t="shared" si="121"/>
        <v/>
      </c>
      <c r="AA579" s="57">
        <v>5.3125000000000004E-3</v>
      </c>
      <c r="AB579" s="57"/>
      <c r="AC579" s="59">
        <f t="shared" si="111"/>
        <v>5.3125000000000004E-3</v>
      </c>
      <c r="AD579" s="57"/>
      <c r="AE579" s="57"/>
      <c r="AF579" s="59"/>
    </row>
    <row r="580" spans="1:32">
      <c r="A580" s="24"/>
      <c r="B580" s="26" t="s">
        <v>701</v>
      </c>
      <c r="C580" s="26"/>
      <c r="D580" s="50"/>
      <c r="E580" s="51"/>
      <c r="F580" s="50"/>
      <c r="G580" s="52"/>
      <c r="H580" s="50"/>
      <c r="I580" s="53"/>
      <c r="J580" s="50"/>
      <c r="K580" s="54"/>
      <c r="L580" s="50"/>
      <c r="M580" s="56"/>
      <c r="N580" s="55"/>
      <c r="O580" s="56"/>
      <c r="P580" s="56"/>
      <c r="Q580" s="59"/>
      <c r="R580" s="56"/>
      <c r="S580" s="56"/>
      <c r="T580" s="59"/>
      <c r="U580" s="56"/>
      <c r="V580" s="56"/>
      <c r="W580" s="59"/>
      <c r="X580" s="56"/>
      <c r="Y580" s="56"/>
      <c r="Z580" s="59" t="str">
        <f t="shared" si="121"/>
        <v/>
      </c>
      <c r="AA580" s="56"/>
      <c r="AB580" s="56"/>
      <c r="AC580" s="59" t="str">
        <f t="shared" ref="AC580:AC592" si="125">IF(MIN(IF(ISBLANK(Z580),AA580,Z580),IF(ISBLANK(AA580),Z580,AA580))=0,"",MIN(IF(ISBLANK(Z580),AA580,Z580),IF(ISBLANK(AA580),Z580,AA580)))</f>
        <v/>
      </c>
      <c r="AD580" s="56"/>
      <c r="AE580" s="56"/>
      <c r="AF580" s="59"/>
    </row>
    <row r="581" spans="1:32">
      <c r="A581" s="24"/>
      <c r="B581" s="26" t="s">
        <v>431</v>
      </c>
      <c r="C581" s="26" t="s">
        <v>450</v>
      </c>
      <c r="D581" s="50"/>
      <c r="E581" s="51"/>
      <c r="F581" s="50"/>
      <c r="G581" s="52"/>
      <c r="H581" s="50"/>
      <c r="I581" s="53"/>
      <c r="J581" s="50" t="s">
        <v>455</v>
      </c>
      <c r="K581" s="53"/>
      <c r="L581" s="50"/>
      <c r="M581" s="57"/>
      <c r="N581" s="55"/>
      <c r="O581" s="57"/>
      <c r="P581" s="57"/>
      <c r="Q581" s="59" t="str">
        <f t="shared" ref="Q581:Q592" si="126">IF(MIN(IF(ISBLANK(O581),N581,O581),IF(ISBLANK(N581),O581,N581))=0,"",MIN(IF(ISBLANK(O581),N581,O581),IF(ISBLANK(N581),O581,N581)))</f>
        <v/>
      </c>
      <c r="R581" s="57"/>
      <c r="S581" s="57"/>
      <c r="T581" s="59" t="str">
        <f t="shared" ref="T581:T592" si="127">IF(MIN(IF(ISBLANK(R581),Q581,R581),IF(ISBLANK(Q581),R581,Q581))=0,"",MIN(IF(ISBLANK(R581),Q581,R581),IF(ISBLANK(Q581),R581,Q581)))</f>
        <v/>
      </c>
      <c r="U581" s="57"/>
      <c r="V581" s="57"/>
      <c r="W581" s="59" t="str">
        <f t="shared" ref="W581:W592" si="128">IF(MIN(IF(ISBLANK(U581),T581,U581),IF(ISBLANK(T581),U581,T581))=0,"",MIN(IF(ISBLANK(U581),T581,U581),IF(ISBLANK(T581),U581,T581)))</f>
        <v/>
      </c>
      <c r="X581" s="57"/>
      <c r="Y581" s="57"/>
      <c r="Z581" s="59" t="str">
        <f t="shared" si="121"/>
        <v/>
      </c>
      <c r="AA581" s="57"/>
      <c r="AB581" s="57"/>
      <c r="AC581" s="59" t="str">
        <f t="shared" si="125"/>
        <v/>
      </c>
      <c r="AD581" s="57"/>
      <c r="AE581" s="57"/>
      <c r="AF581" s="59"/>
    </row>
    <row r="582" spans="1:32">
      <c r="A582" s="24"/>
      <c r="B582" s="26" t="s">
        <v>102</v>
      </c>
      <c r="C582" s="26" t="s">
        <v>450</v>
      </c>
      <c r="D582" s="50">
        <v>8.1199999999999992</v>
      </c>
      <c r="E582" s="51"/>
      <c r="F582" s="50">
        <v>8.1199999999999992</v>
      </c>
      <c r="G582" s="52"/>
      <c r="H582" s="50">
        <v>8.1199999999999992</v>
      </c>
      <c r="I582" s="53"/>
      <c r="J582" s="50">
        <v>8.1199999999999992</v>
      </c>
      <c r="K582" s="53"/>
      <c r="L582" s="50">
        <v>8.1199999999999992</v>
      </c>
      <c r="M582" s="57"/>
      <c r="N582" s="55">
        <v>5.6944444444444438E-3</v>
      </c>
      <c r="O582" s="57"/>
      <c r="P582" s="57"/>
      <c r="Q582" s="59">
        <f t="shared" si="126"/>
        <v>5.6944444444444438E-3</v>
      </c>
      <c r="R582" s="57"/>
      <c r="S582" s="57"/>
      <c r="T582" s="59">
        <f t="shared" si="127"/>
        <v>5.6944444444444438E-3</v>
      </c>
      <c r="U582" s="57"/>
      <c r="V582" s="57"/>
      <c r="W582" s="59">
        <f t="shared" si="128"/>
        <v>5.6944444444444438E-3</v>
      </c>
      <c r="X582" s="57"/>
      <c r="Y582" s="57"/>
      <c r="Z582" s="59">
        <f t="shared" si="121"/>
        <v>5.6944444444444438E-3</v>
      </c>
      <c r="AA582" s="57"/>
      <c r="AB582" s="57"/>
      <c r="AC582" s="59">
        <f t="shared" si="125"/>
        <v>5.6944444444444438E-3</v>
      </c>
      <c r="AD582" s="57"/>
      <c r="AE582" s="57"/>
      <c r="AF582" s="59"/>
    </row>
    <row r="583" spans="1:32">
      <c r="A583" s="24" t="s">
        <v>326</v>
      </c>
      <c r="B583" s="26" t="s">
        <v>109</v>
      </c>
      <c r="C583" s="26" t="s">
        <v>450</v>
      </c>
      <c r="D583" s="50">
        <v>6.57</v>
      </c>
      <c r="E583" s="51"/>
      <c r="F583" s="50">
        <v>6.57</v>
      </c>
      <c r="G583" s="52"/>
      <c r="H583" s="50">
        <v>6.57</v>
      </c>
      <c r="I583" s="53">
        <v>6.52</v>
      </c>
      <c r="J583" s="50">
        <v>6.52</v>
      </c>
      <c r="K583" s="53"/>
      <c r="L583" s="50">
        <v>6.52</v>
      </c>
      <c r="M583" s="57"/>
      <c r="N583" s="55">
        <v>4.7685185185185183E-3</v>
      </c>
      <c r="O583" s="57"/>
      <c r="P583" s="57"/>
      <c r="Q583" s="59">
        <f t="shared" si="126"/>
        <v>4.7685185185185183E-3</v>
      </c>
      <c r="R583" s="57"/>
      <c r="S583" s="57"/>
      <c r="T583" s="59">
        <f t="shared" si="127"/>
        <v>4.7685185185185183E-3</v>
      </c>
      <c r="U583" s="57"/>
      <c r="V583" s="57"/>
      <c r="W583" s="59">
        <f t="shared" si="128"/>
        <v>4.7685185185185183E-3</v>
      </c>
      <c r="X583" s="57"/>
      <c r="Y583" s="57"/>
      <c r="Z583" s="59">
        <f t="shared" si="121"/>
        <v>4.7685185185185183E-3</v>
      </c>
      <c r="AA583" s="57"/>
      <c r="AB583" s="57"/>
      <c r="AC583" s="59">
        <f t="shared" si="125"/>
        <v>4.7685185185185183E-3</v>
      </c>
      <c r="AD583" s="57">
        <v>4.9884259259259265E-3</v>
      </c>
      <c r="AE583" s="57"/>
      <c r="AF583" s="59"/>
    </row>
    <row r="584" spans="1:32">
      <c r="A584" s="24"/>
      <c r="B584" s="26" t="s">
        <v>526</v>
      </c>
      <c r="C584" s="26" t="s">
        <v>450</v>
      </c>
      <c r="D584" s="50"/>
      <c r="E584" s="51"/>
      <c r="F584" s="50"/>
      <c r="G584" s="52"/>
      <c r="H584" s="50"/>
      <c r="I584" s="53"/>
      <c r="J584" s="50"/>
      <c r="K584" s="53"/>
      <c r="L584" s="50"/>
      <c r="M584" s="57">
        <v>5.3125000000000004E-3</v>
      </c>
      <c r="N584" s="55">
        <v>5.3125000000000004E-3</v>
      </c>
      <c r="O584" s="57"/>
      <c r="P584" s="57"/>
      <c r="Q584" s="59">
        <f t="shared" si="126"/>
        <v>5.3125000000000004E-3</v>
      </c>
      <c r="R584" s="57"/>
      <c r="S584" s="57"/>
      <c r="T584" s="59">
        <f t="shared" si="127"/>
        <v>5.3125000000000004E-3</v>
      </c>
      <c r="U584" s="57"/>
      <c r="V584" s="57"/>
      <c r="W584" s="59">
        <f t="shared" si="128"/>
        <v>5.3125000000000004E-3</v>
      </c>
      <c r="X584" s="57"/>
      <c r="Y584" s="57"/>
      <c r="Z584" s="59">
        <f t="shared" si="121"/>
        <v>5.3125000000000004E-3</v>
      </c>
      <c r="AA584" s="57"/>
      <c r="AB584" s="57"/>
      <c r="AC584" s="59">
        <f t="shared" si="125"/>
        <v>5.3125000000000004E-3</v>
      </c>
      <c r="AD584" s="57"/>
      <c r="AE584" s="57"/>
      <c r="AF584" s="59"/>
    </row>
    <row r="585" spans="1:32">
      <c r="A585" s="24"/>
      <c r="B585" s="26" t="s">
        <v>523</v>
      </c>
      <c r="C585" s="26"/>
      <c r="D585" s="50"/>
      <c r="E585" s="51"/>
      <c r="F585" s="50"/>
      <c r="G585" s="52"/>
      <c r="H585" s="50"/>
      <c r="I585" s="53"/>
      <c r="J585" s="50"/>
      <c r="K585" s="53"/>
      <c r="L585" s="50"/>
      <c r="M585" s="57">
        <v>5.9837962962962961E-3</v>
      </c>
      <c r="N585" s="55">
        <v>5.9837962962962961E-3</v>
      </c>
      <c r="O585" s="57"/>
      <c r="P585" s="57"/>
      <c r="Q585" s="59">
        <f t="shared" si="126"/>
        <v>5.9837962962962961E-3</v>
      </c>
      <c r="R585" s="57"/>
      <c r="S585" s="57"/>
      <c r="T585" s="59">
        <f t="shared" si="127"/>
        <v>5.9837962962962961E-3</v>
      </c>
      <c r="U585" s="57"/>
      <c r="V585" s="57"/>
      <c r="W585" s="59">
        <f t="shared" si="128"/>
        <v>5.9837962962962961E-3</v>
      </c>
      <c r="X585" s="57"/>
      <c r="Y585" s="57"/>
      <c r="Z585" s="59">
        <f t="shared" si="121"/>
        <v>5.9837962962962961E-3</v>
      </c>
      <c r="AA585" s="57"/>
      <c r="AB585" s="57"/>
      <c r="AC585" s="59">
        <f t="shared" si="125"/>
        <v>5.9837962962962961E-3</v>
      </c>
      <c r="AD585" s="57"/>
      <c r="AE585" s="57"/>
      <c r="AF585" s="59"/>
    </row>
    <row r="586" spans="1:32">
      <c r="A586" s="24"/>
      <c r="B586" s="26" t="s">
        <v>115</v>
      </c>
      <c r="C586" s="26"/>
      <c r="D586" s="50"/>
      <c r="E586" s="51"/>
      <c r="F586" s="50" t="s">
        <v>455</v>
      </c>
      <c r="G586" s="52"/>
      <c r="H586" s="50"/>
      <c r="I586" s="53"/>
      <c r="J586" s="50" t="s">
        <v>455</v>
      </c>
      <c r="K586" s="53"/>
      <c r="L586" s="50"/>
      <c r="M586" s="57"/>
      <c r="N586" s="55"/>
      <c r="O586" s="57"/>
      <c r="P586" s="57"/>
      <c r="Q586" s="59" t="str">
        <f t="shared" si="126"/>
        <v/>
      </c>
      <c r="R586" s="57"/>
      <c r="S586" s="57"/>
      <c r="T586" s="59" t="str">
        <f t="shared" si="127"/>
        <v/>
      </c>
      <c r="U586" s="57"/>
      <c r="V586" s="57"/>
      <c r="W586" s="59" t="str">
        <f t="shared" si="128"/>
        <v/>
      </c>
      <c r="X586" s="57"/>
      <c r="Y586" s="57"/>
      <c r="Z586" s="59" t="str">
        <f t="shared" si="121"/>
        <v/>
      </c>
      <c r="AA586" s="57"/>
      <c r="AB586" s="57"/>
      <c r="AC586" s="59" t="str">
        <f t="shared" si="125"/>
        <v/>
      </c>
      <c r="AD586" s="57"/>
      <c r="AE586" s="57"/>
      <c r="AF586" s="59"/>
    </row>
    <row r="587" spans="1:32">
      <c r="A587" s="24"/>
      <c r="B587" s="26" t="s">
        <v>122</v>
      </c>
      <c r="C587" s="26" t="s">
        <v>450</v>
      </c>
      <c r="D587" s="50">
        <v>9.31</v>
      </c>
      <c r="E587" s="51"/>
      <c r="F587" s="50">
        <v>9.31</v>
      </c>
      <c r="G587" s="52"/>
      <c r="H587" s="50">
        <v>9.31</v>
      </c>
      <c r="I587" s="53"/>
      <c r="J587" s="50">
        <v>9.31</v>
      </c>
      <c r="K587" s="53"/>
      <c r="L587" s="50">
        <v>9.31</v>
      </c>
      <c r="M587" s="57"/>
      <c r="N587" s="55">
        <v>6.6087962962962966E-3</v>
      </c>
      <c r="O587" s="57"/>
      <c r="P587" s="57"/>
      <c r="Q587" s="59">
        <f t="shared" si="126"/>
        <v>6.6087962962962966E-3</v>
      </c>
      <c r="R587" s="57"/>
      <c r="S587" s="57"/>
      <c r="T587" s="59">
        <f t="shared" si="127"/>
        <v>6.6087962962962966E-3</v>
      </c>
      <c r="U587" s="57"/>
      <c r="V587" s="57"/>
      <c r="W587" s="59">
        <f t="shared" si="128"/>
        <v>6.6087962962962966E-3</v>
      </c>
      <c r="X587" s="57"/>
      <c r="Y587" s="57"/>
      <c r="Z587" s="59">
        <f t="shared" si="121"/>
        <v>6.6087962962962966E-3</v>
      </c>
      <c r="AA587" s="57"/>
      <c r="AB587" s="57"/>
      <c r="AC587" s="59">
        <f t="shared" si="125"/>
        <v>6.6087962962962966E-3</v>
      </c>
      <c r="AD587" s="57"/>
      <c r="AE587" s="57"/>
      <c r="AF587" s="59"/>
    </row>
    <row r="588" spans="1:32">
      <c r="A588" s="24"/>
      <c r="B588" s="26" t="s">
        <v>127</v>
      </c>
      <c r="C588" s="26" t="s">
        <v>450</v>
      </c>
      <c r="D588" s="50"/>
      <c r="E588" s="51"/>
      <c r="F588" s="50" t="s">
        <v>455</v>
      </c>
      <c r="G588" s="52"/>
      <c r="H588" s="50"/>
      <c r="I588" s="53"/>
      <c r="J588" s="50" t="s">
        <v>455</v>
      </c>
      <c r="K588" s="53"/>
      <c r="L588" s="50"/>
      <c r="M588" s="57"/>
      <c r="N588" s="55"/>
      <c r="O588" s="57"/>
      <c r="P588" s="57"/>
      <c r="Q588" s="59" t="str">
        <f t="shared" si="126"/>
        <v/>
      </c>
      <c r="R588" s="57"/>
      <c r="S588" s="57"/>
      <c r="T588" s="59" t="str">
        <f t="shared" si="127"/>
        <v/>
      </c>
      <c r="U588" s="57"/>
      <c r="V588" s="57"/>
      <c r="W588" s="59" t="str">
        <f t="shared" si="128"/>
        <v/>
      </c>
      <c r="X588" s="57"/>
      <c r="Y588" s="57"/>
      <c r="Z588" s="59" t="str">
        <f t="shared" si="121"/>
        <v/>
      </c>
      <c r="AA588" s="57"/>
      <c r="AB588" s="57"/>
      <c r="AC588" s="59" t="str">
        <f t="shared" si="125"/>
        <v/>
      </c>
      <c r="AD588" s="57"/>
      <c r="AE588" s="57"/>
      <c r="AF588" s="59"/>
    </row>
    <row r="589" spans="1:32">
      <c r="A589" s="24" t="s">
        <v>326</v>
      </c>
      <c r="B589" s="26" t="s">
        <v>132</v>
      </c>
      <c r="C589" s="26" t="s">
        <v>450</v>
      </c>
      <c r="D589" s="50"/>
      <c r="E589" s="51"/>
      <c r="F589" s="50" t="s">
        <v>455</v>
      </c>
      <c r="G589" s="52"/>
      <c r="H589" s="50"/>
      <c r="I589" s="53">
        <v>6.49</v>
      </c>
      <c r="J589" s="50">
        <v>6.49</v>
      </c>
      <c r="K589" s="53">
        <v>7.05</v>
      </c>
      <c r="L589" s="50">
        <v>6.49</v>
      </c>
      <c r="M589" s="57"/>
      <c r="N589" s="55">
        <v>4.7337962962962958E-3</v>
      </c>
      <c r="O589" s="57">
        <v>4.8263888888888887E-3</v>
      </c>
      <c r="P589" s="57"/>
      <c r="Q589" s="59">
        <f t="shared" si="126"/>
        <v>4.7337962962962958E-3</v>
      </c>
      <c r="R589" s="57">
        <v>4.8032407407407407E-3</v>
      </c>
      <c r="S589" s="57"/>
      <c r="T589" s="59">
        <f t="shared" si="127"/>
        <v>4.7337962962962958E-3</v>
      </c>
      <c r="U589" s="57">
        <v>4.8032407407407407E-3</v>
      </c>
      <c r="V589" s="57"/>
      <c r="W589" s="59">
        <f t="shared" si="128"/>
        <v>4.7337962962962958E-3</v>
      </c>
      <c r="X589" s="57">
        <v>4.7916666666666672E-3</v>
      </c>
      <c r="Y589" s="57"/>
      <c r="Z589" s="59">
        <f t="shared" si="121"/>
        <v>4.7337962962962958E-3</v>
      </c>
      <c r="AA589" s="57"/>
      <c r="AB589" s="57"/>
      <c r="AC589" s="59">
        <f t="shared" si="125"/>
        <v>4.7337962962962958E-3</v>
      </c>
      <c r="AD589" s="57"/>
      <c r="AE589" s="57"/>
      <c r="AF589" s="59"/>
    </row>
    <row r="590" spans="1:32">
      <c r="A590" s="24"/>
      <c r="B590" s="26" t="s">
        <v>138</v>
      </c>
      <c r="C590" s="26" t="s">
        <v>450</v>
      </c>
      <c r="D590" s="50">
        <v>10.119999999999999</v>
      </c>
      <c r="E590" s="51"/>
      <c r="F590" s="50">
        <v>10.119999999999999</v>
      </c>
      <c r="G590" s="52"/>
      <c r="H590" s="50">
        <v>10.119999999999999</v>
      </c>
      <c r="I590" s="53"/>
      <c r="J590" s="50">
        <v>10.119999999999999</v>
      </c>
      <c r="K590" s="53"/>
      <c r="L590" s="50">
        <v>10.119999999999999</v>
      </c>
      <c r="M590" s="57"/>
      <c r="N590" s="55">
        <v>7.083333333333333E-3</v>
      </c>
      <c r="O590" s="57"/>
      <c r="P590" s="57"/>
      <c r="Q590" s="59">
        <f t="shared" si="126"/>
        <v>7.083333333333333E-3</v>
      </c>
      <c r="R590" s="57"/>
      <c r="S590" s="57"/>
      <c r="T590" s="59">
        <f t="shared" si="127"/>
        <v>7.083333333333333E-3</v>
      </c>
      <c r="U590" s="57"/>
      <c r="V590" s="57"/>
      <c r="W590" s="59">
        <f t="shared" si="128"/>
        <v>7.083333333333333E-3</v>
      </c>
      <c r="X590" s="57"/>
      <c r="Y590" s="57"/>
      <c r="Z590" s="59">
        <f t="shared" si="121"/>
        <v>7.083333333333333E-3</v>
      </c>
      <c r="AA590" s="57"/>
      <c r="AB590" s="57"/>
      <c r="AC590" s="59">
        <f t="shared" si="125"/>
        <v>7.083333333333333E-3</v>
      </c>
      <c r="AD590" s="57"/>
      <c r="AE590" s="57"/>
      <c r="AF590" s="59"/>
    </row>
    <row r="591" spans="1:32">
      <c r="A591" s="24"/>
      <c r="B591" s="26" t="s">
        <v>465</v>
      </c>
      <c r="C591" s="26" t="s">
        <v>450</v>
      </c>
      <c r="D591" s="50"/>
      <c r="E591" s="51"/>
      <c r="F591" s="50"/>
      <c r="G591" s="52"/>
      <c r="H591" s="50"/>
      <c r="I591" s="53"/>
      <c r="J591" s="50"/>
      <c r="K591" s="53"/>
      <c r="L591" s="50"/>
      <c r="M591" s="57"/>
      <c r="N591" s="55"/>
      <c r="O591" s="57"/>
      <c r="P591" s="57"/>
      <c r="Q591" s="59" t="str">
        <f t="shared" si="126"/>
        <v/>
      </c>
      <c r="R591" s="57"/>
      <c r="S591" s="57"/>
      <c r="T591" s="59" t="str">
        <f t="shared" si="127"/>
        <v/>
      </c>
      <c r="U591" s="57"/>
      <c r="V591" s="57"/>
      <c r="W591" s="59" t="str">
        <f t="shared" si="128"/>
        <v/>
      </c>
      <c r="X591" s="57"/>
      <c r="Y591" s="57"/>
      <c r="Z591" s="59" t="str">
        <f t="shared" si="121"/>
        <v/>
      </c>
      <c r="AA591" s="57"/>
      <c r="AB591" s="57"/>
      <c r="AC591" s="59" t="str">
        <f t="shared" si="125"/>
        <v/>
      </c>
      <c r="AD591" s="57"/>
      <c r="AE591" s="57"/>
      <c r="AF591" s="59"/>
    </row>
    <row r="592" spans="1:32">
      <c r="A592" s="24" t="s">
        <v>326</v>
      </c>
      <c r="B592" s="26" t="s">
        <v>145</v>
      </c>
      <c r="C592" s="26" t="s">
        <v>450</v>
      </c>
      <c r="D592" s="50">
        <v>7.07</v>
      </c>
      <c r="E592" s="51"/>
      <c r="F592" s="50">
        <v>7.07</v>
      </c>
      <c r="G592" s="52"/>
      <c r="H592" s="50">
        <v>7.07</v>
      </c>
      <c r="I592" s="53"/>
      <c r="J592" s="50">
        <v>7.07</v>
      </c>
      <c r="K592" s="53"/>
      <c r="L592" s="50">
        <v>7.07</v>
      </c>
      <c r="M592" s="57"/>
      <c r="N592" s="55">
        <v>4.9421296296296288E-3</v>
      </c>
      <c r="O592" s="57"/>
      <c r="P592" s="57"/>
      <c r="Q592" s="59">
        <f t="shared" si="126"/>
        <v>4.9421296296296288E-3</v>
      </c>
      <c r="R592" s="57"/>
      <c r="S592" s="57"/>
      <c r="T592" s="59">
        <f t="shared" si="127"/>
        <v>4.9421296296296288E-3</v>
      </c>
      <c r="U592" s="57"/>
      <c r="V592" s="57"/>
      <c r="W592" s="59">
        <f t="shared" si="128"/>
        <v>4.9421296296296288E-3</v>
      </c>
      <c r="X592" s="57"/>
      <c r="Y592" s="57"/>
      <c r="Z592" s="59">
        <f t="shared" si="121"/>
        <v>4.9421296296296288E-3</v>
      </c>
      <c r="AA592" s="57"/>
      <c r="AB592" s="57"/>
      <c r="AC592" s="59">
        <f t="shared" si="125"/>
        <v>4.9421296296296288E-3</v>
      </c>
      <c r="AD592" s="57"/>
      <c r="AE592" s="57"/>
      <c r="AF592" s="59"/>
    </row>
    <row r="593" spans="1:32">
      <c r="A593" s="24" t="s">
        <v>326</v>
      </c>
      <c r="B593" s="26" t="s">
        <v>733</v>
      </c>
      <c r="C593" s="26"/>
      <c r="D593" s="50"/>
      <c r="E593" s="51"/>
      <c r="F593" s="50"/>
      <c r="G593" s="52"/>
      <c r="H593" s="50"/>
      <c r="I593" s="53"/>
      <c r="J593" s="50"/>
      <c r="K593" s="53"/>
      <c r="L593" s="50"/>
      <c r="M593" s="57"/>
      <c r="N593" s="55"/>
      <c r="O593" s="57"/>
      <c r="P593" s="57"/>
      <c r="Q593" s="59"/>
      <c r="R593" s="57"/>
      <c r="S593" s="57"/>
      <c r="T593" s="59"/>
      <c r="U593" s="57"/>
      <c r="V593" s="57"/>
      <c r="W593" s="59"/>
      <c r="X593" s="57"/>
      <c r="Y593" s="57"/>
      <c r="Z593" s="59"/>
      <c r="AA593" s="57"/>
      <c r="AB593" s="57"/>
      <c r="AC593" s="59"/>
      <c r="AD593" s="57"/>
      <c r="AE593" s="57"/>
      <c r="AF593" s="59"/>
    </row>
    <row r="594" spans="1:32">
      <c r="A594" s="24"/>
      <c r="B594" s="26" t="s">
        <v>151</v>
      </c>
      <c r="C594" s="26" t="s">
        <v>450</v>
      </c>
      <c r="D594" s="50">
        <v>7.07</v>
      </c>
      <c r="E594" s="51"/>
      <c r="F594" s="50">
        <v>7.07</v>
      </c>
      <c r="G594" s="52"/>
      <c r="H594" s="50">
        <v>7.07</v>
      </c>
      <c r="I594" s="53"/>
      <c r="J594" s="50">
        <v>7.07</v>
      </c>
      <c r="K594" s="53"/>
      <c r="L594" s="50">
        <v>7.07</v>
      </c>
      <c r="M594" s="57"/>
      <c r="N594" s="55">
        <v>4.9421296296296288E-3</v>
      </c>
      <c r="O594" s="57"/>
      <c r="P594" s="57"/>
      <c r="Q594" s="59">
        <f>IF(MIN(IF(ISBLANK(O594),N594,O594),IF(ISBLANK(N594),O594,N594))=0,"",MIN(IF(ISBLANK(O594),N594,O594),IF(ISBLANK(N594),O594,N594)))</f>
        <v>4.9421296296296288E-3</v>
      </c>
      <c r="R594" s="57"/>
      <c r="S594" s="57"/>
      <c r="T594" s="59">
        <f>IF(MIN(IF(ISBLANK(R594),Q594,R594),IF(ISBLANK(Q594),R594,Q594))=0,"",MIN(IF(ISBLANK(R594),Q594,R594),IF(ISBLANK(Q594),R594,Q594)))</f>
        <v>4.9421296296296288E-3</v>
      </c>
      <c r="U594" s="57"/>
      <c r="V594" s="57"/>
      <c r="W594" s="59">
        <f>IF(MIN(IF(ISBLANK(U594),T594,U594),IF(ISBLANK(T594),U594,T594))=0,"",MIN(IF(ISBLANK(U594),T594,U594),IF(ISBLANK(T594),U594,T594)))</f>
        <v>4.9421296296296288E-3</v>
      </c>
      <c r="X594" s="57"/>
      <c r="Y594" s="57"/>
      <c r="Z594" s="59">
        <f t="shared" ref="Z594:Z606" si="129">IF(MIN(IF(ISBLANK(X594),W594,X594),IF(ISBLANK(W594),X594,W594))=0,"",MIN(IF(ISBLANK(X594),W594,X594),IF(ISBLANK(W594),X594,W594)))</f>
        <v>4.9421296296296288E-3</v>
      </c>
      <c r="AA594" s="57"/>
      <c r="AB594" s="57"/>
      <c r="AC594" s="59">
        <f t="shared" ref="AC594:AC627" si="130">IF(MIN(IF(ISBLANK(Z594),AA594,Z594),IF(ISBLANK(AA594),Z594,AA594))=0,"",MIN(IF(ISBLANK(Z594),AA594,Z594),IF(ISBLANK(AA594),Z594,AA594)))</f>
        <v>4.9421296296296288E-3</v>
      </c>
      <c r="AD594" s="57"/>
      <c r="AE594" s="57"/>
      <c r="AF594" s="59"/>
    </row>
    <row r="595" spans="1:32">
      <c r="A595" s="24"/>
      <c r="B595" s="26" t="s">
        <v>686</v>
      </c>
      <c r="C595" s="26"/>
      <c r="D595" s="50"/>
      <c r="E595" s="51"/>
      <c r="F595" s="50"/>
      <c r="G595" s="52"/>
      <c r="H595" s="50"/>
      <c r="I595" s="53"/>
      <c r="J595" s="50"/>
      <c r="K595" s="53"/>
      <c r="L595" s="50"/>
      <c r="M595" s="57"/>
      <c r="N595" s="55"/>
      <c r="O595" s="57"/>
      <c r="P595" s="57"/>
      <c r="Q595" s="59"/>
      <c r="R595" s="57"/>
      <c r="S595" s="57"/>
      <c r="T595" s="59"/>
      <c r="U595" s="57"/>
      <c r="V595" s="57"/>
      <c r="W595" s="59"/>
      <c r="X595" s="57">
        <v>5.1736111111111115E-3</v>
      </c>
      <c r="Y595" s="57"/>
      <c r="Z595" s="59">
        <f t="shared" si="129"/>
        <v>5.1736111111111115E-3</v>
      </c>
      <c r="AA595" s="57"/>
      <c r="AB595" s="57"/>
      <c r="AC595" s="59">
        <f t="shared" si="130"/>
        <v>5.1736111111111115E-3</v>
      </c>
      <c r="AD595" s="57"/>
      <c r="AE595" s="57"/>
      <c r="AF595" s="59"/>
    </row>
    <row r="596" spans="1:32">
      <c r="A596" s="24"/>
      <c r="B596" s="26" t="s">
        <v>590</v>
      </c>
      <c r="C596" s="26"/>
      <c r="D596" s="50"/>
      <c r="E596" s="51"/>
      <c r="F596" s="50"/>
      <c r="G596" s="52"/>
      <c r="H596" s="50"/>
      <c r="I596" s="53"/>
      <c r="J596" s="50"/>
      <c r="K596" s="53"/>
      <c r="L596" s="50"/>
      <c r="M596" s="57"/>
      <c r="N596" s="55"/>
      <c r="O596" s="57"/>
      <c r="P596" s="57"/>
      <c r="Q596" s="59"/>
      <c r="R596" s="57"/>
      <c r="S596" s="57"/>
      <c r="T596" s="59" t="str">
        <f>IF(MIN(IF(ISBLANK(R596),Q596,R596),IF(ISBLANK(Q596),R596,Q596))=0,"",MIN(IF(ISBLANK(R596),Q596,R596),IF(ISBLANK(Q596),R596,Q596)))</f>
        <v/>
      </c>
      <c r="U596" s="57"/>
      <c r="V596" s="57"/>
      <c r="W596" s="59" t="str">
        <f>IF(MIN(IF(ISBLANK(U596),T596,U596),IF(ISBLANK(T596),U596,T596))=0,"",MIN(IF(ISBLANK(U596),T596,U596),IF(ISBLANK(T596),U596,T596)))</f>
        <v/>
      </c>
      <c r="X596" s="57"/>
      <c r="Y596" s="57"/>
      <c r="Z596" s="59" t="str">
        <f t="shared" si="129"/>
        <v/>
      </c>
      <c r="AA596" s="57"/>
      <c r="AB596" s="57"/>
      <c r="AC596" s="59" t="str">
        <f t="shared" si="130"/>
        <v/>
      </c>
      <c r="AD596" s="57"/>
      <c r="AE596" s="57"/>
      <c r="AF596" s="59"/>
    </row>
    <row r="597" spans="1:32">
      <c r="A597" s="24"/>
      <c r="B597" s="26" t="s">
        <v>695</v>
      </c>
      <c r="C597" s="26"/>
      <c r="D597" s="50"/>
      <c r="E597" s="51"/>
      <c r="F597" s="50"/>
      <c r="G597" s="52"/>
      <c r="H597" s="50"/>
      <c r="I597" s="53"/>
      <c r="J597" s="50"/>
      <c r="K597" s="53"/>
      <c r="L597" s="50"/>
      <c r="M597" s="57"/>
      <c r="N597" s="55"/>
      <c r="O597" s="57"/>
      <c r="P597" s="57"/>
      <c r="Q597" s="59"/>
      <c r="R597" s="57"/>
      <c r="S597" s="57"/>
      <c r="T597" s="59"/>
      <c r="U597" s="57"/>
      <c r="V597" s="57"/>
      <c r="W597" s="59"/>
      <c r="X597" s="57"/>
      <c r="Y597" s="57"/>
      <c r="Z597" s="59" t="str">
        <f t="shared" si="129"/>
        <v/>
      </c>
      <c r="AA597" s="57"/>
      <c r="AB597" s="57"/>
      <c r="AC597" s="59" t="str">
        <f t="shared" si="130"/>
        <v/>
      </c>
      <c r="AD597" s="57"/>
      <c r="AE597" s="57"/>
      <c r="AF597" s="59"/>
    </row>
    <row r="598" spans="1:32">
      <c r="A598" s="24" t="s">
        <v>326</v>
      </c>
      <c r="B598" s="26" t="s">
        <v>163</v>
      </c>
      <c r="C598" s="26" t="s">
        <v>451</v>
      </c>
      <c r="D598" s="50"/>
      <c r="E598" s="51"/>
      <c r="F598" s="50" t="s">
        <v>455</v>
      </c>
      <c r="G598" s="52"/>
      <c r="H598" s="50"/>
      <c r="I598" s="53"/>
      <c r="J598" s="50" t="s">
        <v>455</v>
      </c>
      <c r="K598" s="53"/>
      <c r="L598" s="50"/>
      <c r="M598" s="57"/>
      <c r="N598" s="55"/>
      <c r="O598" s="57"/>
      <c r="P598" s="57"/>
      <c r="Q598" s="59" t="str">
        <f>IF(MIN(IF(ISBLANK(O598),N598,O598),IF(ISBLANK(N598),O598,N598))=0,"",MIN(IF(ISBLANK(O598),N598,O598),IF(ISBLANK(N598),O598,N598)))</f>
        <v/>
      </c>
      <c r="R598" s="57"/>
      <c r="S598" s="57"/>
      <c r="T598" s="59" t="str">
        <f>IF(MIN(IF(ISBLANK(R598),Q598,R598),IF(ISBLANK(Q598),R598,Q598))=0,"",MIN(IF(ISBLANK(R598),Q598,R598),IF(ISBLANK(Q598),R598,Q598)))</f>
        <v/>
      </c>
      <c r="U598" s="57"/>
      <c r="V598" s="57"/>
      <c r="W598" s="59" t="str">
        <f>IF(MIN(IF(ISBLANK(U598),T598,U598),IF(ISBLANK(T598),U598,T598))=0,"",MIN(IF(ISBLANK(U598),T598,U598),IF(ISBLANK(T598),U598,T598)))</f>
        <v/>
      </c>
      <c r="X598" s="57">
        <v>6.6550925925925935E-3</v>
      </c>
      <c r="Y598" s="57"/>
      <c r="Z598" s="59">
        <f t="shared" si="129"/>
        <v>6.6550925925925935E-3</v>
      </c>
      <c r="AA598" s="57"/>
      <c r="AB598" s="57"/>
      <c r="AC598" s="59">
        <f t="shared" si="130"/>
        <v>6.6550925925925935E-3</v>
      </c>
      <c r="AD598" s="57"/>
      <c r="AE598" s="57"/>
      <c r="AF598" s="59"/>
    </row>
    <row r="599" spans="1:32">
      <c r="A599" s="24"/>
      <c r="B599" s="26" t="s">
        <v>170</v>
      </c>
      <c r="C599" s="26" t="s">
        <v>450</v>
      </c>
      <c r="D599" s="50" t="s">
        <v>261</v>
      </c>
      <c r="E599" s="51"/>
      <c r="F599" s="50" t="s">
        <v>261</v>
      </c>
      <c r="G599" s="52"/>
      <c r="H599" s="50" t="s">
        <v>261</v>
      </c>
      <c r="I599" s="53"/>
      <c r="J599" s="50" t="s">
        <v>261</v>
      </c>
      <c r="K599" s="53"/>
      <c r="L599" s="50" t="s">
        <v>261</v>
      </c>
      <c r="M599" s="57"/>
      <c r="N599" s="55">
        <v>6.0185185185185177E-3</v>
      </c>
      <c r="O599" s="57"/>
      <c r="P599" s="57"/>
      <c r="Q599" s="59">
        <f>IF(MIN(IF(ISBLANK(O599),N599,O599),IF(ISBLANK(N599),O599,N599))=0,"",MIN(IF(ISBLANK(O599),N599,O599),IF(ISBLANK(N599),O599,N599)))</f>
        <v>6.0185185185185177E-3</v>
      </c>
      <c r="R599" s="57"/>
      <c r="S599" s="57"/>
      <c r="T599" s="59">
        <f>IF(MIN(IF(ISBLANK(R599),Q599,R599),IF(ISBLANK(Q599),R599,Q599))=0,"",MIN(IF(ISBLANK(R599),Q599,R599),IF(ISBLANK(Q599),R599,Q599)))</f>
        <v>6.0185185185185177E-3</v>
      </c>
      <c r="U599" s="57"/>
      <c r="V599" s="57"/>
      <c r="W599" s="59">
        <f>IF(MIN(IF(ISBLANK(U599),T599,U599),IF(ISBLANK(T599),U599,T599))=0,"",MIN(IF(ISBLANK(U599),T599,U599),IF(ISBLANK(T599),U599,T599)))</f>
        <v>6.0185185185185177E-3</v>
      </c>
      <c r="X599" s="57"/>
      <c r="Y599" s="57"/>
      <c r="Z599" s="59">
        <f t="shared" si="129"/>
        <v>6.0185185185185177E-3</v>
      </c>
      <c r="AA599" s="57"/>
      <c r="AB599" s="57"/>
      <c r="AC599" s="59">
        <f t="shared" si="130"/>
        <v>6.0185185185185177E-3</v>
      </c>
      <c r="AD599" s="57"/>
      <c r="AE599" s="57"/>
      <c r="AF599" s="59"/>
    </row>
    <row r="600" spans="1:32">
      <c r="A600" s="24"/>
      <c r="B600" s="26" t="s">
        <v>598</v>
      </c>
      <c r="C600" s="26"/>
      <c r="D600" s="50"/>
      <c r="E600" s="51"/>
      <c r="F600" s="50"/>
      <c r="G600" s="52"/>
      <c r="H600" s="50"/>
      <c r="I600" s="53"/>
      <c r="J600" s="50"/>
      <c r="K600" s="53"/>
      <c r="L600" s="50"/>
      <c r="M600" s="57"/>
      <c r="N600" s="55"/>
      <c r="O600" s="57">
        <v>1.1574074074074075E-2</v>
      </c>
      <c r="P600" s="57"/>
      <c r="Q600" s="59">
        <f>IF(MIN(IF(ISBLANK(O600),N600,O600),IF(ISBLANK(N600),O600,N600))=0,"",MIN(IF(ISBLANK(O600),N600,O600),IF(ISBLANK(N600),O600,N600)))</f>
        <v>1.1574074074074075E-2</v>
      </c>
      <c r="R600" s="57"/>
      <c r="S600" s="57"/>
      <c r="T600" s="59">
        <f>IF(MIN(IF(ISBLANK(R600),Q600,R600),IF(ISBLANK(Q600),R600,Q600))=0,"",MIN(IF(ISBLANK(R600),Q600,R600),IF(ISBLANK(Q600),R600,Q600)))</f>
        <v>1.1574074074074075E-2</v>
      </c>
      <c r="U600" s="57"/>
      <c r="V600" s="57"/>
      <c r="W600" s="59">
        <f>IF(MIN(IF(ISBLANK(U600),T600,U600),IF(ISBLANK(T600),U600,T600))=0,"",MIN(IF(ISBLANK(U600),T600,U600),IF(ISBLANK(T600),U600,T600)))</f>
        <v>1.1574074074074075E-2</v>
      </c>
      <c r="X600" s="57"/>
      <c r="Y600" s="57"/>
      <c r="Z600" s="59">
        <f t="shared" si="129"/>
        <v>1.1574074074074075E-2</v>
      </c>
      <c r="AA600" s="57"/>
      <c r="AB600" s="57"/>
      <c r="AC600" s="59">
        <f t="shared" si="130"/>
        <v>1.1574074074074075E-2</v>
      </c>
      <c r="AD600" s="57"/>
      <c r="AE600" s="57"/>
      <c r="AF600" s="59"/>
    </row>
    <row r="601" spans="1:32">
      <c r="A601" s="24"/>
      <c r="B601" s="26" t="s">
        <v>687</v>
      </c>
      <c r="C601" s="26"/>
      <c r="D601" s="50"/>
      <c r="E601" s="51"/>
      <c r="F601" s="50"/>
      <c r="G601" s="52"/>
      <c r="H601" s="50"/>
      <c r="I601" s="53"/>
      <c r="J601" s="50"/>
      <c r="K601" s="53"/>
      <c r="L601" s="50"/>
      <c r="M601" s="57"/>
      <c r="N601" s="55"/>
      <c r="O601" s="57"/>
      <c r="P601" s="57"/>
      <c r="Q601" s="59"/>
      <c r="R601" s="57"/>
      <c r="S601" s="57"/>
      <c r="T601" s="59"/>
      <c r="U601" s="57"/>
      <c r="V601" s="57"/>
      <c r="W601" s="59"/>
      <c r="X601" s="57"/>
      <c r="Y601" s="57"/>
      <c r="Z601" s="59" t="str">
        <f t="shared" si="129"/>
        <v/>
      </c>
      <c r="AA601" s="57"/>
      <c r="AB601" s="57"/>
      <c r="AC601" s="59" t="str">
        <f t="shared" si="130"/>
        <v/>
      </c>
      <c r="AD601" s="57"/>
      <c r="AE601" s="57"/>
      <c r="AF601" s="59"/>
    </row>
    <row r="602" spans="1:32">
      <c r="A602" s="24"/>
      <c r="B602" s="26" t="s">
        <v>177</v>
      </c>
      <c r="C602" s="26" t="s">
        <v>450</v>
      </c>
      <c r="D602" s="50"/>
      <c r="E602" s="51"/>
      <c r="F602" s="50" t="s">
        <v>455</v>
      </c>
      <c r="G602" s="52"/>
      <c r="H602" s="50"/>
      <c r="I602" s="53"/>
      <c r="J602" s="50" t="s">
        <v>455</v>
      </c>
      <c r="K602" s="53"/>
      <c r="L602" s="50"/>
      <c r="M602" s="57"/>
      <c r="N602" s="55"/>
      <c r="O602" s="57"/>
      <c r="P602" s="57"/>
      <c r="Q602" s="59" t="str">
        <f>IF(MIN(IF(ISBLANK(O602),N602,O602),IF(ISBLANK(N602),O602,N602))=0,"",MIN(IF(ISBLANK(O602),N602,O602),IF(ISBLANK(N602),O602,N602)))</f>
        <v/>
      </c>
      <c r="R602" s="57"/>
      <c r="S602" s="57"/>
      <c r="T602" s="59" t="str">
        <f>IF(MIN(IF(ISBLANK(R602),Q602,R602),IF(ISBLANK(Q602),R602,Q602))=0,"",MIN(IF(ISBLANK(R602),Q602,R602),IF(ISBLANK(Q602),R602,Q602)))</f>
        <v/>
      </c>
      <c r="U602" s="57"/>
      <c r="V602" s="57"/>
      <c r="W602" s="59" t="str">
        <f>IF(MIN(IF(ISBLANK(U602),T602,U602),IF(ISBLANK(T602),U602,T602))=0,"",MIN(IF(ISBLANK(U602),T602,U602),IF(ISBLANK(T602),U602,T602)))</f>
        <v/>
      </c>
      <c r="X602" s="57"/>
      <c r="Y602" s="57"/>
      <c r="Z602" s="59" t="str">
        <f t="shared" si="129"/>
        <v/>
      </c>
      <c r="AA602" s="57"/>
      <c r="AB602" s="57"/>
      <c r="AC602" s="59" t="str">
        <f t="shared" si="130"/>
        <v/>
      </c>
      <c r="AD602" s="57"/>
      <c r="AE602" s="57"/>
      <c r="AF602" s="59"/>
    </row>
    <row r="603" spans="1:32">
      <c r="A603" s="24"/>
      <c r="B603" s="26" t="s">
        <v>698</v>
      </c>
      <c r="C603" s="26"/>
      <c r="D603" s="50"/>
      <c r="E603" s="51"/>
      <c r="F603" s="50"/>
      <c r="G603" s="52"/>
      <c r="H603" s="50"/>
      <c r="I603" s="53"/>
      <c r="J603" s="50"/>
      <c r="K603" s="53"/>
      <c r="L603" s="50"/>
      <c r="M603" s="57"/>
      <c r="N603" s="55"/>
      <c r="O603" s="57"/>
      <c r="P603" s="57"/>
      <c r="Q603" s="59"/>
      <c r="R603" s="57"/>
      <c r="S603" s="57"/>
      <c r="T603" s="59"/>
      <c r="U603" s="57"/>
      <c r="V603" s="57"/>
      <c r="W603" s="59"/>
      <c r="X603" s="57"/>
      <c r="Y603" s="57"/>
      <c r="Z603" s="59" t="str">
        <f t="shared" si="129"/>
        <v/>
      </c>
      <c r="AA603" s="57"/>
      <c r="AB603" s="57"/>
      <c r="AC603" s="59" t="str">
        <f t="shared" si="130"/>
        <v/>
      </c>
      <c r="AD603" s="57"/>
      <c r="AE603" s="57"/>
      <c r="AF603" s="59"/>
    </row>
    <row r="604" spans="1:32">
      <c r="A604" s="24" t="s">
        <v>326</v>
      </c>
      <c r="B604" s="26" t="s">
        <v>688</v>
      </c>
      <c r="C604" s="26"/>
      <c r="D604" s="50"/>
      <c r="E604" s="51"/>
      <c r="F604" s="50"/>
      <c r="G604" s="52"/>
      <c r="H604" s="50"/>
      <c r="I604" s="53"/>
      <c r="J604" s="50"/>
      <c r="K604" s="53"/>
      <c r="L604" s="50"/>
      <c r="M604" s="57"/>
      <c r="N604" s="55"/>
      <c r="O604" s="57"/>
      <c r="P604" s="57"/>
      <c r="Q604" s="59"/>
      <c r="R604" s="57"/>
      <c r="S604" s="57"/>
      <c r="T604" s="59"/>
      <c r="U604" s="57"/>
      <c r="V604" s="57"/>
      <c r="W604" s="59"/>
      <c r="X604" s="57"/>
      <c r="Y604" s="57"/>
      <c r="Z604" s="59" t="str">
        <f t="shared" si="129"/>
        <v/>
      </c>
      <c r="AA604" s="57"/>
      <c r="AB604" s="57"/>
      <c r="AC604" s="59" t="str">
        <f t="shared" si="130"/>
        <v/>
      </c>
      <c r="AD604" s="57"/>
      <c r="AE604" s="57"/>
      <c r="AF604" s="59"/>
    </row>
    <row r="605" spans="1:32">
      <c r="A605" s="24"/>
      <c r="B605" s="26" t="s">
        <v>505</v>
      </c>
      <c r="C605" s="26"/>
      <c r="D605" s="50"/>
      <c r="E605" s="51"/>
      <c r="F605" s="50"/>
      <c r="G605" s="52"/>
      <c r="H605" s="50"/>
      <c r="I605" s="53"/>
      <c r="J605" s="50"/>
      <c r="K605" s="53"/>
      <c r="L605" s="50"/>
      <c r="M605" s="57">
        <v>6.2499999999999995E-3</v>
      </c>
      <c r="N605" s="55">
        <v>6.2499999999999995E-3</v>
      </c>
      <c r="O605" s="57"/>
      <c r="P605" s="57"/>
      <c r="Q605" s="59">
        <f>IF(MIN(IF(ISBLANK(O605),N605,O605),IF(ISBLANK(N605),O605,N605))=0,"",MIN(IF(ISBLANK(O605),N605,O605),IF(ISBLANK(N605),O605,N605)))</f>
        <v>6.2499999999999995E-3</v>
      </c>
      <c r="R605" s="57"/>
      <c r="S605" s="57"/>
      <c r="T605" s="59">
        <f>IF(MIN(IF(ISBLANK(R605),Q605,R605),IF(ISBLANK(Q605),R605,Q605))=0,"",MIN(IF(ISBLANK(R605),Q605,R605),IF(ISBLANK(Q605),R605,Q605)))</f>
        <v>6.2499999999999995E-3</v>
      </c>
      <c r="U605" s="57"/>
      <c r="V605" s="57"/>
      <c r="W605" s="59">
        <f>IF(MIN(IF(ISBLANK(U605),T605,U605),IF(ISBLANK(T605),U605,T605))=0,"",MIN(IF(ISBLANK(U605),T605,U605),IF(ISBLANK(T605),U605,T605)))</f>
        <v>6.2499999999999995E-3</v>
      </c>
      <c r="X605" s="57"/>
      <c r="Y605" s="57"/>
      <c r="Z605" s="59">
        <f t="shared" si="129"/>
        <v>6.2499999999999995E-3</v>
      </c>
      <c r="AA605" s="57"/>
      <c r="AB605" s="57"/>
      <c r="AC605" s="59">
        <f t="shared" si="130"/>
        <v>6.2499999999999995E-3</v>
      </c>
      <c r="AD605" s="57"/>
      <c r="AE605" s="57"/>
      <c r="AF605" s="59"/>
    </row>
    <row r="606" spans="1:32">
      <c r="A606" s="24"/>
      <c r="B606" s="26" t="s">
        <v>608</v>
      </c>
      <c r="C606" s="26" t="s">
        <v>451</v>
      </c>
      <c r="D606" s="50"/>
      <c r="E606" s="51"/>
      <c r="F606" s="50"/>
      <c r="G606" s="52"/>
      <c r="H606" s="50"/>
      <c r="I606" s="53"/>
      <c r="J606" s="50"/>
      <c r="K606" s="53"/>
      <c r="L606" s="50"/>
      <c r="M606" s="57"/>
      <c r="N606" s="55"/>
      <c r="O606" s="57"/>
      <c r="P606" s="57"/>
      <c r="Q606" s="59"/>
      <c r="R606" s="57"/>
      <c r="S606" s="57"/>
      <c r="T606" s="59" t="str">
        <f>IF(MIN(IF(ISBLANK(R606),Q606,R606),IF(ISBLANK(Q606),R606,Q606))=0,"",MIN(IF(ISBLANK(R606),Q606,R606),IF(ISBLANK(Q606),R606,Q606)))</f>
        <v/>
      </c>
      <c r="U606" s="57"/>
      <c r="V606" s="57"/>
      <c r="W606" s="59" t="str">
        <f>IF(MIN(IF(ISBLANK(U606),T606,U606),IF(ISBLANK(T606),U606,T606))=0,"",MIN(IF(ISBLANK(U606),T606,U606),IF(ISBLANK(T606),U606,T606)))</f>
        <v/>
      </c>
      <c r="X606" s="57"/>
      <c r="Y606" s="57"/>
      <c r="Z606" s="59" t="str">
        <f t="shared" si="129"/>
        <v/>
      </c>
      <c r="AA606" s="57"/>
      <c r="AB606" s="57"/>
      <c r="AC606" s="59" t="str">
        <f t="shared" si="130"/>
        <v/>
      </c>
      <c r="AD606" s="57"/>
      <c r="AE606" s="57"/>
      <c r="AF606" s="59"/>
    </row>
    <row r="607" spans="1:32">
      <c r="A607" s="24" t="s">
        <v>326</v>
      </c>
      <c r="B607" s="26" t="s">
        <v>718</v>
      </c>
      <c r="C607" s="26"/>
      <c r="D607" s="50"/>
      <c r="E607" s="51"/>
      <c r="F607" s="50"/>
      <c r="G607" s="52"/>
      <c r="H607" s="50"/>
      <c r="I607" s="53"/>
      <c r="J607" s="50"/>
      <c r="K607" s="53"/>
      <c r="L607" s="50"/>
      <c r="M607" s="57"/>
      <c r="N607" s="55"/>
      <c r="O607" s="57"/>
      <c r="P607" s="57"/>
      <c r="Q607" s="59"/>
      <c r="R607" s="57"/>
      <c r="S607" s="57"/>
      <c r="T607" s="59"/>
      <c r="U607" s="57"/>
      <c r="V607" s="57"/>
      <c r="W607" s="59"/>
      <c r="X607" s="57"/>
      <c r="Y607" s="57"/>
      <c r="Z607" s="59"/>
      <c r="AA607" s="57"/>
      <c r="AB607" s="57"/>
      <c r="AC607" s="59" t="str">
        <f t="shared" si="130"/>
        <v/>
      </c>
      <c r="AD607" s="57"/>
      <c r="AE607" s="57"/>
      <c r="AF607" s="59"/>
    </row>
    <row r="608" spans="1:32">
      <c r="A608" s="24" t="s">
        <v>326</v>
      </c>
      <c r="B608" s="26" t="s">
        <v>548</v>
      </c>
      <c r="C608" s="26" t="s">
        <v>451</v>
      </c>
      <c r="D608" s="50"/>
      <c r="E608" s="51"/>
      <c r="F608" s="50"/>
      <c r="G608" s="52"/>
      <c r="H608" s="50"/>
      <c r="I608" s="53"/>
      <c r="J608" s="50"/>
      <c r="K608" s="53"/>
      <c r="L608" s="50"/>
      <c r="M608" s="57"/>
      <c r="N608" s="55"/>
      <c r="O608" s="57">
        <v>7.4421296296296293E-3</v>
      </c>
      <c r="P608" s="57"/>
      <c r="Q608" s="59">
        <f t="shared" ref="Q608:Q614" si="131">IF(MIN(IF(ISBLANK(O608),N608,O608),IF(ISBLANK(N608),O608,N608))=0,"",MIN(IF(ISBLANK(O608),N608,O608),IF(ISBLANK(N608),O608,N608)))</f>
        <v>7.4421296296296293E-3</v>
      </c>
      <c r="R608" s="57"/>
      <c r="S608" s="57"/>
      <c r="T608" s="59">
        <f t="shared" ref="T608:T614" si="132">IF(MIN(IF(ISBLANK(R608),Q608,R608),IF(ISBLANK(Q608),R608,Q608))=0,"",MIN(IF(ISBLANK(R608),Q608,R608),IF(ISBLANK(Q608),R608,Q608)))</f>
        <v>7.4421296296296293E-3</v>
      </c>
      <c r="U608" s="57">
        <v>7.3032407407407412E-3</v>
      </c>
      <c r="V608" s="57"/>
      <c r="W608" s="59">
        <f t="shared" ref="W608:W614" si="133">IF(MIN(IF(ISBLANK(U608),T608,U608),IF(ISBLANK(T608),U608,T608))=0,"",MIN(IF(ISBLANK(U608),T608,U608),IF(ISBLANK(T608),U608,T608)))</f>
        <v>7.3032407407407412E-3</v>
      </c>
      <c r="X608" s="57">
        <v>7.2106481481481475E-3</v>
      </c>
      <c r="Y608" s="57"/>
      <c r="Z608" s="59">
        <f t="shared" ref="Z608:Z614" si="134">IF(MIN(IF(ISBLANK(X608),W608,X608),IF(ISBLANK(W608),X608,W608))=0,"",MIN(IF(ISBLANK(X608),W608,X608),IF(ISBLANK(W608),X608,W608)))</f>
        <v>7.2106481481481475E-3</v>
      </c>
      <c r="AA608" s="57"/>
      <c r="AB608" s="57"/>
      <c r="AC608" s="59">
        <f t="shared" si="130"/>
        <v>7.2106481481481475E-3</v>
      </c>
      <c r="AD608" s="57"/>
      <c r="AE608" s="57"/>
      <c r="AF608" s="59"/>
    </row>
    <row r="609" spans="1:32">
      <c r="A609" s="24"/>
      <c r="B609" s="26" t="s">
        <v>347</v>
      </c>
      <c r="C609" s="26" t="s">
        <v>451</v>
      </c>
      <c r="D609" s="50"/>
      <c r="E609" s="51"/>
      <c r="F609" s="50" t="s">
        <v>455</v>
      </c>
      <c r="G609" s="52"/>
      <c r="H609" s="50"/>
      <c r="I609" s="53"/>
      <c r="J609" s="50" t="s">
        <v>455</v>
      </c>
      <c r="K609" s="53"/>
      <c r="L609" s="50"/>
      <c r="M609" s="57"/>
      <c r="N609" s="55"/>
      <c r="O609" s="57"/>
      <c r="P609" s="57"/>
      <c r="Q609" s="59" t="str">
        <f t="shared" si="131"/>
        <v/>
      </c>
      <c r="R609" s="57"/>
      <c r="S609" s="57"/>
      <c r="T609" s="59" t="str">
        <f t="shared" si="132"/>
        <v/>
      </c>
      <c r="U609" s="57"/>
      <c r="V609" s="57"/>
      <c r="W609" s="59" t="str">
        <f t="shared" si="133"/>
        <v/>
      </c>
      <c r="X609" s="57"/>
      <c r="Y609" s="57"/>
      <c r="Z609" s="59" t="str">
        <f t="shared" si="134"/>
        <v/>
      </c>
      <c r="AA609" s="57"/>
      <c r="AB609" s="57"/>
      <c r="AC609" s="59" t="str">
        <f t="shared" si="130"/>
        <v/>
      </c>
      <c r="AD609" s="57"/>
      <c r="AE609" s="57"/>
      <c r="AF609" s="59"/>
    </row>
    <row r="610" spans="1:32">
      <c r="A610" s="24"/>
      <c r="B610" s="26" t="s">
        <v>483</v>
      </c>
      <c r="C610" s="26" t="s">
        <v>450</v>
      </c>
      <c r="D610" s="50"/>
      <c r="E610" s="51"/>
      <c r="F610" s="50"/>
      <c r="G610" s="52"/>
      <c r="H610" s="50"/>
      <c r="I610" s="53"/>
      <c r="J610" s="50"/>
      <c r="K610" s="53">
        <v>10.02</v>
      </c>
      <c r="L610" s="50">
        <v>10.02</v>
      </c>
      <c r="M610" s="57"/>
      <c r="N610" s="55">
        <v>6.9675925925925921E-3</v>
      </c>
      <c r="O610" s="57"/>
      <c r="P610" s="57"/>
      <c r="Q610" s="59">
        <f t="shared" si="131"/>
        <v>6.9675925925925921E-3</v>
      </c>
      <c r="R610" s="57"/>
      <c r="S610" s="57"/>
      <c r="T610" s="59">
        <f t="shared" si="132"/>
        <v>6.9675925925925921E-3</v>
      </c>
      <c r="U610" s="57"/>
      <c r="V610" s="57"/>
      <c r="W610" s="59">
        <f t="shared" si="133"/>
        <v>6.9675925925925921E-3</v>
      </c>
      <c r="X610" s="57"/>
      <c r="Y610" s="57"/>
      <c r="Z610" s="59">
        <f t="shared" si="134"/>
        <v>6.9675925925925921E-3</v>
      </c>
      <c r="AA610" s="57"/>
      <c r="AB610" s="57"/>
      <c r="AC610" s="59">
        <f t="shared" si="130"/>
        <v>6.9675925925925921E-3</v>
      </c>
      <c r="AD610" s="57"/>
      <c r="AE610" s="57"/>
      <c r="AF610" s="59"/>
    </row>
    <row r="611" spans="1:32">
      <c r="A611" s="24"/>
      <c r="B611" s="26" t="s">
        <v>342</v>
      </c>
      <c r="C611" s="26"/>
      <c r="D611" s="50"/>
      <c r="E611" s="51"/>
      <c r="F611" s="50" t="s">
        <v>455</v>
      </c>
      <c r="G611" s="52"/>
      <c r="H611" s="50"/>
      <c r="I611" s="53"/>
      <c r="J611" s="50" t="s">
        <v>455</v>
      </c>
      <c r="K611" s="53"/>
      <c r="L611" s="50"/>
      <c r="M611" s="57"/>
      <c r="N611" s="55"/>
      <c r="O611" s="57"/>
      <c r="P611" s="57"/>
      <c r="Q611" s="59" t="str">
        <f t="shared" si="131"/>
        <v/>
      </c>
      <c r="R611" s="57"/>
      <c r="S611" s="57"/>
      <c r="T611" s="59" t="str">
        <f t="shared" si="132"/>
        <v/>
      </c>
      <c r="U611" s="57"/>
      <c r="V611" s="57"/>
      <c r="W611" s="59" t="str">
        <f t="shared" si="133"/>
        <v/>
      </c>
      <c r="X611" s="57"/>
      <c r="Y611" s="57"/>
      <c r="Z611" s="59" t="str">
        <f t="shared" si="134"/>
        <v/>
      </c>
      <c r="AA611" s="57"/>
      <c r="AB611" s="57"/>
      <c r="AC611" s="59" t="str">
        <f t="shared" si="130"/>
        <v/>
      </c>
      <c r="AD611" s="57"/>
      <c r="AE611" s="57"/>
      <c r="AF611" s="59"/>
    </row>
    <row r="612" spans="1:32">
      <c r="A612" s="24"/>
      <c r="B612" s="26" t="s">
        <v>432</v>
      </c>
      <c r="C612" s="26" t="s">
        <v>450</v>
      </c>
      <c r="D612" s="50"/>
      <c r="E612" s="51"/>
      <c r="F612" s="50"/>
      <c r="G612" s="52"/>
      <c r="H612" s="50"/>
      <c r="I612" s="53"/>
      <c r="J612" s="50" t="s">
        <v>455</v>
      </c>
      <c r="K612" s="53"/>
      <c r="L612" s="50"/>
      <c r="M612" s="57"/>
      <c r="N612" s="55"/>
      <c r="O612" s="57"/>
      <c r="P612" s="57"/>
      <c r="Q612" s="59" t="str">
        <f t="shared" si="131"/>
        <v/>
      </c>
      <c r="R612" s="57"/>
      <c r="S612" s="57"/>
      <c r="T612" s="59" t="str">
        <f t="shared" si="132"/>
        <v/>
      </c>
      <c r="U612" s="57"/>
      <c r="V612" s="57"/>
      <c r="W612" s="59" t="str">
        <f t="shared" si="133"/>
        <v/>
      </c>
      <c r="X612" s="57"/>
      <c r="Y612" s="57"/>
      <c r="Z612" s="59" t="str">
        <f t="shared" si="134"/>
        <v/>
      </c>
      <c r="AA612" s="57"/>
      <c r="AB612" s="57"/>
      <c r="AC612" s="59" t="str">
        <f t="shared" si="130"/>
        <v/>
      </c>
      <c r="AD612" s="57"/>
      <c r="AE612" s="57"/>
      <c r="AF612" s="59"/>
    </row>
    <row r="613" spans="1:32">
      <c r="A613" s="24"/>
      <c r="B613" s="26" t="s">
        <v>188</v>
      </c>
      <c r="C613" s="26" t="s">
        <v>451</v>
      </c>
      <c r="D613" s="50"/>
      <c r="E613" s="51"/>
      <c r="F613" s="50" t="s">
        <v>455</v>
      </c>
      <c r="G613" s="52"/>
      <c r="H613" s="50"/>
      <c r="I613" s="53"/>
      <c r="J613" s="50" t="s">
        <v>455</v>
      </c>
      <c r="K613" s="53"/>
      <c r="L613" s="50"/>
      <c r="M613" s="57"/>
      <c r="N613" s="55"/>
      <c r="O613" s="57"/>
      <c r="P613" s="57"/>
      <c r="Q613" s="59" t="str">
        <f t="shared" si="131"/>
        <v/>
      </c>
      <c r="R613" s="57"/>
      <c r="S613" s="57"/>
      <c r="T613" s="59" t="str">
        <f t="shared" si="132"/>
        <v/>
      </c>
      <c r="U613" s="57"/>
      <c r="V613" s="57"/>
      <c r="W613" s="59" t="str">
        <f t="shared" si="133"/>
        <v/>
      </c>
      <c r="X613" s="57"/>
      <c r="Y613" s="57"/>
      <c r="Z613" s="59" t="str">
        <f t="shared" si="134"/>
        <v/>
      </c>
      <c r="AA613" s="57"/>
      <c r="AB613" s="57"/>
      <c r="AC613" s="59" t="str">
        <f t="shared" si="130"/>
        <v/>
      </c>
      <c r="AD613" s="57"/>
      <c r="AE613" s="57"/>
      <c r="AF613" s="59"/>
    </row>
    <row r="614" spans="1:32">
      <c r="A614" s="24"/>
      <c r="B614" s="26" t="s">
        <v>558</v>
      </c>
      <c r="C614" s="26"/>
      <c r="D614" s="50"/>
      <c r="E614" s="51"/>
      <c r="F614" s="50"/>
      <c r="G614" s="52"/>
      <c r="H614" s="50"/>
      <c r="I614" s="53"/>
      <c r="J614" s="50"/>
      <c r="K614" s="53"/>
      <c r="L614" s="50"/>
      <c r="M614" s="57"/>
      <c r="N614" s="55"/>
      <c r="O614" s="57"/>
      <c r="P614" s="57"/>
      <c r="Q614" s="59" t="str">
        <f t="shared" si="131"/>
        <v/>
      </c>
      <c r="R614" s="57"/>
      <c r="S614" s="57"/>
      <c r="T614" s="59" t="str">
        <f t="shared" si="132"/>
        <v/>
      </c>
      <c r="U614" s="57"/>
      <c r="V614" s="57"/>
      <c r="W614" s="59" t="str">
        <f t="shared" si="133"/>
        <v/>
      </c>
      <c r="X614" s="57"/>
      <c r="Y614" s="57"/>
      <c r="Z614" s="59" t="str">
        <f t="shared" si="134"/>
        <v/>
      </c>
      <c r="AA614" s="57"/>
      <c r="AB614" s="57"/>
      <c r="AC614" s="59" t="str">
        <f t="shared" si="130"/>
        <v/>
      </c>
      <c r="AD614" s="57"/>
      <c r="AE614" s="57"/>
      <c r="AF614" s="59"/>
    </row>
    <row r="615" spans="1:32">
      <c r="A615" s="24" t="s">
        <v>326</v>
      </c>
      <c r="B615" s="26" t="s">
        <v>719</v>
      </c>
      <c r="C615" s="26"/>
      <c r="D615" s="50"/>
      <c r="E615" s="51"/>
      <c r="F615" s="50"/>
      <c r="G615" s="52"/>
      <c r="H615" s="50"/>
      <c r="I615" s="53"/>
      <c r="J615" s="50"/>
      <c r="K615" s="53"/>
      <c r="L615" s="50"/>
      <c r="M615" s="57"/>
      <c r="N615" s="55"/>
      <c r="O615" s="57"/>
      <c r="P615" s="57"/>
      <c r="Q615" s="59"/>
      <c r="R615" s="57"/>
      <c r="S615" s="57"/>
      <c r="T615" s="59"/>
      <c r="U615" s="57"/>
      <c r="V615" s="57"/>
      <c r="W615" s="59"/>
      <c r="X615" s="57"/>
      <c r="Y615" s="57"/>
      <c r="Z615" s="59"/>
      <c r="AA615" s="57"/>
      <c r="AB615" s="57"/>
      <c r="AC615" s="59" t="str">
        <f t="shared" si="130"/>
        <v/>
      </c>
      <c r="AD615" s="57"/>
      <c r="AE615" s="57"/>
      <c r="AF615" s="59"/>
    </row>
    <row r="616" spans="1:32">
      <c r="A616" s="24"/>
      <c r="B616" s="26" t="s">
        <v>195</v>
      </c>
      <c r="C616" s="26" t="s">
        <v>451</v>
      </c>
      <c r="D616" s="50" t="s">
        <v>283</v>
      </c>
      <c r="E616" s="51"/>
      <c r="F616" s="50" t="s">
        <v>283</v>
      </c>
      <c r="G616" s="52"/>
      <c r="H616" s="50" t="s">
        <v>283</v>
      </c>
      <c r="I616" s="53"/>
      <c r="J616" s="50" t="s">
        <v>283</v>
      </c>
      <c r="K616" s="53"/>
      <c r="L616" s="50" t="s">
        <v>283</v>
      </c>
      <c r="M616" s="57"/>
      <c r="N616" s="55">
        <v>8.217592592592594E-3</v>
      </c>
      <c r="O616" s="57"/>
      <c r="P616" s="57"/>
      <c r="Q616" s="59">
        <f>IF(MIN(IF(ISBLANK(O616),N616,O616),IF(ISBLANK(N616),O616,N616))=0,"",MIN(IF(ISBLANK(O616),N616,O616),IF(ISBLANK(N616),O616,N616)))</f>
        <v>8.217592592592594E-3</v>
      </c>
      <c r="R616" s="57"/>
      <c r="S616" s="57"/>
      <c r="T616" s="59">
        <f>IF(MIN(IF(ISBLANK(R616),Q616,R616),IF(ISBLANK(Q616),R616,Q616))=0,"",MIN(IF(ISBLANK(R616),Q616,R616),IF(ISBLANK(Q616),R616,Q616)))</f>
        <v>8.217592592592594E-3</v>
      </c>
      <c r="U616" s="57"/>
      <c r="V616" s="57"/>
      <c r="W616" s="59">
        <f>IF(MIN(IF(ISBLANK(U616),T616,U616),IF(ISBLANK(T616),U616,T616))=0,"",MIN(IF(ISBLANK(U616),T616,U616),IF(ISBLANK(T616),U616,T616)))</f>
        <v>8.217592592592594E-3</v>
      </c>
      <c r="X616" s="57"/>
      <c r="Y616" s="57"/>
      <c r="Z616" s="59">
        <f>IF(MIN(IF(ISBLANK(X616),W616,X616),IF(ISBLANK(W616),X616,W616))=0,"",MIN(IF(ISBLANK(X616),W616,X616),IF(ISBLANK(W616),X616,W616)))</f>
        <v>8.217592592592594E-3</v>
      </c>
      <c r="AA616" s="57"/>
      <c r="AB616" s="57"/>
      <c r="AC616" s="59">
        <f t="shared" si="130"/>
        <v>8.217592592592594E-3</v>
      </c>
      <c r="AD616" s="57"/>
      <c r="AE616" s="57"/>
      <c r="AF616" s="59"/>
    </row>
    <row r="617" spans="1:32">
      <c r="A617" s="24" t="s">
        <v>326</v>
      </c>
      <c r="B617" s="26" t="s">
        <v>726</v>
      </c>
      <c r="C617" s="26"/>
      <c r="D617" s="50"/>
      <c r="E617" s="51"/>
      <c r="F617" s="50"/>
      <c r="G617" s="52"/>
      <c r="H617" s="50"/>
      <c r="I617" s="53"/>
      <c r="J617" s="50"/>
      <c r="K617" s="53"/>
      <c r="L617" s="50"/>
      <c r="M617" s="57"/>
      <c r="N617" s="55"/>
      <c r="O617" s="57"/>
      <c r="P617" s="57"/>
      <c r="Q617" s="59"/>
      <c r="R617" s="57"/>
      <c r="S617" s="57"/>
      <c r="T617" s="59"/>
      <c r="U617" s="57"/>
      <c r="V617" s="57"/>
      <c r="W617" s="59"/>
      <c r="X617" s="57"/>
      <c r="Y617" s="57"/>
      <c r="Z617" s="59"/>
      <c r="AA617" s="57">
        <v>5.5324074074074069E-3</v>
      </c>
      <c r="AB617" s="57"/>
      <c r="AC617" s="59">
        <f t="shared" si="130"/>
        <v>5.5324074074074069E-3</v>
      </c>
      <c r="AD617" s="57"/>
      <c r="AE617" s="57"/>
      <c r="AF617" s="59"/>
    </row>
    <row r="618" spans="1:32">
      <c r="A618" s="24"/>
      <c r="B618" s="26" t="s">
        <v>689</v>
      </c>
      <c r="C618" s="26"/>
      <c r="D618" s="50"/>
      <c r="E618" s="51"/>
      <c r="F618" s="50"/>
      <c r="G618" s="52"/>
      <c r="H618" s="50"/>
      <c r="I618" s="53"/>
      <c r="J618" s="50"/>
      <c r="K618" s="53"/>
      <c r="L618" s="50"/>
      <c r="M618" s="57"/>
      <c r="N618" s="55"/>
      <c r="O618" s="57"/>
      <c r="P618" s="57"/>
      <c r="Q618" s="59"/>
      <c r="R618" s="57"/>
      <c r="S618" s="57"/>
      <c r="T618" s="59"/>
      <c r="U618" s="57"/>
      <c r="V618" s="57"/>
      <c r="W618" s="59"/>
      <c r="X618" s="57"/>
      <c r="Y618" s="57"/>
      <c r="Z618" s="59" t="str">
        <f t="shared" ref="Z618:Z627" si="135">IF(MIN(IF(ISBLANK(X618),W618,X618),IF(ISBLANK(W618),X618,W618))=0,"",MIN(IF(ISBLANK(X618),W618,X618),IF(ISBLANK(W618),X618,W618)))</f>
        <v/>
      </c>
      <c r="AA618" s="57"/>
      <c r="AB618" s="57"/>
      <c r="AC618" s="59" t="str">
        <f t="shared" si="130"/>
        <v/>
      </c>
      <c r="AD618" s="57"/>
      <c r="AE618" s="57"/>
      <c r="AF618" s="59"/>
    </row>
    <row r="619" spans="1:32">
      <c r="A619" s="24"/>
      <c r="B619" s="26" t="s">
        <v>207</v>
      </c>
      <c r="C619" s="26"/>
      <c r="D619" s="50">
        <v>8.5399999999999991</v>
      </c>
      <c r="E619" s="51"/>
      <c r="F619" s="50">
        <v>8.5399999999999991</v>
      </c>
      <c r="G619" s="52"/>
      <c r="H619" s="50">
        <v>8.5399999999999991</v>
      </c>
      <c r="I619" s="53"/>
      <c r="J619" s="50">
        <v>8.5399999999999991</v>
      </c>
      <c r="K619" s="53"/>
      <c r="L619" s="50">
        <v>8.5399999999999991</v>
      </c>
      <c r="M619" s="57"/>
      <c r="N619" s="55">
        <v>6.1805555555555563E-3</v>
      </c>
      <c r="O619" s="57"/>
      <c r="P619" s="57"/>
      <c r="Q619" s="59">
        <f>IF(MIN(IF(ISBLANK(O619),N619,O619),IF(ISBLANK(N619),O619,N619))=0,"",MIN(IF(ISBLANK(O619),N619,O619),IF(ISBLANK(N619),O619,N619)))</f>
        <v>6.1805555555555563E-3</v>
      </c>
      <c r="R619" s="57"/>
      <c r="S619" s="57"/>
      <c r="T619" s="59">
        <f>IF(MIN(IF(ISBLANK(R619),Q619,R619),IF(ISBLANK(Q619),R619,Q619))=0,"",MIN(IF(ISBLANK(R619),Q619,R619),IF(ISBLANK(Q619),R619,Q619)))</f>
        <v>6.1805555555555563E-3</v>
      </c>
      <c r="U619" s="57"/>
      <c r="V619" s="57"/>
      <c r="W619" s="59">
        <f>IF(MIN(IF(ISBLANK(U619),T619,U619),IF(ISBLANK(T619),U619,T619))=0,"",MIN(IF(ISBLANK(U619),T619,U619),IF(ISBLANK(T619),U619,T619)))</f>
        <v>6.1805555555555563E-3</v>
      </c>
      <c r="X619" s="57"/>
      <c r="Y619" s="57"/>
      <c r="Z619" s="59">
        <f t="shared" si="135"/>
        <v>6.1805555555555563E-3</v>
      </c>
      <c r="AA619" s="57"/>
      <c r="AB619" s="57"/>
      <c r="AC619" s="59">
        <f t="shared" si="130"/>
        <v>6.1805555555555563E-3</v>
      </c>
      <c r="AD619" s="57"/>
      <c r="AE619" s="57"/>
      <c r="AF619" s="59"/>
    </row>
    <row r="620" spans="1:32">
      <c r="A620" s="24"/>
      <c r="B620" s="26" t="s">
        <v>591</v>
      </c>
      <c r="C620" s="26"/>
      <c r="D620" s="50"/>
      <c r="E620" s="51"/>
      <c r="F620" s="50"/>
      <c r="G620" s="52"/>
      <c r="H620" s="50"/>
      <c r="I620" s="53"/>
      <c r="J620" s="50"/>
      <c r="K620" s="53"/>
      <c r="L620" s="50"/>
      <c r="M620" s="57"/>
      <c r="N620" s="55"/>
      <c r="O620" s="57"/>
      <c r="P620" s="57"/>
      <c r="Q620" s="59"/>
      <c r="R620" s="57"/>
      <c r="S620" s="57"/>
      <c r="T620" s="59" t="str">
        <f>IF(MIN(IF(ISBLANK(R620),Q620,R620),IF(ISBLANK(Q620),R620,Q620))=0,"",MIN(IF(ISBLANK(R620),Q620,R620),IF(ISBLANK(Q620),R620,Q620)))</f>
        <v/>
      </c>
      <c r="U620" s="57"/>
      <c r="V620" s="57"/>
      <c r="W620" s="59" t="str">
        <f>IF(MIN(IF(ISBLANK(U620),T620,U620),IF(ISBLANK(T620),U620,T620))=0,"",MIN(IF(ISBLANK(U620),T620,U620),IF(ISBLANK(T620),U620,T620)))</f>
        <v/>
      </c>
      <c r="X620" s="57"/>
      <c r="Y620" s="57"/>
      <c r="Z620" s="59" t="str">
        <f t="shared" si="135"/>
        <v/>
      </c>
      <c r="AA620" s="57"/>
      <c r="AB620" s="57"/>
      <c r="AC620" s="59" t="str">
        <f t="shared" si="130"/>
        <v/>
      </c>
      <c r="AD620" s="57"/>
      <c r="AE620" s="57"/>
      <c r="AF620" s="59"/>
    </row>
    <row r="621" spans="1:32">
      <c r="A621" s="24"/>
      <c r="B621" s="26" t="s">
        <v>589</v>
      </c>
      <c r="C621" s="26"/>
      <c r="D621" s="50"/>
      <c r="E621" s="51"/>
      <c r="F621" s="50"/>
      <c r="G621" s="52"/>
      <c r="H621" s="50"/>
      <c r="I621" s="53"/>
      <c r="J621" s="50"/>
      <c r="K621" s="53"/>
      <c r="L621" s="50"/>
      <c r="M621" s="57"/>
      <c r="N621" s="55"/>
      <c r="O621" s="57"/>
      <c r="P621" s="57"/>
      <c r="Q621" s="59"/>
      <c r="R621" s="57"/>
      <c r="S621" s="57"/>
      <c r="T621" s="59" t="str">
        <f>IF(MIN(IF(ISBLANK(R621),Q621,R621),IF(ISBLANK(Q621),R621,Q621))=0,"",MIN(IF(ISBLANK(R621),Q621,R621),IF(ISBLANK(Q621),R621,Q621)))</f>
        <v/>
      </c>
      <c r="U621" s="57"/>
      <c r="V621" s="57"/>
      <c r="W621" s="59" t="str">
        <f>IF(MIN(IF(ISBLANK(U621),T621,U621),IF(ISBLANK(T621),U621,T621))=0,"",MIN(IF(ISBLANK(U621),T621,U621),IF(ISBLANK(T621),U621,T621)))</f>
        <v/>
      </c>
      <c r="X621" s="57"/>
      <c r="Y621" s="57"/>
      <c r="Z621" s="59" t="str">
        <f t="shared" si="135"/>
        <v/>
      </c>
      <c r="AA621" s="57"/>
      <c r="AB621" s="57"/>
      <c r="AC621" s="59" t="str">
        <f t="shared" si="130"/>
        <v/>
      </c>
      <c r="AD621" s="57"/>
      <c r="AE621" s="57"/>
      <c r="AF621" s="59"/>
    </row>
    <row r="622" spans="1:32">
      <c r="A622" s="24"/>
      <c r="B622" s="26" t="s">
        <v>211</v>
      </c>
      <c r="C622" s="26"/>
      <c r="D622" s="50">
        <v>8.43</v>
      </c>
      <c r="E622" s="51"/>
      <c r="F622" s="50">
        <v>8.43</v>
      </c>
      <c r="G622" s="52"/>
      <c r="H622" s="50">
        <v>8.43</v>
      </c>
      <c r="I622" s="53"/>
      <c r="J622" s="50">
        <v>8.43</v>
      </c>
      <c r="K622" s="53"/>
      <c r="L622" s="50">
        <v>8.43</v>
      </c>
      <c r="M622" s="57"/>
      <c r="N622" s="55">
        <v>6.053240740740741E-3</v>
      </c>
      <c r="O622" s="57"/>
      <c r="P622" s="57"/>
      <c r="Q622" s="59">
        <f>IF(MIN(IF(ISBLANK(O622),N622,O622),IF(ISBLANK(N622),O622,N622))=0,"",MIN(IF(ISBLANK(O622),N622,O622),IF(ISBLANK(N622),O622,N622)))</f>
        <v>6.053240740740741E-3</v>
      </c>
      <c r="R622" s="57"/>
      <c r="S622" s="57"/>
      <c r="T622" s="59">
        <f>IF(MIN(IF(ISBLANK(R622),Q622,R622),IF(ISBLANK(Q622),R622,Q622))=0,"",MIN(IF(ISBLANK(R622),Q622,R622),IF(ISBLANK(Q622),R622,Q622)))</f>
        <v>6.053240740740741E-3</v>
      </c>
      <c r="U622" s="57"/>
      <c r="V622" s="57"/>
      <c r="W622" s="59">
        <f>IF(MIN(IF(ISBLANK(U622),T622,U622),IF(ISBLANK(T622),U622,T622))=0,"",MIN(IF(ISBLANK(U622),T622,U622),IF(ISBLANK(T622),U622,T622)))</f>
        <v>6.053240740740741E-3</v>
      </c>
      <c r="X622" s="57"/>
      <c r="Y622" s="57"/>
      <c r="Z622" s="59">
        <f t="shared" si="135"/>
        <v>6.053240740740741E-3</v>
      </c>
      <c r="AA622" s="57"/>
      <c r="AB622" s="57"/>
      <c r="AC622" s="59">
        <f t="shared" si="130"/>
        <v>6.053240740740741E-3</v>
      </c>
      <c r="AD622" s="57"/>
      <c r="AE622" s="57"/>
      <c r="AF622" s="59"/>
    </row>
    <row r="623" spans="1:32">
      <c r="A623" s="24"/>
      <c r="B623" s="26" t="s">
        <v>559</v>
      </c>
      <c r="C623" s="26"/>
      <c r="D623" s="50"/>
      <c r="E623" s="51"/>
      <c r="F623" s="50"/>
      <c r="G623" s="52"/>
      <c r="H623" s="50"/>
      <c r="I623" s="53"/>
      <c r="J623" s="50"/>
      <c r="K623" s="53"/>
      <c r="L623" s="50"/>
      <c r="M623" s="57"/>
      <c r="N623" s="55"/>
      <c r="O623" s="57"/>
      <c r="P623" s="57"/>
      <c r="Q623" s="59" t="str">
        <f>IF(MIN(IF(ISBLANK(O623),N623,O623),IF(ISBLANK(N623),O623,N623))=0,"",MIN(IF(ISBLANK(O623),N623,O623),IF(ISBLANK(N623),O623,N623)))</f>
        <v/>
      </c>
      <c r="R623" s="57"/>
      <c r="S623" s="57"/>
      <c r="T623" s="59" t="str">
        <f>IF(MIN(IF(ISBLANK(R623),Q623,R623),IF(ISBLANK(Q623),R623,Q623))=0,"",MIN(IF(ISBLANK(R623),Q623,R623),IF(ISBLANK(Q623),R623,Q623)))</f>
        <v/>
      </c>
      <c r="U623" s="57"/>
      <c r="V623" s="57"/>
      <c r="W623" s="59" t="str">
        <f>IF(MIN(IF(ISBLANK(U623),T623,U623),IF(ISBLANK(T623),U623,T623))=0,"",MIN(IF(ISBLANK(U623),T623,U623),IF(ISBLANK(T623),U623,T623)))</f>
        <v/>
      </c>
      <c r="X623" s="57"/>
      <c r="Y623" s="57"/>
      <c r="Z623" s="59" t="str">
        <f t="shared" si="135"/>
        <v/>
      </c>
      <c r="AA623" s="57"/>
      <c r="AB623" s="57"/>
      <c r="AC623" s="59" t="str">
        <f t="shared" si="130"/>
        <v/>
      </c>
      <c r="AD623" s="57"/>
      <c r="AE623" s="57"/>
      <c r="AF623" s="59"/>
    </row>
    <row r="624" spans="1:32">
      <c r="A624" s="24"/>
      <c r="B624" s="26" t="s">
        <v>694</v>
      </c>
      <c r="C624" s="26"/>
      <c r="D624" s="50"/>
      <c r="E624" s="51"/>
      <c r="F624" s="50"/>
      <c r="G624" s="52"/>
      <c r="H624" s="50"/>
      <c r="I624" s="53"/>
      <c r="J624" s="50"/>
      <c r="K624" s="53"/>
      <c r="L624" s="50"/>
      <c r="M624" s="57"/>
      <c r="N624" s="55"/>
      <c r="O624" s="57"/>
      <c r="P624" s="57"/>
      <c r="Q624" s="59"/>
      <c r="R624" s="57"/>
      <c r="S624" s="57"/>
      <c r="T624" s="59"/>
      <c r="U624" s="57"/>
      <c r="V624" s="57"/>
      <c r="W624" s="59"/>
      <c r="X624" s="57"/>
      <c r="Y624" s="57"/>
      <c r="Z624" s="59" t="str">
        <f t="shared" si="135"/>
        <v/>
      </c>
      <c r="AA624" s="57"/>
      <c r="AB624" s="57"/>
      <c r="AC624" s="59" t="str">
        <f t="shared" si="130"/>
        <v/>
      </c>
      <c r="AD624" s="57"/>
      <c r="AE624" s="57"/>
      <c r="AF624" s="59"/>
    </row>
    <row r="625" spans="1:32">
      <c r="A625" s="24"/>
      <c r="B625" s="26" t="s">
        <v>521</v>
      </c>
      <c r="C625" s="26" t="s">
        <v>450</v>
      </c>
      <c r="D625" s="50"/>
      <c r="E625" s="51"/>
      <c r="F625" s="50"/>
      <c r="G625" s="52"/>
      <c r="H625" s="50"/>
      <c r="I625" s="53"/>
      <c r="J625" s="50"/>
      <c r="K625" s="53"/>
      <c r="L625" s="50"/>
      <c r="M625" s="57">
        <v>7.2916666666666659E-3</v>
      </c>
      <c r="N625" s="55">
        <v>7.2916666666666659E-3</v>
      </c>
      <c r="O625" s="57"/>
      <c r="P625" s="57"/>
      <c r="Q625" s="59">
        <f>IF(MIN(IF(ISBLANK(O625),N625,O625),IF(ISBLANK(N625),O625,N625))=0,"",MIN(IF(ISBLANK(O625),N625,O625),IF(ISBLANK(N625),O625,N625)))</f>
        <v>7.2916666666666659E-3</v>
      </c>
      <c r="R625" s="57"/>
      <c r="S625" s="57"/>
      <c r="T625" s="59">
        <f>IF(MIN(IF(ISBLANK(R625),Q625,R625),IF(ISBLANK(Q625),R625,Q625))=0,"",MIN(IF(ISBLANK(R625),Q625,R625),IF(ISBLANK(Q625),R625,Q625)))</f>
        <v>7.2916666666666659E-3</v>
      </c>
      <c r="U625" s="57"/>
      <c r="V625" s="57"/>
      <c r="W625" s="59">
        <f>IF(MIN(IF(ISBLANK(U625),T625,U625),IF(ISBLANK(T625),U625,T625))=0,"",MIN(IF(ISBLANK(U625),T625,U625),IF(ISBLANK(T625),U625,T625)))</f>
        <v>7.2916666666666659E-3</v>
      </c>
      <c r="X625" s="57"/>
      <c r="Y625" s="57"/>
      <c r="Z625" s="59">
        <f t="shared" si="135"/>
        <v>7.2916666666666659E-3</v>
      </c>
      <c r="AA625" s="57"/>
      <c r="AB625" s="57"/>
      <c r="AC625" s="59">
        <f t="shared" si="130"/>
        <v>7.2916666666666659E-3</v>
      </c>
      <c r="AD625" s="57"/>
      <c r="AE625" s="57"/>
      <c r="AF625" s="59"/>
    </row>
    <row r="626" spans="1:32">
      <c r="A626" s="24"/>
      <c r="B626" s="26" t="s">
        <v>343</v>
      </c>
      <c r="C626" s="26" t="s">
        <v>451</v>
      </c>
      <c r="D626" s="50"/>
      <c r="E626" s="51"/>
      <c r="F626" s="50" t="s">
        <v>455</v>
      </c>
      <c r="G626" s="52" t="s">
        <v>368</v>
      </c>
      <c r="H626" s="50">
        <v>13.43</v>
      </c>
      <c r="I626" s="53">
        <v>11.32</v>
      </c>
      <c r="J626" s="50">
        <v>11.32</v>
      </c>
      <c r="K626" s="53"/>
      <c r="L626" s="50">
        <v>11.32</v>
      </c>
      <c r="M626" s="57"/>
      <c r="N626" s="55">
        <v>8.0092592592592594E-3</v>
      </c>
      <c r="O626" s="57"/>
      <c r="P626" s="57"/>
      <c r="Q626" s="59">
        <f>IF(MIN(IF(ISBLANK(O626),N626,O626),IF(ISBLANK(N626),O626,N626))=0,"",MIN(IF(ISBLANK(O626),N626,O626),IF(ISBLANK(N626),O626,N626)))</f>
        <v>8.0092592592592594E-3</v>
      </c>
      <c r="R626" s="57"/>
      <c r="S626" s="57"/>
      <c r="T626" s="59">
        <f>IF(MIN(IF(ISBLANK(R626),Q626,R626),IF(ISBLANK(Q626),R626,Q626))=0,"",MIN(IF(ISBLANK(R626),Q626,R626),IF(ISBLANK(Q626),R626,Q626)))</f>
        <v>8.0092592592592594E-3</v>
      </c>
      <c r="U626" s="57"/>
      <c r="V626" s="57"/>
      <c r="W626" s="59">
        <f>IF(MIN(IF(ISBLANK(U626),T626,U626),IF(ISBLANK(T626),U626,T626))=0,"",MIN(IF(ISBLANK(U626),T626,U626),IF(ISBLANK(T626),U626,T626)))</f>
        <v>8.0092592592592594E-3</v>
      </c>
      <c r="X626" s="57"/>
      <c r="Y626" s="57"/>
      <c r="Z626" s="59">
        <f t="shared" si="135"/>
        <v>8.0092592592592594E-3</v>
      </c>
      <c r="AA626" s="57"/>
      <c r="AB626" s="57"/>
      <c r="AC626" s="59">
        <f t="shared" si="130"/>
        <v>8.0092592592592594E-3</v>
      </c>
      <c r="AD626" s="57"/>
      <c r="AE626" s="57"/>
      <c r="AF626" s="59"/>
    </row>
    <row r="627" spans="1:32">
      <c r="A627" s="24"/>
      <c r="B627" s="26" t="s">
        <v>344</v>
      </c>
      <c r="C627" s="26" t="s">
        <v>451</v>
      </c>
      <c r="D627" s="50"/>
      <c r="E627" s="51"/>
      <c r="F627" s="50" t="s">
        <v>455</v>
      </c>
      <c r="G627" s="52" t="s">
        <v>369</v>
      </c>
      <c r="H627" s="50">
        <v>12.5</v>
      </c>
      <c r="I627" s="53">
        <v>11.23</v>
      </c>
      <c r="J627" s="50">
        <v>11.23</v>
      </c>
      <c r="K627" s="53"/>
      <c r="L627" s="50">
        <v>11.23</v>
      </c>
      <c r="M627" s="57"/>
      <c r="N627" s="55">
        <v>7.905092592592592E-3</v>
      </c>
      <c r="O627" s="57"/>
      <c r="P627" s="57"/>
      <c r="Q627" s="59">
        <f>IF(MIN(IF(ISBLANK(O627),N627,O627),IF(ISBLANK(N627),O627,N627))=0,"",MIN(IF(ISBLANK(O627),N627,O627),IF(ISBLANK(N627),O627,N627)))</f>
        <v>7.905092592592592E-3</v>
      </c>
      <c r="R627" s="57"/>
      <c r="S627" s="57"/>
      <c r="T627" s="59">
        <f>IF(MIN(IF(ISBLANK(R627),Q627,R627),IF(ISBLANK(Q627),R627,Q627))=0,"",MIN(IF(ISBLANK(R627),Q627,R627),IF(ISBLANK(Q627),R627,Q627)))</f>
        <v>7.905092592592592E-3</v>
      </c>
      <c r="U627" s="57"/>
      <c r="V627" s="57"/>
      <c r="W627" s="59">
        <f>IF(MIN(IF(ISBLANK(U627),T627,U627),IF(ISBLANK(T627),U627,T627))=0,"",MIN(IF(ISBLANK(U627),T627,U627),IF(ISBLANK(T627),U627,T627)))</f>
        <v>7.905092592592592E-3</v>
      </c>
      <c r="X627" s="57"/>
      <c r="Y627" s="57"/>
      <c r="Z627" s="59">
        <f t="shared" si="135"/>
        <v>7.905092592592592E-3</v>
      </c>
      <c r="AA627" s="57"/>
      <c r="AB627" s="57"/>
      <c r="AC627" s="59">
        <f t="shared" si="130"/>
        <v>7.905092592592592E-3</v>
      </c>
      <c r="AD627" s="57"/>
      <c r="AE627" s="57"/>
      <c r="AF627" s="59"/>
    </row>
    <row r="628" spans="1:32">
      <c r="A628" s="24" t="s">
        <v>326</v>
      </c>
      <c r="B628" s="26" t="s">
        <v>735</v>
      </c>
      <c r="C628" s="26"/>
      <c r="D628" s="50"/>
      <c r="E628" s="51"/>
      <c r="F628" s="50"/>
      <c r="G628" s="52"/>
      <c r="H628" s="50"/>
      <c r="I628" s="53"/>
      <c r="J628" s="50"/>
      <c r="K628" s="53"/>
      <c r="L628" s="50"/>
      <c r="M628" s="57"/>
      <c r="N628" s="55"/>
      <c r="O628" s="57"/>
      <c r="P628" s="57"/>
      <c r="Q628" s="59"/>
      <c r="R628" s="57"/>
      <c r="S628" s="57"/>
      <c r="T628" s="59"/>
      <c r="U628" s="57"/>
      <c r="V628" s="57"/>
      <c r="W628" s="59"/>
      <c r="X628" s="57"/>
      <c r="Y628" s="57"/>
      <c r="Z628" s="59"/>
      <c r="AA628" s="57"/>
      <c r="AB628" s="57"/>
      <c r="AC628" s="59"/>
      <c r="AD628" s="57"/>
      <c r="AE628" s="57"/>
      <c r="AF628" s="59"/>
    </row>
    <row r="629" spans="1:32">
      <c r="A629" s="24"/>
      <c r="B629" s="26" t="s">
        <v>690</v>
      </c>
      <c r="C629" s="26"/>
      <c r="D629" s="50"/>
      <c r="E629" s="51"/>
      <c r="F629" s="50"/>
      <c r="G629" s="52"/>
      <c r="H629" s="50"/>
      <c r="I629" s="53"/>
      <c r="J629" s="50"/>
      <c r="K629" s="53"/>
      <c r="L629" s="50"/>
      <c r="M629" s="57"/>
      <c r="N629" s="55"/>
      <c r="O629" s="57"/>
      <c r="P629" s="57"/>
      <c r="Q629" s="59"/>
      <c r="R629" s="57"/>
      <c r="S629" s="57"/>
      <c r="T629" s="59"/>
      <c r="U629" s="57"/>
      <c r="V629" s="57"/>
      <c r="W629" s="59"/>
      <c r="X629" s="57">
        <v>6.0995370370370361E-3</v>
      </c>
      <c r="Y629" s="57"/>
      <c r="Z629" s="59">
        <f>IF(MIN(IF(ISBLANK(X629),W629,X629),IF(ISBLANK(W629),X629,W629))=0,"",MIN(IF(ISBLANK(X629),W629,X629),IF(ISBLANK(W629),X629,W629)))</f>
        <v>6.0995370370370361E-3</v>
      </c>
      <c r="AA629" s="57"/>
      <c r="AB629" s="57"/>
      <c r="AC629" s="59">
        <f>IF(MIN(IF(ISBLANK(Z629),AA629,Z629),IF(ISBLANK(AA629),Z629,AA629))=0,"",MIN(IF(ISBLANK(Z629),AA629,Z629),IF(ISBLANK(AA629),Z629,AA629)))</f>
        <v>6.0995370370370361E-3</v>
      </c>
      <c r="AD629" s="57"/>
      <c r="AE629" s="57"/>
      <c r="AF629" s="59"/>
    </row>
    <row r="630" spans="1:32">
      <c r="A630" s="24"/>
      <c r="B630" s="26" t="s">
        <v>266</v>
      </c>
      <c r="C630" s="26" t="s">
        <v>451</v>
      </c>
      <c r="D630" s="50" t="s">
        <v>282</v>
      </c>
      <c r="E630" s="51"/>
      <c r="F630" s="50" t="s">
        <v>282</v>
      </c>
      <c r="G630" s="52"/>
      <c r="H630" s="50" t="s">
        <v>282</v>
      </c>
      <c r="I630" s="53"/>
      <c r="J630" s="50" t="s">
        <v>282</v>
      </c>
      <c r="K630" s="53"/>
      <c r="L630" s="50" t="s">
        <v>282</v>
      </c>
      <c r="M630" s="57"/>
      <c r="N630" s="55">
        <v>7.5231481481481477E-3</v>
      </c>
      <c r="O630" s="57"/>
      <c r="P630" s="57"/>
      <c r="Q630" s="59">
        <f>IF(MIN(IF(ISBLANK(O630),N630,O630),IF(ISBLANK(N630),O630,N630))=0,"",MIN(IF(ISBLANK(O630),N630,O630),IF(ISBLANK(N630),O630,N630)))</f>
        <v>7.5231481481481477E-3</v>
      </c>
      <c r="R630" s="57"/>
      <c r="S630" s="57"/>
      <c r="T630" s="59">
        <f>IF(MIN(IF(ISBLANK(R630),Q630,R630),IF(ISBLANK(Q630),R630,Q630))=0,"",MIN(IF(ISBLANK(R630),Q630,R630),IF(ISBLANK(Q630),R630,Q630)))</f>
        <v>7.5231481481481477E-3</v>
      </c>
      <c r="U630" s="57"/>
      <c r="V630" s="57"/>
      <c r="W630" s="59">
        <f>IF(MIN(IF(ISBLANK(U630),T630,U630),IF(ISBLANK(T630),U630,T630))=0,"",MIN(IF(ISBLANK(U630),T630,U630),IF(ISBLANK(T630),U630,T630)))</f>
        <v>7.5231481481481477E-3</v>
      </c>
      <c r="X630" s="57"/>
      <c r="Y630" s="57"/>
      <c r="Z630" s="59">
        <f>IF(MIN(IF(ISBLANK(X630),W630,X630),IF(ISBLANK(W630),X630,W630))=0,"",MIN(IF(ISBLANK(X630),W630,X630),IF(ISBLANK(W630),X630,W630)))</f>
        <v>7.5231481481481477E-3</v>
      </c>
      <c r="AA630" s="57"/>
      <c r="AB630" s="57"/>
      <c r="AC630" s="59">
        <f>IF(MIN(IF(ISBLANK(Z630),AA630,Z630),IF(ISBLANK(AA630),Z630,AA630))=0,"",MIN(IF(ISBLANK(Z630),AA630,Z630),IF(ISBLANK(AA630),Z630,AA630)))</f>
        <v>7.5231481481481477E-3</v>
      </c>
      <c r="AD630" s="57"/>
      <c r="AE630" s="57"/>
      <c r="AF630" s="59"/>
    </row>
    <row r="631" spans="1:32">
      <c r="O631" s="3"/>
      <c r="P631" s="3"/>
      <c r="Q631" s="3"/>
    </row>
    <row r="632" spans="1:32">
      <c r="D632" s="31" t="s">
        <v>452</v>
      </c>
      <c r="E632" s="17">
        <f>COUNTA(E10:E630)</f>
        <v>53</v>
      </c>
      <c r="G632" s="17">
        <f>COUNTA(G10:G630)</f>
        <v>53</v>
      </c>
      <c r="I632" s="17">
        <f>COUNTA(I10:I630)</f>
        <v>81</v>
      </c>
      <c r="K632" s="17">
        <f>COUNTA(K10:K630)</f>
        <v>68</v>
      </c>
      <c r="L632" s="17"/>
      <c r="M632" s="17">
        <f>COUNTA(M10:M630)</f>
        <v>51</v>
      </c>
      <c r="N632" s="17"/>
      <c r="O632" s="17">
        <f>COUNTA(O10:O630)</f>
        <v>76</v>
      </c>
      <c r="P632" s="17"/>
      <c r="Q632" s="17"/>
      <c r="R632" s="17">
        <f>COUNTA(R10:R630)</f>
        <v>47</v>
      </c>
      <c r="U632" s="17">
        <f>COUNTA(U10:U630)</f>
        <v>50</v>
      </c>
      <c r="X632" s="17">
        <f>COUNTA(X10:X630)</f>
        <v>64</v>
      </c>
      <c r="AA632" s="17">
        <f>COUNTA(AA10:AA630)</f>
        <v>57</v>
      </c>
      <c r="AD632" s="17">
        <f>COUNTA(AD10:AD630)</f>
        <v>52</v>
      </c>
    </row>
    <row r="633" spans="1:32">
      <c r="D633" s="31" t="s">
        <v>453</v>
      </c>
      <c r="E633" s="17">
        <f>MAX(E10:E630)</f>
        <v>10.32</v>
      </c>
      <c r="G633" s="17">
        <f>MAX(G10:G630)</f>
        <v>12.37</v>
      </c>
      <c r="I633" s="17">
        <f>MAX(I10:I630)</f>
        <v>12.41</v>
      </c>
      <c r="K633" s="17">
        <f>MAX(K10:K630)</f>
        <v>12.32</v>
      </c>
      <c r="L633" s="17"/>
      <c r="M633" s="62">
        <f>MAX(M10:M630)</f>
        <v>7.9629629629629634E-3</v>
      </c>
      <c r="N633" s="17"/>
      <c r="O633" s="62">
        <f>MAX(O10:O630)</f>
        <v>1.2268518518518519E-2</v>
      </c>
      <c r="P633" s="62"/>
      <c r="Q633" s="62"/>
      <c r="R633" s="62">
        <f>MAX(R10:R630)</f>
        <v>7.4074074074074068E-3</v>
      </c>
      <c r="U633" s="62">
        <f>MAX(U10:U630)</f>
        <v>1.0763888888888891E-2</v>
      </c>
      <c r="X633" s="62">
        <f>MAX(X10:X630)</f>
        <v>8.726851851851852E-3</v>
      </c>
      <c r="AA633" s="62">
        <f>MAX(AA10:AA630)</f>
        <v>8.1712962962962963E-3</v>
      </c>
      <c r="AD633" s="62">
        <f>MAX(AD10:AD630)</f>
        <v>9.7222222222222224E-3</v>
      </c>
    </row>
    <row r="634" spans="1:32">
      <c r="D634" s="31" t="s">
        <v>454</v>
      </c>
      <c r="E634" s="17">
        <f>MIN(E10:E630)</f>
        <v>5.4513888888888884E-3</v>
      </c>
      <c r="G634" s="17">
        <f>MIN(G10:G630)</f>
        <v>5.3240740740740748E-3</v>
      </c>
      <c r="I634" s="17">
        <f>MIN(I10:I630)</f>
        <v>5.4513888888888884E-3</v>
      </c>
      <c r="K634" s="17">
        <f>MIN(K10:K630)</f>
        <v>5.6134259259259271E-3</v>
      </c>
      <c r="M634" s="62">
        <f>MIN(M10:M630)</f>
        <v>4.3981481481481484E-3</v>
      </c>
      <c r="O634" s="62">
        <f>MIN(O10:O630)</f>
        <v>4.340277777777778E-3</v>
      </c>
      <c r="P634" s="62"/>
      <c r="Q634" s="62"/>
      <c r="R634" s="62">
        <f>MIN(R10:R630)</f>
        <v>4.2939814814814811E-3</v>
      </c>
      <c r="U634" s="62">
        <f>MIN(U10:U630)</f>
        <v>4.6064814814814814E-3</v>
      </c>
      <c r="X634" s="62">
        <f>MIN(X10:X630)</f>
        <v>4.4328703703703709E-3</v>
      </c>
      <c r="AA634" s="62">
        <f>MIN(AA10:AA630)</f>
        <v>4.340277777777778E-3</v>
      </c>
      <c r="AD634" s="62">
        <f>MIN(AD10:AD630)</f>
        <v>4.5254629629629629E-3</v>
      </c>
    </row>
    <row r="635" spans="1:32">
      <c r="D635" s="31" t="s">
        <v>0</v>
      </c>
      <c r="I635" s="17">
        <v>26</v>
      </c>
      <c r="K635" s="17">
        <v>21</v>
      </c>
      <c r="M635" s="17"/>
      <c r="O635" s="17"/>
      <c r="P635" s="17"/>
      <c r="Q635" s="3"/>
    </row>
    <row r="636" spans="1:32">
      <c r="B636" s="14"/>
      <c r="O636" s="3"/>
      <c r="P636" s="3"/>
      <c r="Q636" s="3"/>
    </row>
  </sheetData>
  <autoFilter ref="A9:Z630">
    <filterColumn colId="0"/>
    <filterColumn colId="23"/>
    <filterColumn colId="24"/>
    <filterColumn colId="25"/>
  </autoFilter>
  <sortState ref="A10:AC626">
    <sortCondition ref="B10"/>
  </sortState>
  <mergeCells count="11">
    <mergeCell ref="AD8:AF8"/>
    <mergeCell ref="AA8:AC8"/>
    <mergeCell ref="E8:F8"/>
    <mergeCell ref="G8:H8"/>
    <mergeCell ref="I8:J8"/>
    <mergeCell ref="K8:L8"/>
    <mergeCell ref="X8:Z8"/>
    <mergeCell ref="U8:W8"/>
    <mergeCell ref="R8:T8"/>
    <mergeCell ref="M8:N8"/>
    <mergeCell ref="O8:Q8"/>
  </mergeCells>
  <conditionalFormatting sqref="E9 E31:E427 G31:G427">
    <cfRule type="expression" dxfId="98" priority="117">
      <formula>AND(NOT(ISBLANK(D9)),VALUE(E9)&lt;=VALUE(D9))</formula>
    </cfRule>
    <cfRule type="expression" dxfId="97" priority="118">
      <formula>AND(ISBLANK(D9),NOT(ISBLANK(E9)))</formula>
    </cfRule>
  </conditionalFormatting>
  <conditionalFormatting sqref="A9:A630">
    <cfRule type="expression" dxfId="96" priority="115">
      <formula>A9="Y"</formula>
    </cfRule>
  </conditionalFormatting>
  <conditionalFormatting sqref="B554:B630 B520:B551 B552:C553 C435:C630 C9 B31:C434">
    <cfRule type="expression" dxfId="95" priority="112">
      <formula>$A9 = "Y"</formula>
    </cfRule>
  </conditionalFormatting>
  <conditionalFormatting sqref="B10:C30">
    <cfRule type="expression" dxfId="94" priority="108">
      <formula>$A10 = "Y"</formula>
    </cfRule>
  </conditionalFormatting>
  <conditionalFormatting sqref="E10:E30">
    <cfRule type="expression" dxfId="93" priority="105">
      <formula>AND(NOT(ISBLANK(D10)),VALUE(E10)&lt;=VALUE(D10))</formula>
    </cfRule>
    <cfRule type="expression" dxfId="92" priority="106">
      <formula>AND(ISBLANK(D10),NOT(ISBLANK(E10)))</formula>
    </cfRule>
  </conditionalFormatting>
  <conditionalFormatting sqref="G9">
    <cfRule type="expression" dxfId="91" priority="103">
      <formula>AND(NOT(ISBLANK(F9)),VALUE(G9)&lt;=VALUE(F9))</formula>
    </cfRule>
    <cfRule type="expression" dxfId="90" priority="104">
      <formula>AND(ISBLANK(F9),NOT(ISBLANK(G9)))</formula>
    </cfRule>
  </conditionalFormatting>
  <conditionalFormatting sqref="G10:G30">
    <cfRule type="expression" dxfId="89" priority="101">
      <formula>AND(NOT(ISBLANK(F10)),VALUE(G10)&lt;=VALUE(F10))</formula>
    </cfRule>
    <cfRule type="expression" dxfId="88" priority="102">
      <formula>AND(ISBLANK(F10),NOT(ISBLANK(G10)))</formula>
    </cfRule>
  </conditionalFormatting>
  <conditionalFormatting sqref="G428:G434">
    <cfRule type="expression" dxfId="87" priority="97">
      <formula>AND(NOT(ISBLANK(F428)),VALUE(G428)&lt;=VALUE(F428))</formula>
    </cfRule>
    <cfRule type="expression" dxfId="86" priority="98">
      <formula>AND(ISBLANK(F428),NOT(ISBLANK(G428)))</formula>
    </cfRule>
  </conditionalFormatting>
  <conditionalFormatting sqref="E428:E434">
    <cfRule type="expression" dxfId="85" priority="95">
      <formula>AND(NOT(ISBLANK(D428)),VALUE(E428)&lt;=VALUE(D428))</formula>
    </cfRule>
    <cfRule type="expression" dxfId="84" priority="96">
      <formula>AND(ISBLANK(D428),NOT(ISBLANK(E428)))</formula>
    </cfRule>
  </conditionalFormatting>
  <conditionalFormatting sqref="G428:G434">
    <cfRule type="expression" dxfId="83" priority="92">
      <formula>AND(NOT(ISBLANK(F428)),VALUE(G428)&lt;=VALUE(F428))</formula>
    </cfRule>
    <cfRule type="expression" dxfId="82" priority="93">
      <formula>AND(ISBLANK(F428),NOT(ISBLANK(G428)))</formula>
    </cfRule>
  </conditionalFormatting>
  <conditionalFormatting sqref="B435:C509">
    <cfRule type="expression" dxfId="81" priority="91">
      <formula>$A435 = "Y"</formula>
    </cfRule>
  </conditionalFormatting>
  <conditionalFormatting sqref="B510:C519">
    <cfRule type="expression" dxfId="80" priority="90">
      <formula>$A510 = "Y"</formula>
    </cfRule>
  </conditionalFormatting>
  <conditionalFormatting sqref="I50:I51">
    <cfRule type="expression" dxfId="79" priority="87">
      <formula>AND(NOT(ISBLANK(H50)),VALUE(I50)&lt;=VALUE(H50))</formula>
    </cfRule>
    <cfRule type="expression" dxfId="78" priority="88">
      <formula>AND(ISBLANK(H50),NOT(ISBLANK(I50)))</formula>
    </cfRule>
  </conditionalFormatting>
  <conditionalFormatting sqref="I10:I630">
    <cfRule type="expression" dxfId="77" priority="86">
      <formula>AND(NOT(ISBLANK(H10)),VALUE(I10)&lt;=VALUE(H10))</formula>
    </cfRule>
  </conditionalFormatting>
  <conditionalFormatting sqref="B435:B551 B552:C553">
    <cfRule type="expression" dxfId="76" priority="85">
      <formula>$A435 = "Y"</formula>
    </cfRule>
  </conditionalFormatting>
  <conditionalFormatting sqref="C510:C512">
    <cfRule type="expression" dxfId="75" priority="84">
      <formula>$A510 = "Y"</formula>
    </cfRule>
  </conditionalFormatting>
  <conditionalFormatting sqref="C513">
    <cfRule type="expression" dxfId="74" priority="83">
      <formula>$A513 = "Y"</formula>
    </cfRule>
  </conditionalFormatting>
  <conditionalFormatting sqref="C520">
    <cfRule type="expression" dxfId="73" priority="82">
      <formula>$A520 = "Y"</formula>
    </cfRule>
  </conditionalFormatting>
  <conditionalFormatting sqref="C521">
    <cfRule type="expression" dxfId="72" priority="81">
      <formula>$A521 = "Y"</formula>
    </cfRule>
  </conditionalFormatting>
  <conditionalFormatting sqref="C524">
    <cfRule type="expression" dxfId="71" priority="80">
      <formula>$A524 = "Y"</formula>
    </cfRule>
  </conditionalFormatting>
  <conditionalFormatting sqref="C519">
    <cfRule type="expression" dxfId="70" priority="79">
      <formula>$A519 = "Y"</formula>
    </cfRule>
  </conditionalFormatting>
  <conditionalFormatting sqref="G9">
    <cfRule type="expression" dxfId="69" priority="77">
      <formula>AND(NOT(ISBLANK(F9)),VALUE(G9)&lt;=VALUE(F9))</formula>
    </cfRule>
    <cfRule type="expression" dxfId="68" priority="78">
      <formula>AND(ISBLANK(F9),NOT(ISBLANK(G9)))</formula>
    </cfRule>
  </conditionalFormatting>
  <conditionalFormatting sqref="I9">
    <cfRule type="expression" dxfId="67" priority="69">
      <formula>AND(NOT(ISBLANK(H9)),VALUE(I9)&lt;=VALUE(H9))</formula>
    </cfRule>
    <cfRule type="expression" dxfId="66" priority="70">
      <formula>AND(ISBLANK(H9),NOT(ISBLANK(I9)))</formula>
    </cfRule>
  </conditionalFormatting>
  <conditionalFormatting sqref="G9">
    <cfRule type="expression" dxfId="65" priority="75">
      <formula>AND(NOT(ISBLANK(F9)),VALUE(G9)&lt;=VALUE(F9))</formula>
    </cfRule>
    <cfRule type="expression" dxfId="64" priority="76">
      <formula>AND(ISBLANK(F9),NOT(ISBLANK(G9)))</formula>
    </cfRule>
  </conditionalFormatting>
  <conditionalFormatting sqref="G9">
    <cfRule type="expression" dxfId="63" priority="73">
      <formula>AND(NOT(ISBLANK(F9)),VALUE(G9)&lt;=VALUE(F9))</formula>
    </cfRule>
    <cfRule type="expression" dxfId="62" priority="74">
      <formula>AND(ISBLANK(F9),NOT(ISBLANK(G9)))</formula>
    </cfRule>
  </conditionalFormatting>
  <conditionalFormatting sqref="G9">
    <cfRule type="expression" dxfId="61" priority="71">
      <formula>AND(NOT(ISBLANK(F9)),VALUE(G9)&lt;=VALUE(F9))</formula>
    </cfRule>
    <cfRule type="expression" dxfId="60" priority="72">
      <formula>AND(ISBLANK(F9),NOT(ISBLANK(G9)))</formula>
    </cfRule>
  </conditionalFormatting>
  <conditionalFormatting sqref="K9">
    <cfRule type="expression" dxfId="59" priority="67">
      <formula>AND(NOT(ISBLANK(J9)),VALUE(K9)&lt;=VALUE(J9))</formula>
    </cfRule>
    <cfRule type="expression" dxfId="58" priority="68">
      <formula>AND(ISBLANK(J9),NOT(ISBLANK(K9)))</formula>
    </cfRule>
  </conditionalFormatting>
  <conditionalFormatting sqref="G9">
    <cfRule type="expression" dxfId="57" priority="65">
      <formula>AND(NOT(ISBLANK(F9)),VALUE(G9)&lt;=VALUE(F9))</formula>
    </cfRule>
    <cfRule type="expression" dxfId="56" priority="66">
      <formula>AND(ISBLANK(F9),NOT(ISBLANK(G9)))</formula>
    </cfRule>
  </conditionalFormatting>
  <conditionalFormatting sqref="I9">
    <cfRule type="expression" dxfId="55" priority="63">
      <formula>AND(NOT(ISBLANK(H9)),VALUE(I9)&lt;=VALUE(H9))</formula>
    </cfRule>
    <cfRule type="expression" dxfId="54" priority="64">
      <formula>AND(ISBLANK(H9),NOT(ISBLANK(I9)))</formula>
    </cfRule>
  </conditionalFormatting>
  <conditionalFormatting sqref="K9">
    <cfRule type="expression" dxfId="53" priority="61">
      <formula>AND(NOT(ISBLANK(J9)),VALUE(K9)&lt;=VALUE(J9))</formula>
    </cfRule>
    <cfRule type="expression" dxfId="52" priority="62">
      <formula>AND(ISBLANK(J9),NOT(ISBLANK(K9)))</formula>
    </cfRule>
  </conditionalFormatting>
  <conditionalFormatting sqref="M9">
    <cfRule type="expression" dxfId="51" priority="59">
      <formula>AND(NOT(ISBLANK(L9)),VALUE(M9)&lt;=VALUE(L9))</formula>
    </cfRule>
    <cfRule type="expression" dxfId="50" priority="60">
      <formula>AND(ISBLANK(L9),NOT(ISBLANK(M9)))</formula>
    </cfRule>
  </conditionalFormatting>
  <conditionalFormatting sqref="M9">
    <cfRule type="expression" dxfId="49" priority="57">
      <formula>AND(NOT(ISBLANK(L9)),VALUE(M9)&lt;=VALUE(L9))</formula>
    </cfRule>
    <cfRule type="expression" dxfId="48" priority="58">
      <formula>AND(ISBLANK(L9),NOT(ISBLANK(M9)))</formula>
    </cfRule>
  </conditionalFormatting>
  <conditionalFormatting sqref="O9:P9">
    <cfRule type="expression" dxfId="47" priority="55">
      <formula>AND(NOT(ISBLANK(N9)),VALUE(O9)&lt;=VALUE(N9))</formula>
    </cfRule>
    <cfRule type="expression" dxfId="46" priority="56">
      <formula>AND(ISBLANK(N9),NOT(ISBLANK(O9)))</formula>
    </cfRule>
  </conditionalFormatting>
  <conditionalFormatting sqref="O9:P9">
    <cfRule type="expression" dxfId="45" priority="53">
      <formula>AND(NOT(ISBLANK(N9)),VALUE(O9)&lt;=VALUE(N9))</formula>
    </cfRule>
    <cfRule type="expression" dxfId="44" priority="54">
      <formula>AND(ISBLANK(N9),NOT(ISBLANK(O9)))</formula>
    </cfRule>
  </conditionalFormatting>
  <conditionalFormatting sqref="O9:P9">
    <cfRule type="expression" dxfId="43" priority="51">
      <formula>AND(NOT(ISBLANK(N9)),VALUE(O9)&lt;=VALUE(N9))</formula>
    </cfRule>
    <cfRule type="expression" dxfId="42" priority="52">
      <formula>AND(ISBLANK(N9),NOT(ISBLANK(O9)))</formula>
    </cfRule>
  </conditionalFormatting>
  <conditionalFormatting sqref="O9:P9">
    <cfRule type="expression" dxfId="41" priority="49">
      <formula>AND(NOT(ISBLANK(N9)),VALUE(O9)&lt;=VALUE(N9))</formula>
    </cfRule>
    <cfRule type="expression" dxfId="40" priority="50">
      <formula>AND(ISBLANK(N9),NOT(ISBLANK(O9)))</formula>
    </cfRule>
  </conditionalFormatting>
  <conditionalFormatting sqref="I9">
    <cfRule type="expression" dxfId="39" priority="37">
      <formula>AND(NOT(ISBLANK(H9)),VALUE(I9)&lt;=VALUE(H9))</formula>
    </cfRule>
    <cfRule type="expression" dxfId="38" priority="38">
      <formula>AND(ISBLANK(H9),NOT(ISBLANK(I9)))</formula>
    </cfRule>
  </conditionalFormatting>
  <conditionalFormatting sqref="K9">
    <cfRule type="expression" dxfId="37" priority="35">
      <formula>AND(NOT(ISBLANK(J9)),VALUE(K9)&lt;=VALUE(J9))</formula>
    </cfRule>
    <cfRule type="expression" dxfId="36" priority="36">
      <formula>AND(ISBLANK(J9),NOT(ISBLANK(K9)))</formula>
    </cfRule>
  </conditionalFormatting>
  <conditionalFormatting sqref="M9">
    <cfRule type="expression" dxfId="35" priority="33">
      <formula>AND(NOT(ISBLANK(L9)),VALUE(M9)&lt;=VALUE(L9))</formula>
    </cfRule>
    <cfRule type="expression" dxfId="34" priority="34">
      <formula>AND(ISBLANK(L9),NOT(ISBLANK(M9)))</formula>
    </cfRule>
  </conditionalFormatting>
  <conditionalFormatting sqref="O9:P9">
    <cfRule type="expression" dxfId="33" priority="31">
      <formula>AND(NOT(ISBLANK(N9)),VALUE(O9)&lt;=VALUE(N9))</formula>
    </cfRule>
    <cfRule type="expression" dxfId="32" priority="32">
      <formula>AND(ISBLANK(N9),NOT(ISBLANK(O9)))</formula>
    </cfRule>
  </conditionalFormatting>
  <conditionalFormatting sqref="G9">
    <cfRule type="expression" dxfId="31" priority="39">
      <formula>AND(NOT(ISBLANK(F9)),VALUE(G9)&lt;=VALUE(F9))</formula>
    </cfRule>
    <cfRule type="expression" dxfId="30" priority="40">
      <formula>AND(ISBLANK(F9),NOT(ISBLANK(G9)))</formula>
    </cfRule>
  </conditionalFormatting>
  <conditionalFormatting sqref="R9:S9">
    <cfRule type="expression" dxfId="29" priority="29">
      <formula>AND(NOT(ISBLANK(Q9)),VALUE(R9)&lt;=VALUE(Q9))</formula>
    </cfRule>
    <cfRule type="expression" dxfId="28" priority="30">
      <formula>AND(ISBLANK(Q9),NOT(ISBLANK(R9)))</formula>
    </cfRule>
  </conditionalFormatting>
  <conditionalFormatting sqref="R9:S9">
    <cfRule type="expression" dxfId="27" priority="27">
      <formula>AND(NOT(ISBLANK(Q9)),VALUE(R9)&lt;=VALUE(Q9))</formula>
    </cfRule>
    <cfRule type="expression" dxfId="26" priority="28">
      <formula>AND(ISBLANK(Q9),NOT(ISBLANK(R9)))</formula>
    </cfRule>
  </conditionalFormatting>
  <conditionalFormatting sqref="R9:S9">
    <cfRule type="expression" dxfId="25" priority="25">
      <formula>AND(NOT(ISBLANK(Q9)),VALUE(R9)&lt;=VALUE(Q9))</formula>
    </cfRule>
    <cfRule type="expression" dxfId="24" priority="26">
      <formula>AND(ISBLANK(Q9),NOT(ISBLANK(R9)))</formula>
    </cfRule>
  </conditionalFormatting>
  <conditionalFormatting sqref="R9:S9">
    <cfRule type="expression" dxfId="23" priority="23">
      <formula>AND(NOT(ISBLANK(Q9)),VALUE(R9)&lt;=VALUE(Q9))</formula>
    </cfRule>
    <cfRule type="expression" dxfId="22" priority="24">
      <formula>AND(ISBLANK(Q9),NOT(ISBLANK(R9)))</formula>
    </cfRule>
  </conditionalFormatting>
  <conditionalFormatting sqref="R9:S9">
    <cfRule type="expression" dxfId="21" priority="21">
      <formula>AND(NOT(ISBLANK(Q9)),VALUE(R9)&lt;=VALUE(Q9))</formula>
    </cfRule>
    <cfRule type="expression" dxfId="20" priority="22">
      <formula>AND(ISBLANK(Q9),NOT(ISBLANK(R9)))</formula>
    </cfRule>
  </conditionalFormatting>
  <conditionalFormatting sqref="U9:V9">
    <cfRule type="expression" dxfId="19" priority="1">
      <formula>AND(NOT(ISBLANK(T9)),VALUE(U9)&lt;=VALUE(T9))</formula>
    </cfRule>
    <cfRule type="expression" dxfId="18" priority="2">
      <formula>AND(ISBLANK(T9),NOT(ISBLANK(U9)))</formula>
    </cfRule>
  </conditionalFormatting>
  <conditionalFormatting sqref="U9:V9">
    <cfRule type="expression" dxfId="17" priority="19">
      <formula>AND(NOT(ISBLANK(T9)),VALUE(U9)&lt;=VALUE(T9))</formula>
    </cfRule>
    <cfRule type="expression" dxfId="16" priority="20">
      <formula>AND(ISBLANK(T9),NOT(ISBLANK(U9)))</formula>
    </cfRule>
  </conditionalFormatting>
  <conditionalFormatting sqref="U9:V9">
    <cfRule type="expression" dxfId="15" priority="17">
      <formula>AND(NOT(ISBLANK(T9)),VALUE(U9)&lt;=VALUE(T9))</formula>
    </cfRule>
    <cfRule type="expression" dxfId="14" priority="18">
      <formula>AND(ISBLANK(T9),NOT(ISBLANK(U9)))</formula>
    </cfRule>
  </conditionalFormatting>
  <conditionalFormatting sqref="U9:V9">
    <cfRule type="expression" dxfId="13" priority="15">
      <formula>AND(NOT(ISBLANK(T9)),VALUE(U9)&lt;=VALUE(T9))</formula>
    </cfRule>
    <cfRule type="expression" dxfId="12" priority="16">
      <formula>AND(ISBLANK(T9),NOT(ISBLANK(U9)))</formula>
    </cfRule>
  </conditionalFormatting>
  <conditionalFormatting sqref="U9:V9">
    <cfRule type="expression" dxfId="11" priority="13">
      <formula>AND(NOT(ISBLANK(T9)),VALUE(U9)&lt;=VALUE(T9))</formula>
    </cfRule>
    <cfRule type="expression" dxfId="10" priority="14">
      <formula>AND(ISBLANK(T9),NOT(ISBLANK(U9)))</formula>
    </cfRule>
  </conditionalFormatting>
  <conditionalFormatting sqref="U9:V9">
    <cfRule type="expression" dxfId="9" priority="11">
      <formula>AND(NOT(ISBLANK(T9)),VALUE(U9)&lt;=VALUE(T9))</formula>
    </cfRule>
    <cfRule type="expression" dxfId="8" priority="12">
      <formula>AND(ISBLANK(T9),NOT(ISBLANK(U9)))</formula>
    </cfRule>
  </conditionalFormatting>
  <conditionalFormatting sqref="U9:V9">
    <cfRule type="expression" dxfId="7" priority="9">
      <formula>AND(NOT(ISBLANK(T9)),VALUE(U9)&lt;=VALUE(T9))</formula>
    </cfRule>
    <cfRule type="expression" dxfId="6" priority="10">
      <formula>AND(ISBLANK(T9),NOT(ISBLANK(U9)))</formula>
    </cfRule>
  </conditionalFormatting>
  <conditionalFormatting sqref="U9:V9">
    <cfRule type="expression" dxfId="5" priority="7">
      <formula>AND(NOT(ISBLANK(T9)),VALUE(U9)&lt;=VALUE(T9))</formula>
    </cfRule>
    <cfRule type="expression" dxfId="4" priority="8">
      <formula>AND(ISBLANK(T9),NOT(ISBLANK(U9)))</formula>
    </cfRule>
  </conditionalFormatting>
  <conditionalFormatting sqref="U9:V9">
    <cfRule type="expression" dxfId="3" priority="5">
      <formula>AND(NOT(ISBLANK(T9)),VALUE(U9)&lt;=VALUE(T9))</formula>
    </cfRule>
    <cfRule type="expression" dxfId="2" priority="6">
      <formula>AND(ISBLANK(T9),NOT(ISBLANK(U9)))</formula>
    </cfRule>
  </conditionalFormatting>
  <conditionalFormatting sqref="U9:V9">
    <cfRule type="expression" dxfId="1" priority="3">
      <formula>AND(NOT(ISBLANK(T9)),VALUE(U9)&lt;=VALUE(T9))</formula>
    </cfRule>
    <cfRule type="expression" dxfId="0" priority="4">
      <formula>AND(ISBLANK(T9),NOT(ISBLANK(U9)))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53"/>
  <sheetViews>
    <sheetView topLeftCell="J4" workbookViewId="0">
      <selection activeCell="W3" sqref="W3:W40"/>
    </sheetView>
  </sheetViews>
  <sheetFormatPr defaultRowHeight="15"/>
  <cols>
    <col min="1" max="1" width="27.7109375" customWidth="1"/>
    <col min="2" max="2" width="9.140625" style="49"/>
    <col min="3" max="3" width="9.140625" style="3"/>
    <col min="4" max="4" width="27.7109375" customWidth="1"/>
    <col min="5" max="5" width="9.140625" style="2"/>
    <col min="6" max="6" width="9.140625" style="3"/>
    <col min="7" max="7" width="27.7109375" customWidth="1"/>
    <col min="8" max="8" width="9.140625" style="2" customWidth="1"/>
    <col min="9" max="9" width="9.140625" style="3"/>
    <col min="10" max="10" width="27.7109375" customWidth="1"/>
    <col min="11" max="11" width="9.140625" style="2"/>
    <col min="12" max="12" width="9.140625" style="3"/>
    <col min="13" max="13" width="27.7109375" customWidth="1"/>
    <col min="14" max="14" width="9.140625" style="2" customWidth="1"/>
    <col min="15" max="15" width="9.140625" style="3"/>
    <col min="16" max="16" width="27.7109375" customWidth="1"/>
    <col min="17" max="17" width="9.140625" style="2" customWidth="1"/>
    <col min="18" max="18" width="9.140625" style="3"/>
    <col min="19" max="19" width="27.7109375" customWidth="1"/>
    <col min="20" max="20" width="9.140625" style="2"/>
    <col min="21" max="21" width="9.140625" style="3"/>
    <col min="22" max="22" width="27.7109375" customWidth="1"/>
    <col min="24" max="24" width="9.140625" customWidth="1"/>
    <col min="25" max="25" width="27.7109375" customWidth="1"/>
    <col min="27" max="27" width="9.140625" customWidth="1"/>
    <col min="28" max="28" width="27.7109375" customWidth="1"/>
    <col min="30" max="30" width="9.140625" customWidth="1"/>
  </cols>
  <sheetData>
    <row r="1" spans="1:30" s="14" customFormat="1" ht="18.75">
      <c r="A1" s="14" t="s">
        <v>327</v>
      </c>
      <c r="B1" s="46"/>
      <c r="C1" s="17"/>
      <c r="E1" s="18"/>
      <c r="F1" s="17"/>
      <c r="H1" s="18"/>
      <c r="I1" s="17"/>
      <c r="K1" s="18"/>
      <c r="L1" s="17"/>
      <c r="N1" s="18"/>
      <c r="O1" s="17"/>
      <c r="Q1" s="18"/>
      <c r="R1" s="17"/>
      <c r="T1" s="18"/>
      <c r="U1" s="17"/>
    </row>
    <row r="2" spans="1:30" s="6" customFormat="1" ht="18.75">
      <c r="A2" s="42"/>
      <c r="B2" s="43" t="s">
        <v>0</v>
      </c>
      <c r="C2" s="39" t="s">
        <v>1</v>
      </c>
      <c r="D2" s="42"/>
      <c r="E2" s="43" t="s">
        <v>0</v>
      </c>
      <c r="F2" s="39" t="s">
        <v>1</v>
      </c>
      <c r="G2" s="42"/>
      <c r="H2" s="43" t="s">
        <v>0</v>
      </c>
      <c r="I2" s="39" t="s">
        <v>1</v>
      </c>
      <c r="J2" s="42"/>
      <c r="K2" s="43" t="s">
        <v>0</v>
      </c>
      <c r="L2" s="39" t="s">
        <v>1</v>
      </c>
      <c r="M2" s="42"/>
      <c r="N2" s="43" t="s">
        <v>0</v>
      </c>
      <c r="O2" s="39" t="s">
        <v>1</v>
      </c>
      <c r="P2" s="42"/>
      <c r="Q2" s="43" t="s">
        <v>0</v>
      </c>
      <c r="R2" s="39" t="s">
        <v>1</v>
      </c>
      <c r="S2" s="42"/>
      <c r="T2" s="43" t="s">
        <v>0</v>
      </c>
      <c r="U2" s="39" t="s">
        <v>1</v>
      </c>
      <c r="V2" s="44"/>
      <c r="W2" s="39" t="s">
        <v>0</v>
      </c>
      <c r="X2" s="39" t="s">
        <v>1</v>
      </c>
      <c r="Y2" s="44"/>
      <c r="Z2" s="39" t="s">
        <v>0</v>
      </c>
      <c r="AA2" s="39" t="s">
        <v>1</v>
      </c>
      <c r="AB2" s="44"/>
      <c r="AC2" s="39" t="s">
        <v>0</v>
      </c>
      <c r="AD2" s="39" t="s">
        <v>1</v>
      </c>
    </row>
    <row r="3" spans="1:30" s="5" customFormat="1" ht="18.75">
      <c r="A3" s="38"/>
      <c r="B3" s="70"/>
      <c r="C3" s="39"/>
      <c r="D3" s="38"/>
      <c r="E3" s="70"/>
      <c r="F3" s="40"/>
      <c r="G3" s="38"/>
      <c r="H3" s="70"/>
      <c r="I3" s="40"/>
      <c r="J3" s="38"/>
      <c r="K3" s="70"/>
      <c r="L3" s="40"/>
      <c r="M3" s="38"/>
      <c r="N3" s="70"/>
      <c r="O3" s="40"/>
      <c r="P3" s="38"/>
      <c r="Q3" s="70"/>
      <c r="R3" s="41"/>
      <c r="S3" s="38"/>
      <c r="T3" s="70"/>
      <c r="U3" s="40"/>
      <c r="V3" s="38"/>
      <c r="W3" s="70"/>
      <c r="X3" s="40"/>
      <c r="Y3" s="38"/>
      <c r="Z3" s="67"/>
      <c r="AA3" s="40"/>
      <c r="AB3" s="38"/>
      <c r="AC3" s="67"/>
      <c r="AD3" s="40"/>
    </row>
    <row r="4" spans="1:30" s="5" customFormat="1" ht="18.75">
      <c r="A4" s="30"/>
      <c r="B4" s="70"/>
      <c r="C4" s="10"/>
      <c r="D4" s="30"/>
      <c r="E4" s="70"/>
      <c r="F4" s="27"/>
      <c r="G4" s="30"/>
      <c r="H4" s="70"/>
      <c r="I4" s="12"/>
      <c r="J4" s="30"/>
      <c r="K4" s="70"/>
      <c r="L4" s="12"/>
      <c r="M4" s="30"/>
      <c r="N4" s="70"/>
      <c r="O4" s="15"/>
      <c r="P4" s="30"/>
      <c r="Q4" s="70"/>
      <c r="R4" s="20"/>
      <c r="S4" s="30"/>
      <c r="T4" s="70"/>
      <c r="U4" s="12"/>
      <c r="V4" s="30"/>
      <c r="W4" s="70"/>
      <c r="X4" s="12"/>
      <c r="Y4" s="30"/>
      <c r="Z4" s="68"/>
      <c r="AA4" s="12"/>
      <c r="AB4" s="30"/>
      <c r="AC4" s="68"/>
      <c r="AD4" s="12"/>
    </row>
    <row r="5" spans="1:30" s="5" customFormat="1" ht="18.75">
      <c r="A5" s="30"/>
      <c r="B5" s="70"/>
      <c r="C5" s="10"/>
      <c r="D5" s="30"/>
      <c r="E5" s="70"/>
      <c r="F5" s="12"/>
      <c r="G5" s="30"/>
      <c r="H5" s="70"/>
      <c r="I5" s="12"/>
      <c r="J5" s="30"/>
      <c r="K5" s="70"/>
      <c r="L5" s="12"/>
      <c r="M5" s="30"/>
      <c r="N5" s="70"/>
      <c r="O5" s="12"/>
      <c r="P5" s="30"/>
      <c r="Q5" s="70"/>
      <c r="R5" s="20"/>
      <c r="S5" s="30"/>
      <c r="T5" s="70"/>
      <c r="U5" s="12"/>
      <c r="V5" s="30"/>
      <c r="W5" s="70"/>
      <c r="X5" s="12"/>
      <c r="Y5" s="30"/>
      <c r="Z5" s="68"/>
      <c r="AA5" s="12"/>
      <c r="AB5" s="30"/>
      <c r="AC5" s="68"/>
      <c r="AD5" s="12"/>
    </row>
    <row r="6" spans="1:30" s="5" customFormat="1" ht="18.75">
      <c r="A6" s="30"/>
      <c r="B6" s="70"/>
      <c r="C6" s="10"/>
      <c r="D6" s="30"/>
      <c r="E6" s="70"/>
      <c r="F6" s="12"/>
      <c r="G6" s="30"/>
      <c r="H6" s="70"/>
      <c r="I6" s="12"/>
      <c r="J6" s="30"/>
      <c r="K6" s="70"/>
      <c r="L6" s="12"/>
      <c r="M6" s="30"/>
      <c r="N6" s="70"/>
      <c r="O6" s="12"/>
      <c r="P6" s="30"/>
      <c r="Q6" s="70"/>
      <c r="R6" s="12"/>
      <c r="S6" s="30"/>
      <c r="T6" s="70"/>
      <c r="U6" s="12"/>
      <c r="V6" s="30"/>
      <c r="W6" s="70"/>
      <c r="X6" s="12"/>
      <c r="Y6" s="30"/>
      <c r="Z6" s="68"/>
      <c r="AA6" s="12"/>
      <c r="AB6" s="30"/>
      <c r="AC6" s="68"/>
      <c r="AD6" s="12"/>
    </row>
    <row r="7" spans="1:30" s="5" customFormat="1" ht="18.75">
      <c r="A7" s="30"/>
      <c r="B7" s="70"/>
      <c r="C7" s="10"/>
      <c r="D7" s="30"/>
      <c r="E7" s="70"/>
      <c r="F7" s="12"/>
      <c r="G7" s="30"/>
      <c r="H7" s="70"/>
      <c r="I7" s="12"/>
      <c r="J7" s="30"/>
      <c r="K7" s="70"/>
      <c r="L7" s="20"/>
      <c r="M7" s="30"/>
      <c r="N7" s="70"/>
      <c r="O7" s="12"/>
      <c r="P7" s="30"/>
      <c r="Q7" s="70"/>
      <c r="R7" s="15"/>
      <c r="S7" s="30"/>
      <c r="T7" s="70"/>
      <c r="U7" s="20"/>
      <c r="V7" s="30"/>
      <c r="W7" s="70"/>
      <c r="X7" s="12"/>
      <c r="Y7" s="30"/>
      <c r="Z7" s="68"/>
      <c r="AA7" s="12"/>
      <c r="AB7" s="30"/>
      <c r="AC7" s="68"/>
      <c r="AD7" s="12"/>
    </row>
    <row r="8" spans="1:30" s="5" customFormat="1" ht="18.75">
      <c r="A8" s="30"/>
      <c r="B8" s="70"/>
      <c r="C8" s="10"/>
      <c r="D8" s="30"/>
      <c r="E8" s="70"/>
      <c r="F8" s="12"/>
      <c r="G8" s="30"/>
      <c r="H8" s="70"/>
      <c r="I8" s="12"/>
      <c r="J8" s="30"/>
      <c r="K8" s="70"/>
      <c r="L8" s="12"/>
      <c r="M8" s="30"/>
      <c r="N8" s="70"/>
      <c r="O8" s="12"/>
      <c r="P8" s="30"/>
      <c r="Q8" s="70"/>
      <c r="R8" s="15"/>
      <c r="S8" s="30"/>
      <c r="T8" s="70"/>
      <c r="U8" s="12"/>
      <c r="V8" s="30"/>
      <c r="W8" s="70"/>
      <c r="X8" s="12"/>
      <c r="Y8" s="30"/>
      <c r="Z8" s="68"/>
      <c r="AA8" s="12"/>
      <c r="AB8" s="30"/>
      <c r="AC8" s="68"/>
      <c r="AD8" s="12"/>
    </row>
    <row r="9" spans="1:30" s="5" customFormat="1" ht="18.75">
      <c r="A9" s="30"/>
      <c r="B9" s="70"/>
      <c r="C9" s="10"/>
      <c r="D9" s="30"/>
      <c r="E9" s="70"/>
      <c r="F9" s="12"/>
      <c r="G9" s="30"/>
      <c r="H9" s="70"/>
      <c r="I9" s="12"/>
      <c r="J9" s="30"/>
      <c r="K9" s="70"/>
      <c r="L9" s="12"/>
      <c r="M9" s="30"/>
      <c r="N9" s="70"/>
      <c r="O9" s="12"/>
      <c r="P9" s="30"/>
      <c r="Q9" s="70"/>
      <c r="R9" s="12"/>
      <c r="S9" s="30"/>
      <c r="T9" s="70"/>
      <c r="U9" s="12"/>
      <c r="V9" s="30"/>
      <c r="W9" s="70"/>
      <c r="X9" s="12"/>
      <c r="Y9" s="30"/>
      <c r="Z9" s="68"/>
      <c r="AA9" s="12"/>
      <c r="AB9" s="30"/>
      <c r="AC9" s="68"/>
      <c r="AD9" s="12"/>
    </row>
    <row r="10" spans="1:30" s="5" customFormat="1" ht="18.75">
      <c r="A10" s="30"/>
      <c r="B10" s="70"/>
      <c r="C10" s="10"/>
      <c r="D10" s="30"/>
      <c r="E10" s="70"/>
      <c r="F10" s="12"/>
      <c r="G10" s="30"/>
      <c r="H10" s="70"/>
      <c r="I10" s="12"/>
      <c r="J10" s="30"/>
      <c r="K10" s="70"/>
      <c r="L10" s="12"/>
      <c r="M10" s="30"/>
      <c r="N10" s="70"/>
      <c r="O10" s="12"/>
      <c r="P10" s="30"/>
      <c r="Q10" s="70"/>
      <c r="R10" s="15"/>
      <c r="S10" s="30"/>
      <c r="T10" s="70"/>
      <c r="U10" s="12"/>
      <c r="V10" s="30"/>
      <c r="W10" s="70"/>
      <c r="X10" s="20"/>
      <c r="Y10" s="30"/>
      <c r="Z10" s="68"/>
      <c r="AA10" s="20"/>
      <c r="AB10" s="30"/>
      <c r="AC10" s="68"/>
      <c r="AD10" s="20"/>
    </row>
    <row r="11" spans="1:30" s="5" customFormat="1" ht="18.75">
      <c r="A11" s="30"/>
      <c r="B11" s="70"/>
      <c r="C11" s="10"/>
      <c r="D11" s="30"/>
      <c r="E11" s="70"/>
      <c r="F11" s="20"/>
      <c r="G11" s="30"/>
      <c r="H11" s="70"/>
      <c r="I11" s="20"/>
      <c r="J11" s="30"/>
      <c r="K11" s="70"/>
      <c r="L11" s="12"/>
      <c r="M11" s="30"/>
      <c r="N11" s="70"/>
      <c r="O11" s="12"/>
      <c r="P11" s="30"/>
      <c r="Q11" s="70"/>
      <c r="R11" s="12"/>
      <c r="S11" s="30"/>
      <c r="T11" s="70"/>
      <c r="U11" s="12"/>
      <c r="V11" s="30"/>
      <c r="W11" s="70"/>
      <c r="X11" s="20"/>
      <c r="Y11" s="30"/>
      <c r="Z11" s="68"/>
      <c r="AA11" s="20"/>
      <c r="AB11" s="30"/>
      <c r="AC11" s="68"/>
      <c r="AD11" s="20"/>
    </row>
    <row r="12" spans="1:30" s="5" customFormat="1" ht="18.75">
      <c r="A12" s="30"/>
      <c r="B12" s="70"/>
      <c r="C12" s="10"/>
      <c r="D12" s="30"/>
      <c r="E12" s="70"/>
      <c r="F12" s="12"/>
      <c r="G12" s="30"/>
      <c r="H12" s="70"/>
      <c r="I12" s="12"/>
      <c r="J12" s="30"/>
      <c r="K12" s="70"/>
      <c r="L12" s="20"/>
      <c r="M12" s="30"/>
      <c r="N12" s="70"/>
      <c r="O12" s="12"/>
      <c r="P12" s="30"/>
      <c r="Q12" s="70"/>
      <c r="R12" s="12"/>
      <c r="S12" s="30"/>
      <c r="T12" s="70"/>
      <c r="U12" s="12"/>
      <c r="V12" s="30"/>
      <c r="W12" s="70"/>
      <c r="X12" s="20"/>
      <c r="Y12" s="30"/>
      <c r="Z12" s="68"/>
      <c r="AA12" s="20"/>
      <c r="AB12" s="30"/>
      <c r="AC12" s="68"/>
      <c r="AD12" s="20"/>
    </row>
    <row r="13" spans="1:30" s="5" customFormat="1" ht="18.75">
      <c r="A13" s="30"/>
      <c r="B13" s="70"/>
      <c r="C13" s="10"/>
      <c r="D13" s="30"/>
      <c r="E13" s="70"/>
      <c r="F13" s="20"/>
      <c r="G13" s="30"/>
      <c r="H13" s="70"/>
      <c r="I13" s="12"/>
      <c r="J13" s="30"/>
      <c r="K13" s="70"/>
      <c r="L13" s="12"/>
      <c r="M13" s="30"/>
      <c r="N13" s="70"/>
      <c r="O13" s="12"/>
      <c r="P13" s="30"/>
      <c r="Q13" s="70"/>
      <c r="R13" s="12"/>
      <c r="S13" s="30"/>
      <c r="T13" s="70"/>
      <c r="U13" s="12"/>
      <c r="V13" s="30"/>
      <c r="W13" s="70"/>
      <c r="X13" s="20"/>
      <c r="Y13" s="30"/>
      <c r="Z13" s="68"/>
      <c r="AA13" s="20"/>
      <c r="AB13" s="30"/>
      <c r="AC13" s="68"/>
      <c r="AD13" s="20"/>
    </row>
    <row r="14" spans="1:30" s="5" customFormat="1" ht="18.75">
      <c r="A14" s="30"/>
      <c r="B14" s="70"/>
      <c r="C14" s="10"/>
      <c r="D14" s="30"/>
      <c r="E14" s="70"/>
      <c r="F14" s="12"/>
      <c r="G14" s="30"/>
      <c r="H14" s="70"/>
      <c r="I14" s="12"/>
      <c r="J14" s="30"/>
      <c r="K14" s="70"/>
      <c r="L14" s="12"/>
      <c r="M14" s="30"/>
      <c r="N14" s="70"/>
      <c r="O14" s="12"/>
      <c r="P14" s="30"/>
      <c r="Q14" s="70"/>
      <c r="R14" s="12"/>
      <c r="S14" s="30"/>
      <c r="T14" s="70"/>
      <c r="U14" s="12"/>
      <c r="V14" s="30"/>
      <c r="W14" s="70"/>
      <c r="X14" s="20"/>
      <c r="Y14" s="30"/>
      <c r="Z14" s="68"/>
      <c r="AA14" s="20"/>
      <c r="AB14" s="30"/>
      <c r="AC14" s="68"/>
      <c r="AD14" s="20"/>
    </row>
    <row r="15" spans="1:30" s="5" customFormat="1" ht="18.75">
      <c r="A15" s="30"/>
      <c r="B15" s="70"/>
      <c r="C15" s="10"/>
      <c r="D15" s="30"/>
      <c r="E15" s="70"/>
      <c r="F15" s="15"/>
      <c r="G15" s="30"/>
      <c r="H15" s="70"/>
      <c r="I15" s="12"/>
      <c r="J15" s="30"/>
      <c r="K15" s="70"/>
      <c r="L15" s="12"/>
      <c r="M15" s="30"/>
      <c r="N15" s="70"/>
      <c r="O15" s="12"/>
      <c r="P15" s="30"/>
      <c r="Q15" s="70"/>
      <c r="R15" s="12"/>
      <c r="S15" s="30"/>
      <c r="T15" s="70"/>
      <c r="U15" s="12"/>
      <c r="V15" s="30"/>
      <c r="W15" s="70"/>
      <c r="X15" s="20"/>
      <c r="Y15" s="30"/>
      <c r="Z15" s="68"/>
      <c r="AA15" s="20"/>
      <c r="AB15" s="30"/>
      <c r="AC15" s="68"/>
      <c r="AD15" s="20"/>
    </row>
    <row r="16" spans="1:30" s="5" customFormat="1" ht="18.75">
      <c r="A16" s="30"/>
      <c r="B16" s="70"/>
      <c r="C16" s="10"/>
      <c r="D16" s="30"/>
      <c r="E16" s="70"/>
      <c r="F16" s="12"/>
      <c r="G16" s="30"/>
      <c r="H16" s="70"/>
      <c r="I16" s="12"/>
      <c r="J16" s="30"/>
      <c r="K16" s="70"/>
      <c r="L16" s="12"/>
      <c r="M16" s="30"/>
      <c r="N16" s="70"/>
      <c r="O16" s="12"/>
      <c r="P16" s="30"/>
      <c r="Q16" s="70"/>
      <c r="R16" s="12"/>
      <c r="S16" s="30"/>
      <c r="T16" s="70"/>
      <c r="U16" s="12"/>
      <c r="V16" s="30"/>
      <c r="W16" s="70"/>
      <c r="X16" s="20"/>
      <c r="Y16" s="30"/>
      <c r="Z16" s="68"/>
      <c r="AA16" s="20"/>
      <c r="AB16" s="30"/>
      <c r="AC16" s="68"/>
      <c r="AD16" s="20"/>
    </row>
    <row r="17" spans="1:30" s="5" customFormat="1" ht="18.75">
      <c r="A17" s="30"/>
      <c r="B17" s="70"/>
      <c r="C17" s="10"/>
      <c r="D17" s="30"/>
      <c r="E17" s="70"/>
      <c r="F17" s="20"/>
      <c r="G17" s="30"/>
      <c r="H17" s="70"/>
      <c r="I17" s="12"/>
      <c r="J17" s="30"/>
      <c r="K17" s="70"/>
      <c r="L17" s="12"/>
      <c r="M17" s="30"/>
      <c r="N17" s="70"/>
      <c r="O17" s="12"/>
      <c r="P17" s="30"/>
      <c r="Q17" s="70"/>
      <c r="R17" s="12"/>
      <c r="S17" s="30"/>
      <c r="T17" s="70"/>
      <c r="U17" s="12"/>
      <c r="V17" s="30"/>
      <c r="W17" s="70"/>
      <c r="X17" s="20"/>
      <c r="Y17" s="30"/>
      <c r="Z17" s="68"/>
      <c r="AA17" s="20"/>
      <c r="AB17" s="30"/>
      <c r="AC17" s="68"/>
      <c r="AD17" s="20"/>
    </row>
    <row r="18" spans="1:30" s="5" customFormat="1" ht="18.75">
      <c r="A18" s="30"/>
      <c r="B18" s="70"/>
      <c r="C18" s="10"/>
      <c r="D18" s="30"/>
      <c r="E18" s="70"/>
      <c r="F18" s="12"/>
      <c r="G18" s="30"/>
      <c r="H18" s="70"/>
      <c r="I18" s="20"/>
      <c r="J18" s="30"/>
      <c r="K18" s="70"/>
      <c r="L18" s="12"/>
      <c r="M18" s="30"/>
      <c r="N18" s="70"/>
      <c r="O18" s="12"/>
      <c r="P18" s="30"/>
      <c r="Q18" s="70"/>
      <c r="R18" s="12"/>
      <c r="S18" s="30"/>
      <c r="T18" s="70"/>
      <c r="U18" s="20"/>
      <c r="V18" s="30"/>
      <c r="W18" s="70"/>
      <c r="X18" s="20"/>
      <c r="Y18" s="30"/>
      <c r="Z18" s="68"/>
      <c r="AA18" s="20"/>
      <c r="AB18" s="30"/>
      <c r="AC18" s="68"/>
      <c r="AD18" s="20"/>
    </row>
    <row r="19" spans="1:30" s="5" customFormat="1" ht="18.75">
      <c r="A19" s="30"/>
      <c r="B19" s="70"/>
      <c r="C19" s="10"/>
      <c r="D19" s="30"/>
      <c r="E19" s="70"/>
      <c r="F19" s="20"/>
      <c r="G19" s="30"/>
      <c r="H19" s="70"/>
      <c r="I19" s="12"/>
      <c r="J19" s="30"/>
      <c r="K19" s="70"/>
      <c r="L19" s="20"/>
      <c r="M19" s="30"/>
      <c r="N19" s="70"/>
      <c r="O19" s="12"/>
      <c r="P19" s="30"/>
      <c r="Q19" s="70"/>
      <c r="R19" s="15"/>
      <c r="S19" s="30"/>
      <c r="T19" s="70"/>
      <c r="U19" s="12"/>
      <c r="V19" s="30"/>
      <c r="W19" s="70"/>
      <c r="X19" s="20"/>
      <c r="Y19" s="30"/>
      <c r="Z19" s="68"/>
      <c r="AA19" s="20"/>
      <c r="AB19" s="30"/>
      <c r="AC19" s="68"/>
      <c r="AD19" s="20"/>
    </row>
    <row r="20" spans="1:30" s="5" customFormat="1" ht="18.75">
      <c r="A20" s="30"/>
      <c r="B20" s="70"/>
      <c r="C20" s="13"/>
      <c r="D20" s="30"/>
      <c r="E20" s="70"/>
      <c r="F20" s="12"/>
      <c r="G20" s="30"/>
      <c r="H20" s="70"/>
      <c r="I20" s="12"/>
      <c r="J20" s="30"/>
      <c r="K20" s="70"/>
      <c r="L20" s="20"/>
      <c r="M20" s="30"/>
      <c r="N20" s="70"/>
      <c r="O20" s="12"/>
      <c r="P20" s="30"/>
      <c r="Q20" s="70"/>
      <c r="R20" s="12"/>
      <c r="S20" s="30"/>
      <c r="T20" s="70"/>
      <c r="U20" s="12"/>
      <c r="V20" s="30"/>
      <c r="W20" s="70"/>
      <c r="X20" s="20"/>
      <c r="Y20" s="30"/>
      <c r="Z20" s="68"/>
      <c r="AA20" s="20"/>
      <c r="AB20" s="30"/>
      <c r="AC20" s="68"/>
      <c r="AD20" s="20"/>
    </row>
    <row r="21" spans="1:30" s="5" customFormat="1" ht="18.75">
      <c r="A21" s="30"/>
      <c r="B21" s="70"/>
      <c r="C21" s="10"/>
      <c r="D21" s="30"/>
      <c r="E21" s="70"/>
      <c r="F21" s="20"/>
      <c r="G21" s="30"/>
      <c r="H21" s="70"/>
      <c r="I21" s="12"/>
      <c r="J21" s="30"/>
      <c r="K21" s="70"/>
      <c r="L21" s="12"/>
      <c r="M21" s="30"/>
      <c r="N21" s="70"/>
      <c r="O21" s="20"/>
      <c r="P21" s="30"/>
      <c r="Q21" s="70"/>
      <c r="R21" s="12"/>
      <c r="S21" s="30"/>
      <c r="T21" s="70"/>
      <c r="U21" s="12"/>
      <c r="V21" s="30"/>
      <c r="W21" s="70"/>
      <c r="X21" s="20"/>
      <c r="Y21" s="30"/>
      <c r="Z21" s="68"/>
      <c r="AA21" s="20"/>
      <c r="AB21" s="30"/>
      <c r="AC21" s="68"/>
      <c r="AD21" s="20"/>
    </row>
    <row r="22" spans="1:30" s="5" customFormat="1" ht="18.75">
      <c r="A22" s="30"/>
      <c r="B22" s="70"/>
      <c r="C22" s="10"/>
      <c r="D22" s="30"/>
      <c r="E22" s="70"/>
      <c r="F22" s="12"/>
      <c r="G22" s="30"/>
      <c r="H22" s="70"/>
      <c r="I22" s="12"/>
      <c r="J22" s="30"/>
      <c r="K22" s="70"/>
      <c r="L22" s="12"/>
      <c r="M22" s="30"/>
      <c r="N22" s="70"/>
      <c r="O22" s="20"/>
      <c r="P22" s="30"/>
      <c r="Q22" s="70"/>
      <c r="R22" s="12"/>
      <c r="S22" s="30"/>
      <c r="T22" s="70"/>
      <c r="U22" s="12"/>
      <c r="V22" s="30"/>
      <c r="W22" s="70"/>
      <c r="X22" s="20"/>
      <c r="Y22" s="30"/>
      <c r="Z22" s="68"/>
      <c r="AA22" s="20"/>
      <c r="AB22" s="30"/>
      <c r="AC22" s="68"/>
      <c r="AD22" s="20"/>
    </row>
    <row r="23" spans="1:30" s="5" customFormat="1" ht="18.75">
      <c r="A23" s="30"/>
      <c r="B23" s="70"/>
      <c r="C23" s="10"/>
      <c r="D23" s="30"/>
      <c r="E23" s="70"/>
      <c r="F23" s="12"/>
      <c r="G23" s="30"/>
      <c r="H23" s="70"/>
      <c r="I23" s="12"/>
      <c r="J23" s="30"/>
      <c r="K23" s="70"/>
      <c r="L23" s="12"/>
      <c r="M23" s="30"/>
      <c r="N23" s="70"/>
      <c r="O23" s="12"/>
      <c r="P23" s="30"/>
      <c r="Q23" s="70"/>
      <c r="R23" s="12"/>
      <c r="S23" s="30"/>
      <c r="T23" s="70"/>
      <c r="U23" s="12"/>
      <c r="V23" s="30"/>
      <c r="W23" s="70"/>
      <c r="X23" s="20"/>
      <c r="Y23" s="30"/>
      <c r="Z23" s="68"/>
      <c r="AA23" s="20"/>
      <c r="AB23" s="30"/>
      <c r="AC23" s="68"/>
      <c r="AD23" s="20"/>
    </row>
    <row r="24" spans="1:30" s="5" customFormat="1" ht="18.75">
      <c r="A24" s="30"/>
      <c r="B24" s="70"/>
      <c r="C24" s="10"/>
      <c r="D24" s="30"/>
      <c r="E24" s="70"/>
      <c r="F24" s="12"/>
      <c r="G24" s="30"/>
      <c r="H24" s="70"/>
      <c r="I24" s="12"/>
      <c r="J24" s="30"/>
      <c r="K24" s="70"/>
      <c r="L24" s="15"/>
      <c r="M24" s="30"/>
      <c r="N24" s="70"/>
      <c r="O24" s="12"/>
      <c r="P24" s="30"/>
      <c r="Q24" s="70"/>
      <c r="R24" s="12"/>
      <c r="S24" s="30"/>
      <c r="T24" s="70"/>
      <c r="U24" s="12"/>
      <c r="V24" s="30"/>
      <c r="W24" s="70"/>
      <c r="X24" s="20"/>
      <c r="Y24" s="30"/>
      <c r="Z24" s="68"/>
      <c r="AA24" s="20"/>
      <c r="AB24" s="30"/>
      <c r="AC24" s="68"/>
      <c r="AD24" s="20"/>
    </row>
    <row r="25" spans="1:30" s="5" customFormat="1" ht="18.75">
      <c r="A25" s="30"/>
      <c r="B25" s="70"/>
      <c r="C25" s="10"/>
      <c r="D25" s="30"/>
      <c r="E25" s="70"/>
      <c r="F25" s="12"/>
      <c r="G25" s="30"/>
      <c r="H25" s="70"/>
      <c r="I25" s="12"/>
      <c r="J25" s="30"/>
      <c r="K25" s="70"/>
      <c r="L25" s="12"/>
      <c r="M25" s="30"/>
      <c r="N25" s="70"/>
      <c r="O25" s="12"/>
      <c r="P25" s="30"/>
      <c r="Q25" s="70"/>
      <c r="R25" s="12"/>
      <c r="S25" s="30"/>
      <c r="T25" s="70"/>
      <c r="U25" s="12"/>
      <c r="V25" s="30"/>
      <c r="W25" s="70"/>
      <c r="X25" s="20"/>
      <c r="Y25" s="30"/>
      <c r="Z25" s="68"/>
      <c r="AA25" s="20"/>
      <c r="AB25" s="30"/>
      <c r="AC25" s="68"/>
      <c r="AD25" s="20"/>
    </row>
    <row r="26" spans="1:30" s="5" customFormat="1" ht="18.75">
      <c r="A26" s="30"/>
      <c r="B26" s="70"/>
      <c r="C26" s="10"/>
      <c r="D26" s="30"/>
      <c r="E26" s="70"/>
      <c r="F26" s="12"/>
      <c r="G26" s="30"/>
      <c r="H26" s="70"/>
      <c r="I26" s="12"/>
      <c r="J26" s="30"/>
      <c r="K26" s="70"/>
      <c r="L26" s="15"/>
      <c r="M26" s="30"/>
      <c r="N26" s="70"/>
      <c r="O26" s="12"/>
      <c r="P26" s="30"/>
      <c r="Q26" s="70"/>
      <c r="R26" s="12"/>
      <c r="S26" s="30"/>
      <c r="T26" s="70"/>
      <c r="U26" s="12"/>
      <c r="V26" s="30"/>
      <c r="W26" s="70"/>
      <c r="X26" s="20"/>
      <c r="Y26" s="30"/>
      <c r="Z26" s="68"/>
      <c r="AA26" s="20"/>
      <c r="AB26" s="30"/>
      <c r="AC26" s="68"/>
      <c r="AD26" s="20"/>
    </row>
    <row r="27" spans="1:30" s="5" customFormat="1" ht="18.75">
      <c r="A27" s="30"/>
      <c r="B27" s="70"/>
      <c r="C27" s="10"/>
      <c r="D27" s="30"/>
      <c r="E27" s="70"/>
      <c r="F27" s="12"/>
      <c r="G27" s="30"/>
      <c r="H27" s="70"/>
      <c r="I27" s="12"/>
      <c r="J27" s="30"/>
      <c r="K27" s="70"/>
      <c r="L27" s="12"/>
      <c r="M27" s="30"/>
      <c r="N27" s="70"/>
      <c r="O27" s="12"/>
      <c r="P27" s="30"/>
      <c r="Q27" s="70"/>
      <c r="R27" s="12"/>
      <c r="S27" s="30"/>
      <c r="T27" s="70"/>
      <c r="U27" s="12"/>
      <c r="V27" s="30"/>
      <c r="W27" s="70"/>
      <c r="X27" s="20"/>
      <c r="Y27" s="30"/>
      <c r="Z27" s="68"/>
      <c r="AA27" s="20"/>
      <c r="AB27" s="30"/>
      <c r="AC27" s="68"/>
      <c r="AD27" s="20"/>
    </row>
    <row r="28" spans="1:30" s="5" customFormat="1" ht="18.75">
      <c r="A28" s="30"/>
      <c r="B28" s="70"/>
      <c r="C28" s="10"/>
      <c r="D28" s="30"/>
      <c r="E28" s="70"/>
      <c r="F28" s="12"/>
      <c r="G28" s="30"/>
      <c r="H28" s="70"/>
      <c r="I28" s="12"/>
      <c r="J28" s="30"/>
      <c r="K28" s="70"/>
      <c r="L28" s="12"/>
      <c r="M28" s="30"/>
      <c r="N28" s="70"/>
      <c r="O28" s="12"/>
      <c r="P28" s="30"/>
      <c r="Q28" s="70"/>
      <c r="R28" s="12"/>
      <c r="S28" s="30"/>
      <c r="T28" s="70"/>
      <c r="U28" s="12"/>
      <c r="V28" s="30"/>
      <c r="W28" s="70"/>
      <c r="X28" s="20"/>
      <c r="Y28" s="30"/>
      <c r="Z28" s="68"/>
      <c r="AA28" s="20"/>
      <c r="AB28" s="30"/>
      <c r="AC28" s="68"/>
      <c r="AD28" s="20"/>
    </row>
    <row r="29" spans="1:30" s="5" customFormat="1" ht="18.75">
      <c r="A29" s="30"/>
      <c r="B29" s="70"/>
      <c r="C29" s="12"/>
      <c r="D29" s="30"/>
      <c r="E29" s="70"/>
      <c r="F29" s="20"/>
      <c r="G29" s="30"/>
      <c r="H29" s="70"/>
      <c r="I29" s="12"/>
      <c r="J29" s="30"/>
      <c r="K29" s="70"/>
      <c r="L29" s="12"/>
      <c r="M29" s="30"/>
      <c r="N29" s="70"/>
      <c r="O29" s="20"/>
      <c r="P29" s="30"/>
      <c r="Q29" s="70"/>
      <c r="R29" s="12"/>
      <c r="S29" s="30"/>
      <c r="T29" s="70"/>
      <c r="U29" s="12"/>
      <c r="V29" s="30"/>
      <c r="W29" s="70"/>
      <c r="X29" s="20"/>
      <c r="Y29" s="30"/>
      <c r="Z29" s="68"/>
      <c r="AA29" s="20"/>
      <c r="AB29" s="30"/>
      <c r="AC29" s="68"/>
      <c r="AD29" s="20"/>
    </row>
    <row r="30" spans="1:30" s="5" customFormat="1" ht="18.75">
      <c r="A30" s="30"/>
      <c r="B30" s="70"/>
      <c r="C30" s="19"/>
      <c r="D30" s="30"/>
      <c r="E30" s="70"/>
      <c r="F30" s="20"/>
      <c r="G30" s="30"/>
      <c r="H30" s="70"/>
      <c r="I30" s="12"/>
      <c r="J30" s="30"/>
      <c r="K30" s="70"/>
      <c r="L30" s="12"/>
      <c r="M30" s="30"/>
      <c r="N30" s="70"/>
      <c r="O30" s="12"/>
      <c r="P30" s="30"/>
      <c r="Q30" s="70"/>
      <c r="R30" s="12"/>
      <c r="S30" s="30"/>
      <c r="T30" s="70"/>
      <c r="U30" s="12"/>
      <c r="V30" s="30"/>
      <c r="W30" s="70"/>
      <c r="X30" s="20"/>
      <c r="Y30" s="30"/>
      <c r="Z30" s="68"/>
      <c r="AA30" s="20"/>
      <c r="AB30" s="30"/>
      <c r="AC30" s="68"/>
      <c r="AD30" s="20"/>
    </row>
    <row r="31" spans="1:30" s="5" customFormat="1" ht="18.75">
      <c r="A31" s="30"/>
      <c r="B31" s="70"/>
      <c r="C31" s="10"/>
      <c r="D31" s="30"/>
      <c r="E31" s="70"/>
      <c r="F31" s="12"/>
      <c r="G31" s="30"/>
      <c r="H31" s="70"/>
      <c r="I31" s="12"/>
      <c r="J31" s="30"/>
      <c r="K31" s="70"/>
      <c r="L31" s="12"/>
      <c r="M31" s="30"/>
      <c r="N31" s="70"/>
      <c r="O31" s="12"/>
      <c r="P31" s="30"/>
      <c r="Q31" s="70"/>
      <c r="R31" s="12"/>
      <c r="S31" s="30"/>
      <c r="T31" s="70"/>
      <c r="U31" s="12"/>
      <c r="V31" s="30"/>
      <c r="W31" s="70"/>
      <c r="X31" s="20"/>
      <c r="Y31" s="30"/>
      <c r="Z31" s="68"/>
      <c r="AA31" s="20"/>
      <c r="AB31" s="30"/>
      <c r="AC31" s="68"/>
      <c r="AD31" s="20"/>
    </row>
    <row r="32" spans="1:30" s="5" customFormat="1" ht="18.75">
      <c r="A32" s="30"/>
      <c r="B32" s="70"/>
      <c r="C32" s="10"/>
      <c r="D32" s="30"/>
      <c r="E32" s="70"/>
      <c r="F32" s="12"/>
      <c r="G32" s="30"/>
      <c r="H32" s="70"/>
      <c r="I32" s="12"/>
      <c r="J32" s="30"/>
      <c r="K32" s="70"/>
      <c r="L32" s="12"/>
      <c r="M32" s="30"/>
      <c r="N32" s="70"/>
      <c r="O32" s="11"/>
      <c r="P32" s="30"/>
      <c r="Q32" s="70"/>
      <c r="R32" s="12"/>
      <c r="S32" s="30"/>
      <c r="T32" s="70"/>
      <c r="U32" s="12"/>
      <c r="V32" s="30"/>
      <c r="W32" s="70"/>
      <c r="X32" s="20"/>
      <c r="Y32" s="30"/>
      <c r="Z32" s="68"/>
      <c r="AA32" s="20"/>
      <c r="AB32" s="30"/>
      <c r="AC32" s="68"/>
      <c r="AD32" s="20"/>
    </row>
    <row r="33" spans="1:32" s="5" customFormat="1" ht="18.75">
      <c r="A33" s="30"/>
      <c r="B33" s="70"/>
      <c r="C33" s="12"/>
      <c r="D33" s="30"/>
      <c r="E33" s="70"/>
      <c r="F33" s="12"/>
      <c r="G33" s="30"/>
      <c r="H33" s="70"/>
      <c r="I33" s="12"/>
      <c r="J33" s="30"/>
      <c r="K33" s="70"/>
      <c r="L33" s="12"/>
      <c r="M33" s="30"/>
      <c r="N33" s="70"/>
      <c r="O33" s="12"/>
      <c r="P33" s="30"/>
      <c r="Q33" s="70"/>
      <c r="R33" s="12"/>
      <c r="S33" s="30"/>
      <c r="T33" s="70"/>
      <c r="U33" s="12"/>
      <c r="V33" s="30"/>
      <c r="W33" s="70"/>
      <c r="X33" s="20"/>
      <c r="Y33" s="30"/>
      <c r="Z33" s="68"/>
      <c r="AA33" s="20"/>
      <c r="AB33" s="30"/>
      <c r="AC33" s="68"/>
      <c r="AD33" s="20"/>
    </row>
    <row r="34" spans="1:32" s="5" customFormat="1" ht="18.75">
      <c r="A34" s="30"/>
      <c r="B34" s="70"/>
      <c r="D34" s="30"/>
      <c r="E34" s="70"/>
      <c r="F34" s="12"/>
      <c r="G34" s="30"/>
      <c r="H34" s="70"/>
      <c r="I34" s="20"/>
      <c r="J34" s="30"/>
      <c r="K34" s="70"/>
      <c r="L34" s="12"/>
      <c r="M34" s="30"/>
      <c r="N34" s="70"/>
      <c r="O34" s="12"/>
      <c r="P34" s="30"/>
      <c r="Q34" s="70"/>
      <c r="R34" s="12"/>
      <c r="S34" s="30"/>
      <c r="T34" s="70"/>
      <c r="U34" s="12"/>
      <c r="V34" s="30"/>
      <c r="W34" s="70"/>
      <c r="X34" s="20"/>
      <c r="Y34" s="30"/>
      <c r="Z34" s="68"/>
      <c r="AA34" s="20"/>
      <c r="AB34" s="30"/>
      <c r="AC34" s="68"/>
      <c r="AD34" s="20"/>
    </row>
    <row r="35" spans="1:32" s="5" customFormat="1" ht="18.75">
      <c r="A35" s="30"/>
      <c r="B35" s="70"/>
      <c r="C35" s="10"/>
      <c r="D35" s="30"/>
      <c r="E35" s="70"/>
      <c r="F35" s="12"/>
      <c r="G35" s="30"/>
      <c r="H35" s="70"/>
      <c r="I35" s="12"/>
      <c r="J35" s="30"/>
      <c r="K35" s="70"/>
      <c r="L35" s="12"/>
      <c r="M35" s="30"/>
      <c r="N35" s="70"/>
      <c r="O35" s="20"/>
      <c r="P35" s="30"/>
      <c r="Q35" s="70"/>
      <c r="R35" s="12"/>
      <c r="S35" s="30"/>
      <c r="T35" s="70"/>
      <c r="U35" s="12"/>
      <c r="V35" s="30"/>
      <c r="W35" s="70"/>
      <c r="X35" s="20"/>
      <c r="Y35" s="30"/>
      <c r="Z35" s="68"/>
      <c r="AA35" s="20"/>
      <c r="AB35" s="30"/>
      <c r="AC35" s="68"/>
      <c r="AD35" s="20"/>
    </row>
    <row r="36" spans="1:32" s="5" customFormat="1" ht="18.75">
      <c r="A36" s="30"/>
      <c r="B36" s="70"/>
      <c r="C36" s="10"/>
      <c r="D36" s="30"/>
      <c r="E36" s="70"/>
      <c r="F36" s="12"/>
      <c r="G36" s="30"/>
      <c r="H36" s="70"/>
      <c r="I36" s="12"/>
      <c r="J36" s="30"/>
      <c r="K36" s="70"/>
      <c r="L36" s="12"/>
      <c r="M36" s="30"/>
      <c r="N36" s="70"/>
      <c r="O36" s="12"/>
      <c r="P36" s="30"/>
      <c r="Q36" s="70"/>
      <c r="R36" s="12"/>
      <c r="S36" s="30"/>
      <c r="T36" s="70"/>
      <c r="U36" s="12"/>
      <c r="V36" s="30"/>
      <c r="W36" s="70"/>
      <c r="X36" s="20"/>
      <c r="Y36" s="30"/>
      <c r="Z36" s="68"/>
      <c r="AA36" s="20"/>
      <c r="AB36" s="30"/>
      <c r="AC36" s="68"/>
      <c r="AD36" s="20"/>
    </row>
    <row r="37" spans="1:32" s="5" customFormat="1" ht="18.75">
      <c r="A37" s="30"/>
      <c r="B37" s="70"/>
      <c r="C37" s="12"/>
      <c r="D37" s="30"/>
      <c r="E37" s="70"/>
      <c r="F37" s="12"/>
      <c r="G37" s="30"/>
      <c r="H37" s="70"/>
      <c r="I37" s="12"/>
      <c r="J37" s="30"/>
      <c r="K37" s="70"/>
      <c r="L37" s="12"/>
      <c r="M37" s="30"/>
      <c r="N37" s="70"/>
      <c r="O37" s="12"/>
      <c r="P37" s="30"/>
      <c r="Q37" s="70"/>
      <c r="R37" s="12"/>
      <c r="S37" s="30"/>
      <c r="T37" s="70"/>
      <c r="U37" s="12"/>
      <c r="V37" s="30"/>
      <c r="W37" s="70"/>
      <c r="X37" s="20"/>
      <c r="Y37" s="30"/>
      <c r="Z37" s="68"/>
      <c r="AA37" s="20"/>
      <c r="AB37" s="30"/>
      <c r="AC37" s="68"/>
      <c r="AD37" s="20"/>
    </row>
    <row r="38" spans="1:32" s="5" customFormat="1" ht="18.75">
      <c r="A38" s="30"/>
      <c r="B38" s="70"/>
      <c r="C38" s="29"/>
      <c r="D38" s="30"/>
      <c r="E38" s="70"/>
      <c r="F38" s="12"/>
      <c r="G38" s="30"/>
      <c r="H38" s="70"/>
      <c r="I38" s="12"/>
      <c r="J38" s="30"/>
      <c r="K38" s="70"/>
      <c r="L38" s="12"/>
      <c r="M38" s="30"/>
      <c r="N38" s="70"/>
      <c r="O38" s="12"/>
      <c r="P38" s="30"/>
      <c r="Q38" s="70"/>
      <c r="R38" s="12"/>
      <c r="S38" s="30"/>
      <c r="T38" s="70"/>
      <c r="U38" s="12"/>
      <c r="V38" s="30"/>
      <c r="W38" s="70"/>
      <c r="X38" s="20"/>
      <c r="Y38" s="30"/>
      <c r="Z38" s="68"/>
      <c r="AA38" s="20"/>
      <c r="AB38" s="30"/>
      <c r="AC38" s="68"/>
      <c r="AD38" s="20"/>
    </row>
    <row r="39" spans="1:32" s="5" customFormat="1" ht="18.75">
      <c r="A39" s="33"/>
      <c r="B39" s="70"/>
      <c r="C39" s="34"/>
      <c r="D39" s="33"/>
      <c r="E39" s="70"/>
      <c r="F39" s="35"/>
      <c r="G39" s="33"/>
      <c r="H39" s="70"/>
      <c r="I39" s="35"/>
      <c r="J39" s="33"/>
      <c r="K39" s="70"/>
      <c r="L39" s="35"/>
      <c r="M39" s="33"/>
      <c r="N39" s="70"/>
      <c r="O39" s="36"/>
      <c r="P39" s="33"/>
      <c r="Q39" s="70"/>
      <c r="R39" s="35"/>
      <c r="S39" s="33"/>
      <c r="T39" s="70"/>
      <c r="U39" s="35"/>
      <c r="V39" s="33"/>
      <c r="W39" s="70"/>
      <c r="X39" s="37"/>
      <c r="Y39" s="33"/>
      <c r="Z39" s="69"/>
      <c r="AA39" s="37"/>
      <c r="AB39" s="33"/>
      <c r="AC39" s="69"/>
      <c r="AD39" s="37"/>
    </row>
    <row r="40" spans="1:32" s="5" customFormat="1" ht="18.75">
      <c r="A40" s="30"/>
      <c r="B40" s="70"/>
      <c r="C40" s="16"/>
      <c r="D40" s="30"/>
      <c r="E40" s="70"/>
      <c r="F40" s="12"/>
      <c r="G40" s="30"/>
      <c r="H40" s="70"/>
      <c r="I40" s="12"/>
      <c r="J40" s="30"/>
      <c r="K40" s="70"/>
      <c r="L40" s="12"/>
      <c r="M40" s="30"/>
      <c r="N40" s="70"/>
      <c r="O40" s="11"/>
      <c r="P40" s="30"/>
      <c r="Q40" s="70"/>
      <c r="R40" s="12"/>
      <c r="S40" s="30"/>
      <c r="T40" s="70"/>
      <c r="U40" s="12"/>
      <c r="V40" s="30"/>
      <c r="W40" s="70"/>
      <c r="X40" s="20"/>
      <c r="Y40" s="30"/>
      <c r="Z40" s="68"/>
      <c r="AA40" s="20"/>
      <c r="AB40" s="30"/>
      <c r="AC40" s="68"/>
      <c r="AD40" s="20"/>
    </row>
    <row r="41" spans="1:32" s="1" customFormat="1" ht="17.25">
      <c r="B41" s="47"/>
    </row>
    <row r="43" spans="1:32">
      <c r="A43" s="6"/>
      <c r="B43" s="48"/>
      <c r="C43" s="8"/>
      <c r="D43" s="6"/>
      <c r="E43" s="7"/>
      <c r="F43" s="8"/>
      <c r="G43" s="6"/>
      <c r="H43" s="7"/>
      <c r="I43" s="8"/>
      <c r="J43" s="6"/>
      <c r="K43" s="7"/>
      <c r="L43" s="8"/>
      <c r="M43" s="6"/>
      <c r="N43" s="7"/>
      <c r="O43" s="8"/>
      <c r="P43" s="6"/>
      <c r="Q43" s="7"/>
      <c r="R43" s="8"/>
      <c r="S43" s="6"/>
      <c r="T43" s="7"/>
      <c r="U43" s="8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8.75">
      <c r="A44" s="21"/>
      <c r="B44" s="46"/>
      <c r="C44" s="19"/>
      <c r="D44" s="6"/>
      <c r="E44" s="7"/>
      <c r="F44" s="8"/>
      <c r="G44" s="21"/>
      <c r="H44" s="21"/>
      <c r="I44" s="19"/>
      <c r="J44" s="6"/>
      <c r="K44" s="7"/>
      <c r="L44" s="8"/>
      <c r="M44" s="6"/>
      <c r="N44" s="7"/>
      <c r="O44" s="8"/>
      <c r="P44" s="6"/>
      <c r="Q44" s="7"/>
      <c r="R44" s="8"/>
      <c r="S44" s="6"/>
      <c r="T44" s="7"/>
      <c r="U44" s="8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ht="18.75">
      <c r="A45" s="6"/>
      <c r="B45" s="48"/>
      <c r="C45" s="8"/>
      <c r="D45" s="21"/>
      <c r="E45" s="21"/>
      <c r="F45" s="19"/>
      <c r="G45" s="5"/>
      <c r="H45" s="5"/>
      <c r="I45" s="4"/>
      <c r="J45" s="6"/>
      <c r="K45" s="7"/>
      <c r="L45" s="8"/>
      <c r="M45" s="6"/>
      <c r="N45" s="7"/>
      <c r="O45" s="8"/>
      <c r="P45" s="6"/>
      <c r="Q45" s="7"/>
      <c r="R45" s="8"/>
      <c r="S45" s="6"/>
      <c r="T45" s="7"/>
      <c r="U45" s="8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ht="18.75">
      <c r="A46" s="6"/>
      <c r="B46" s="48"/>
      <c r="C46" s="8"/>
      <c r="D46" s="21"/>
      <c r="E46" s="21"/>
      <c r="F46" s="19"/>
      <c r="G46" s="5"/>
      <c r="H46" s="9"/>
      <c r="I46" s="4"/>
      <c r="J46" s="21"/>
      <c r="K46" s="22"/>
      <c r="L46" s="19"/>
      <c r="M46" s="6"/>
      <c r="N46" s="7"/>
      <c r="O46" s="8"/>
      <c r="P46" s="6"/>
      <c r="Q46" s="7"/>
      <c r="R46" s="8"/>
      <c r="S46" s="6"/>
      <c r="T46" s="7"/>
      <c r="U46" s="8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ht="18.75">
      <c r="A47" s="6"/>
      <c r="B47" s="48"/>
      <c r="C47" s="8"/>
      <c r="D47" s="5"/>
      <c r="E47" s="5"/>
      <c r="F47" s="4"/>
      <c r="G47" s="6"/>
      <c r="H47" s="7"/>
      <c r="I47" s="8"/>
      <c r="J47" s="6"/>
      <c r="K47" s="7"/>
      <c r="L47" s="8"/>
      <c r="M47" s="21"/>
      <c r="N47" s="21"/>
      <c r="O47" s="21"/>
      <c r="P47" s="6"/>
      <c r="Q47" s="7"/>
      <c r="R47" s="8"/>
      <c r="S47" s="6"/>
      <c r="T47" s="7"/>
      <c r="U47" s="8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ht="17.25">
      <c r="A48" s="6"/>
      <c r="B48" s="48"/>
      <c r="C48" s="8"/>
      <c r="D48" s="6"/>
      <c r="E48" s="7"/>
      <c r="F48" s="8"/>
      <c r="G48" s="6"/>
      <c r="H48" s="7"/>
      <c r="I48" s="8"/>
      <c r="J48" s="6"/>
      <c r="K48" s="7"/>
      <c r="L48" s="8"/>
      <c r="M48" s="5"/>
      <c r="N48" s="5"/>
      <c r="O48" s="5"/>
      <c r="P48" s="6"/>
      <c r="Q48" s="7"/>
      <c r="R48" s="8"/>
      <c r="S48" s="6"/>
      <c r="T48" s="7"/>
      <c r="U48" s="8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ht="18.75">
      <c r="A49" s="6"/>
      <c r="B49" s="48"/>
      <c r="C49" s="8"/>
      <c r="D49" s="6"/>
      <c r="E49" s="7"/>
      <c r="F49" s="8"/>
      <c r="G49" s="6"/>
      <c r="H49" s="7"/>
      <c r="I49" s="8"/>
      <c r="J49" s="6"/>
      <c r="K49" s="7"/>
      <c r="L49" s="8"/>
      <c r="M49" s="5"/>
      <c r="N49" s="9"/>
      <c r="O49" s="4"/>
      <c r="P49" s="21"/>
      <c r="Q49" s="21"/>
      <c r="R49" s="19"/>
      <c r="S49" s="6"/>
      <c r="T49" s="7"/>
      <c r="U49" s="8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ht="17.25">
      <c r="A50" s="6"/>
      <c r="B50" s="48"/>
      <c r="C50" s="8"/>
      <c r="D50" s="5"/>
      <c r="E50" s="9"/>
      <c r="F50" s="4"/>
      <c r="G50" s="6"/>
      <c r="H50" s="7"/>
      <c r="I50" s="8"/>
      <c r="J50" s="6"/>
      <c r="K50" s="7"/>
      <c r="L50" s="8"/>
      <c r="M50" s="6"/>
      <c r="N50" s="7"/>
      <c r="O50" s="8"/>
      <c r="P50" s="5"/>
      <c r="Q50" s="9"/>
      <c r="R50" s="4"/>
      <c r="S50" s="6"/>
      <c r="T50" s="7"/>
      <c r="U50" s="8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>
      <c r="M51" s="6"/>
      <c r="N51" s="7"/>
      <c r="O51" s="8"/>
      <c r="P51" s="6"/>
      <c r="Q51" s="7"/>
      <c r="R51" s="8"/>
      <c r="S51" s="6"/>
      <c r="T51" s="7"/>
      <c r="U51" s="8"/>
    </row>
    <row r="52" spans="1:32">
      <c r="P52" s="6"/>
      <c r="Q52" s="7"/>
      <c r="R52" s="8"/>
      <c r="S52" s="6"/>
      <c r="T52" s="7"/>
      <c r="U52" s="8"/>
    </row>
    <row r="53" spans="1:32">
      <c r="P53" s="6"/>
      <c r="Q53" s="7"/>
      <c r="R53" s="8"/>
    </row>
  </sheetData>
  <pageMargins left="0.25" right="0.25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H53"/>
  <sheetViews>
    <sheetView workbookViewId="0">
      <selection activeCell="C3" sqref="C3"/>
    </sheetView>
  </sheetViews>
  <sheetFormatPr defaultRowHeight="15"/>
  <cols>
    <col min="1" max="1" width="23.7109375" customWidth="1"/>
    <col min="2" max="3" width="8.5703125" style="49" customWidth="1"/>
    <col min="4" max="4" width="8.5703125" style="3" customWidth="1"/>
    <col min="5" max="5" width="23.7109375" customWidth="1"/>
    <col min="6" max="6" width="8.5703125" style="2" customWidth="1"/>
    <col min="7" max="7" width="8.5703125" style="49" customWidth="1"/>
    <col min="8" max="8" width="8.5703125" style="3" customWidth="1"/>
    <col min="9" max="9" width="27.7109375" customWidth="1"/>
    <col min="10" max="10" width="9.140625" style="2" customWidth="1"/>
    <col min="11" max="11" width="9.140625" style="3"/>
    <col min="12" max="12" width="27.7109375" customWidth="1"/>
    <col min="13" max="13" width="9.140625" style="2"/>
    <col min="14" max="14" width="9.140625" style="3"/>
    <col min="15" max="15" width="27.7109375" customWidth="1"/>
    <col min="16" max="16" width="9.140625" style="2" customWidth="1"/>
    <col min="17" max="17" width="9.140625" style="3"/>
    <col min="18" max="18" width="27.7109375" customWidth="1"/>
    <col min="19" max="19" width="9.140625" style="2" customWidth="1"/>
    <col min="20" max="20" width="9.140625" style="3"/>
    <col min="21" max="21" width="27.7109375" customWidth="1"/>
    <col min="22" max="22" width="9.140625" style="2"/>
    <col min="23" max="23" width="9.140625" style="3"/>
    <col min="24" max="24" width="27.7109375" customWidth="1"/>
    <col min="26" max="26" width="9.140625" customWidth="1"/>
    <col min="27" max="27" width="27.7109375" customWidth="1"/>
    <col min="29" max="29" width="9.140625" customWidth="1"/>
    <col min="30" max="30" width="27.7109375" customWidth="1"/>
    <col min="32" max="32" width="9.140625" customWidth="1"/>
  </cols>
  <sheetData>
    <row r="1" spans="1:32" s="14" customFormat="1" ht="18.75">
      <c r="A1" s="14" t="s">
        <v>327</v>
      </c>
      <c r="B1" s="46"/>
      <c r="C1" s="46"/>
      <c r="D1" s="17"/>
      <c r="F1" s="18"/>
      <c r="G1" s="46"/>
      <c r="H1" s="17"/>
      <c r="J1" s="18"/>
      <c r="K1" s="17"/>
      <c r="M1" s="18"/>
      <c r="N1" s="17"/>
      <c r="P1" s="18"/>
      <c r="Q1" s="17"/>
      <c r="S1" s="18"/>
      <c r="T1" s="17"/>
      <c r="V1" s="18"/>
      <c r="W1" s="17"/>
    </row>
    <row r="2" spans="1:32" s="6" customFormat="1" ht="18.75">
      <c r="A2" s="42"/>
      <c r="B2" s="43" t="s">
        <v>0</v>
      </c>
      <c r="C2" s="43" t="s">
        <v>728</v>
      </c>
      <c r="D2" s="39" t="s">
        <v>1</v>
      </c>
      <c r="E2" s="42"/>
      <c r="F2" s="43" t="s">
        <v>0</v>
      </c>
      <c r="G2" s="43" t="s">
        <v>728</v>
      </c>
      <c r="H2" s="39" t="s">
        <v>1</v>
      </c>
      <c r="I2" s="42"/>
      <c r="J2" s="43" t="s">
        <v>0</v>
      </c>
      <c r="K2" s="39" t="s">
        <v>1</v>
      </c>
      <c r="L2" s="42"/>
      <c r="M2" s="43" t="s">
        <v>0</v>
      </c>
      <c r="N2" s="39" t="s">
        <v>1</v>
      </c>
      <c r="O2" s="42"/>
      <c r="P2" s="43" t="s">
        <v>0</v>
      </c>
      <c r="Q2" s="39" t="s">
        <v>1</v>
      </c>
      <c r="R2" s="42"/>
      <c r="S2" s="43" t="s">
        <v>0</v>
      </c>
      <c r="T2" s="39" t="s">
        <v>1</v>
      </c>
      <c r="U2" s="42"/>
      <c r="V2" s="43" t="s">
        <v>0</v>
      </c>
      <c r="W2" s="39" t="s">
        <v>1</v>
      </c>
      <c r="X2" s="44"/>
      <c r="Y2" s="39" t="s">
        <v>0</v>
      </c>
      <c r="Z2" s="39" t="s">
        <v>1</v>
      </c>
      <c r="AA2" s="44"/>
      <c r="AB2" s="39" t="s">
        <v>0</v>
      </c>
      <c r="AC2" s="39" t="s">
        <v>1</v>
      </c>
      <c r="AD2" s="44"/>
      <c r="AE2" s="39" t="s">
        <v>0</v>
      </c>
      <c r="AF2" s="39" t="s">
        <v>1</v>
      </c>
    </row>
    <row r="3" spans="1:32" s="5" customFormat="1" ht="18.75">
      <c r="A3" s="38"/>
      <c r="B3" s="73"/>
      <c r="C3" s="76"/>
      <c r="D3" s="39"/>
      <c r="E3" s="38"/>
      <c r="F3" s="74"/>
      <c r="G3" s="68"/>
      <c r="H3" s="40"/>
      <c r="I3" s="38"/>
      <c r="J3" s="67"/>
      <c r="K3" s="40"/>
      <c r="L3" s="38"/>
      <c r="M3" s="67"/>
      <c r="N3" s="40"/>
      <c r="O3" s="38"/>
      <c r="P3" s="67"/>
      <c r="Q3" s="40"/>
      <c r="R3" s="38"/>
      <c r="S3" s="67"/>
      <c r="T3" s="41"/>
      <c r="U3" s="38"/>
      <c r="V3" s="67"/>
      <c r="W3" s="40"/>
      <c r="X3" s="38"/>
      <c r="Y3" s="67"/>
      <c r="Z3" s="40"/>
      <c r="AA3" s="38"/>
      <c r="AB3" s="67"/>
      <c r="AC3" s="40"/>
      <c r="AD3" s="38"/>
      <c r="AE3" s="67"/>
      <c r="AF3" s="40"/>
    </row>
    <row r="4" spans="1:32" s="5" customFormat="1" ht="18.75">
      <c r="A4" s="30"/>
      <c r="B4" s="71"/>
      <c r="C4" s="76"/>
      <c r="D4" s="10"/>
      <c r="E4" s="30"/>
      <c r="F4" s="74"/>
      <c r="G4" s="68"/>
      <c r="H4" s="27"/>
      <c r="I4" s="30"/>
      <c r="J4" s="68"/>
      <c r="K4" s="12"/>
      <c r="L4" s="30"/>
      <c r="M4" s="68"/>
      <c r="N4" s="12"/>
      <c r="O4" s="30"/>
      <c r="P4" s="68"/>
      <c r="Q4" s="15"/>
      <c r="R4" s="30"/>
      <c r="S4" s="68"/>
      <c r="T4" s="20"/>
      <c r="U4" s="30"/>
      <c r="V4" s="68"/>
      <c r="W4" s="12"/>
      <c r="X4" s="30"/>
      <c r="Y4" s="68"/>
      <c r="Z4" s="12"/>
      <c r="AA4" s="30"/>
      <c r="AB4" s="68"/>
      <c r="AC4" s="12"/>
      <c r="AD4" s="30"/>
      <c r="AE4" s="68"/>
      <c r="AF4" s="12"/>
    </row>
    <row r="5" spans="1:32" s="5" customFormat="1" ht="18.75">
      <c r="A5" s="30"/>
      <c r="B5" s="71"/>
      <c r="C5" s="76"/>
      <c r="D5" s="10"/>
      <c r="E5" s="30"/>
      <c r="F5" s="74"/>
      <c r="G5" s="68"/>
      <c r="H5" s="12"/>
      <c r="I5" s="30"/>
      <c r="J5" s="68"/>
      <c r="K5" s="12"/>
      <c r="L5" s="30"/>
      <c r="M5" s="68"/>
      <c r="N5" s="12"/>
      <c r="O5" s="30"/>
      <c r="P5" s="68"/>
      <c r="Q5" s="12"/>
      <c r="R5" s="30"/>
      <c r="S5" s="68"/>
      <c r="T5" s="20"/>
      <c r="U5" s="30"/>
      <c r="V5" s="68"/>
      <c r="W5" s="12"/>
      <c r="X5" s="30"/>
      <c r="Y5" s="68"/>
      <c r="Z5" s="12"/>
      <c r="AA5" s="30"/>
      <c r="AB5" s="68"/>
      <c r="AC5" s="12"/>
      <c r="AD5" s="30"/>
      <c r="AE5" s="68"/>
      <c r="AF5" s="12"/>
    </row>
    <row r="6" spans="1:32" s="5" customFormat="1" ht="18.75">
      <c r="A6" s="30"/>
      <c r="B6" s="71"/>
      <c r="C6" s="76"/>
      <c r="D6" s="10"/>
      <c r="E6" s="30"/>
      <c r="F6" s="74"/>
      <c r="G6" s="68"/>
      <c r="H6" s="12"/>
      <c r="I6" s="30"/>
      <c r="J6" s="68"/>
      <c r="K6" s="12"/>
      <c r="L6" s="30"/>
      <c r="M6" s="68"/>
      <c r="N6" s="12"/>
      <c r="O6" s="30"/>
      <c r="P6" s="68"/>
      <c r="Q6" s="12"/>
      <c r="R6" s="30"/>
      <c r="S6" s="68"/>
      <c r="T6" s="12"/>
      <c r="U6" s="30"/>
      <c r="V6" s="68"/>
      <c r="W6" s="12"/>
      <c r="X6" s="30"/>
      <c r="Y6" s="68"/>
      <c r="Z6" s="12"/>
      <c r="AA6" s="30"/>
      <c r="AB6" s="68"/>
      <c r="AC6" s="12"/>
      <c r="AD6" s="30"/>
      <c r="AE6" s="68"/>
      <c r="AF6" s="12"/>
    </row>
    <row r="7" spans="1:32" s="5" customFormat="1" ht="18.75">
      <c r="A7" s="30"/>
      <c r="B7" s="71"/>
      <c r="C7" s="76"/>
      <c r="D7" s="10"/>
      <c r="E7" s="30"/>
      <c r="F7" s="74"/>
      <c r="G7" s="68"/>
      <c r="H7" s="12"/>
      <c r="I7" s="30"/>
      <c r="J7" s="68"/>
      <c r="K7" s="12"/>
      <c r="L7" s="30"/>
      <c r="M7" s="68"/>
      <c r="N7" s="20"/>
      <c r="O7" s="30"/>
      <c r="P7" s="68"/>
      <c r="Q7" s="12"/>
      <c r="R7" s="30"/>
      <c r="S7" s="68"/>
      <c r="T7" s="15"/>
      <c r="U7" s="30"/>
      <c r="V7" s="68"/>
      <c r="W7" s="20"/>
      <c r="X7" s="30"/>
      <c r="Y7" s="68"/>
      <c r="Z7" s="12"/>
      <c r="AA7" s="30"/>
      <c r="AB7" s="68"/>
      <c r="AC7" s="12"/>
      <c r="AD7" s="30"/>
      <c r="AE7" s="68"/>
      <c r="AF7" s="12"/>
    </row>
    <row r="8" spans="1:32" s="5" customFormat="1" ht="18.75">
      <c r="A8" s="30"/>
      <c r="B8" s="71"/>
      <c r="C8" s="76"/>
      <c r="D8" s="10"/>
      <c r="E8" s="30"/>
      <c r="F8" s="74"/>
      <c r="G8" s="68"/>
      <c r="H8" s="12"/>
      <c r="I8" s="30"/>
      <c r="J8" s="68"/>
      <c r="K8" s="12"/>
      <c r="L8" s="30"/>
      <c r="M8" s="68"/>
      <c r="N8" s="12"/>
      <c r="O8" s="30"/>
      <c r="P8" s="68"/>
      <c r="Q8" s="12"/>
      <c r="R8" s="30"/>
      <c r="S8" s="68"/>
      <c r="T8" s="15"/>
      <c r="U8" s="30"/>
      <c r="V8" s="68"/>
      <c r="W8" s="12"/>
      <c r="X8" s="30"/>
      <c r="Y8" s="68"/>
      <c r="Z8" s="12"/>
      <c r="AA8" s="30"/>
      <c r="AB8" s="68"/>
      <c r="AC8" s="12"/>
      <c r="AD8" s="30"/>
      <c r="AE8" s="68"/>
      <c r="AF8" s="12"/>
    </row>
    <row r="9" spans="1:32" s="5" customFormat="1" ht="18.75">
      <c r="A9" s="30"/>
      <c r="B9" s="71"/>
      <c r="C9" s="76"/>
      <c r="D9" s="10"/>
      <c r="E9" s="30"/>
      <c r="F9" s="74"/>
      <c r="G9" s="68"/>
      <c r="H9" s="12"/>
      <c r="I9" s="30"/>
      <c r="J9" s="68"/>
      <c r="K9" s="12"/>
      <c r="L9" s="30"/>
      <c r="M9" s="68"/>
      <c r="N9" s="12"/>
      <c r="O9" s="30"/>
      <c r="P9" s="68"/>
      <c r="Q9" s="12"/>
      <c r="R9" s="30"/>
      <c r="S9" s="68"/>
      <c r="T9" s="12"/>
      <c r="U9" s="30"/>
      <c r="V9" s="68"/>
      <c r="W9" s="12"/>
      <c r="X9" s="30"/>
      <c r="Y9" s="68"/>
      <c r="Z9" s="12"/>
      <c r="AA9" s="30"/>
      <c r="AB9" s="68"/>
      <c r="AC9" s="12"/>
      <c r="AD9" s="30"/>
      <c r="AE9" s="68"/>
      <c r="AF9" s="12"/>
    </row>
    <row r="10" spans="1:32" s="5" customFormat="1" ht="18.75">
      <c r="A10" s="30"/>
      <c r="B10" s="71"/>
      <c r="C10" s="76"/>
      <c r="D10" s="10"/>
      <c r="E10" s="30"/>
      <c r="F10" s="74"/>
      <c r="G10" s="68"/>
      <c r="H10" s="12"/>
      <c r="I10" s="30"/>
      <c r="J10" s="68"/>
      <c r="K10" s="12"/>
      <c r="L10" s="30"/>
      <c r="M10" s="68"/>
      <c r="N10" s="12"/>
      <c r="O10" s="30"/>
      <c r="P10" s="68"/>
      <c r="Q10" s="12"/>
      <c r="R10" s="30"/>
      <c r="S10" s="68"/>
      <c r="T10" s="15"/>
      <c r="U10" s="30"/>
      <c r="V10" s="68"/>
      <c r="W10" s="12"/>
      <c r="X10" s="30"/>
      <c r="Y10" s="68"/>
      <c r="Z10" s="20"/>
      <c r="AA10" s="30"/>
      <c r="AB10" s="68"/>
      <c r="AC10" s="20"/>
      <c r="AD10" s="30"/>
      <c r="AE10" s="68"/>
      <c r="AF10" s="20"/>
    </row>
    <row r="11" spans="1:32" s="5" customFormat="1" ht="18.75">
      <c r="A11" s="30"/>
      <c r="B11" s="71"/>
      <c r="C11" s="76"/>
      <c r="D11" s="10"/>
      <c r="E11" s="30"/>
      <c r="F11" s="74"/>
      <c r="G11" s="68"/>
      <c r="H11" s="20"/>
      <c r="I11" s="30"/>
      <c r="J11" s="68"/>
      <c r="K11" s="20"/>
      <c r="L11" s="30"/>
      <c r="M11" s="68"/>
      <c r="N11" s="12"/>
      <c r="O11" s="30"/>
      <c r="P11" s="68"/>
      <c r="Q11" s="12"/>
      <c r="R11" s="30"/>
      <c r="S11" s="68"/>
      <c r="T11" s="12"/>
      <c r="U11" s="30"/>
      <c r="V11" s="68"/>
      <c r="W11" s="12"/>
      <c r="X11" s="30"/>
      <c r="Y11" s="68"/>
      <c r="Z11" s="20"/>
      <c r="AA11" s="30"/>
      <c r="AB11" s="68"/>
      <c r="AC11" s="20"/>
      <c r="AD11" s="30"/>
      <c r="AE11" s="68"/>
      <c r="AF11" s="20"/>
    </row>
    <row r="12" spans="1:32" s="5" customFormat="1" ht="18.75">
      <c r="A12" s="30"/>
      <c r="B12" s="71"/>
      <c r="C12" s="76"/>
      <c r="D12" s="10"/>
      <c r="E12" s="30"/>
      <c r="F12" s="74"/>
      <c r="G12" s="68"/>
      <c r="H12" s="12"/>
      <c r="I12" s="30"/>
      <c r="J12" s="68"/>
      <c r="K12" s="12"/>
      <c r="L12" s="30"/>
      <c r="M12" s="68"/>
      <c r="N12" s="20"/>
      <c r="O12" s="30"/>
      <c r="P12" s="68"/>
      <c r="Q12" s="12"/>
      <c r="R12" s="30"/>
      <c r="S12" s="68"/>
      <c r="T12" s="12"/>
      <c r="U12" s="30"/>
      <c r="V12" s="68"/>
      <c r="W12" s="12"/>
      <c r="X12" s="30"/>
      <c r="Y12" s="68"/>
      <c r="Z12" s="20"/>
      <c r="AA12" s="30"/>
      <c r="AB12" s="68"/>
      <c r="AC12" s="20"/>
      <c r="AD12" s="30"/>
      <c r="AE12" s="68"/>
      <c r="AF12" s="20"/>
    </row>
    <row r="13" spans="1:32" s="5" customFormat="1" ht="18.75">
      <c r="A13" s="30"/>
      <c r="B13" s="71"/>
      <c r="C13" s="76"/>
      <c r="D13" s="10"/>
      <c r="E13" s="30"/>
      <c r="F13" s="74"/>
      <c r="G13" s="68"/>
      <c r="H13" s="20"/>
      <c r="I13" s="30"/>
      <c r="J13" s="68"/>
      <c r="K13" s="12"/>
      <c r="L13" s="30"/>
      <c r="M13" s="68"/>
      <c r="N13" s="12"/>
      <c r="O13" s="30"/>
      <c r="P13" s="68"/>
      <c r="Q13" s="12"/>
      <c r="R13" s="30"/>
      <c r="S13" s="68"/>
      <c r="T13" s="12"/>
      <c r="U13" s="30"/>
      <c r="V13" s="68"/>
      <c r="W13" s="12"/>
      <c r="X13" s="30"/>
      <c r="Y13" s="68"/>
      <c r="Z13" s="20"/>
      <c r="AA13" s="30"/>
      <c r="AB13" s="68"/>
      <c r="AC13" s="20"/>
      <c r="AD13" s="30"/>
      <c r="AE13" s="68"/>
      <c r="AF13" s="20"/>
    </row>
    <row r="14" spans="1:32" s="5" customFormat="1" ht="18.75">
      <c r="A14" s="30"/>
      <c r="B14" s="71"/>
      <c r="C14" s="76"/>
      <c r="D14" s="10"/>
      <c r="E14" s="30"/>
      <c r="F14" s="74"/>
      <c r="G14" s="68"/>
      <c r="H14" s="12"/>
      <c r="I14" s="30"/>
      <c r="J14" s="68"/>
      <c r="K14" s="12"/>
      <c r="L14" s="30"/>
      <c r="M14" s="68"/>
      <c r="N14" s="12"/>
      <c r="O14" s="30"/>
      <c r="P14" s="68"/>
      <c r="Q14" s="12"/>
      <c r="R14" s="30"/>
      <c r="S14" s="68"/>
      <c r="T14" s="12"/>
      <c r="U14" s="30"/>
      <c r="V14" s="68"/>
      <c r="W14" s="12"/>
      <c r="X14" s="30"/>
      <c r="Y14" s="68"/>
      <c r="Z14" s="20"/>
      <c r="AA14" s="30"/>
      <c r="AB14" s="68"/>
      <c r="AC14" s="20"/>
      <c r="AD14" s="30"/>
      <c r="AE14" s="68"/>
      <c r="AF14" s="20"/>
    </row>
    <row r="15" spans="1:32" s="5" customFormat="1" ht="18.75">
      <c r="A15" s="30"/>
      <c r="B15" s="71"/>
      <c r="C15" s="76"/>
      <c r="D15" s="10"/>
      <c r="E15" s="30"/>
      <c r="F15" s="74"/>
      <c r="G15" s="68"/>
      <c r="H15" s="15"/>
      <c r="I15" s="30"/>
      <c r="J15" s="68"/>
      <c r="K15" s="12"/>
      <c r="L15" s="30"/>
      <c r="M15" s="68"/>
      <c r="N15" s="12"/>
      <c r="O15" s="30"/>
      <c r="P15" s="68"/>
      <c r="Q15" s="12"/>
      <c r="R15" s="30"/>
      <c r="S15" s="68"/>
      <c r="T15" s="12"/>
      <c r="U15" s="30"/>
      <c r="V15" s="68"/>
      <c r="W15" s="12"/>
      <c r="X15" s="30"/>
      <c r="Y15" s="68"/>
      <c r="Z15" s="20"/>
      <c r="AA15" s="30"/>
      <c r="AB15" s="68"/>
      <c r="AC15" s="20"/>
      <c r="AD15" s="30"/>
      <c r="AE15" s="68"/>
      <c r="AF15" s="20"/>
    </row>
    <row r="16" spans="1:32" s="5" customFormat="1" ht="18.75">
      <c r="A16" s="30"/>
      <c r="B16" s="71"/>
      <c r="C16" s="76"/>
      <c r="D16" s="10"/>
      <c r="E16" s="30"/>
      <c r="F16" s="74"/>
      <c r="G16" s="68"/>
      <c r="H16" s="12"/>
      <c r="I16" s="30"/>
      <c r="J16" s="68"/>
      <c r="K16" s="12"/>
      <c r="L16" s="30"/>
      <c r="M16" s="68"/>
      <c r="N16" s="12"/>
      <c r="O16" s="30"/>
      <c r="P16" s="68"/>
      <c r="Q16" s="12"/>
      <c r="R16" s="30"/>
      <c r="S16" s="68"/>
      <c r="T16" s="12"/>
      <c r="U16" s="30"/>
      <c r="V16" s="68"/>
      <c r="W16" s="12"/>
      <c r="X16" s="30"/>
      <c r="Y16" s="68"/>
      <c r="Z16" s="20"/>
      <c r="AA16" s="30"/>
      <c r="AB16" s="68"/>
      <c r="AC16" s="20"/>
      <c r="AD16" s="30"/>
      <c r="AE16" s="68"/>
      <c r="AF16" s="20"/>
    </row>
    <row r="17" spans="1:32" s="5" customFormat="1" ht="18.75">
      <c r="A17" s="30"/>
      <c r="B17" s="71"/>
      <c r="C17" s="76"/>
      <c r="D17" s="10"/>
      <c r="E17" s="30"/>
      <c r="F17" s="74"/>
      <c r="G17" s="68"/>
      <c r="H17" s="20"/>
      <c r="I17" s="30"/>
      <c r="J17" s="68"/>
      <c r="K17" s="12"/>
      <c r="L17" s="30"/>
      <c r="M17" s="68"/>
      <c r="N17" s="12"/>
      <c r="O17" s="30"/>
      <c r="P17" s="68"/>
      <c r="Q17" s="12"/>
      <c r="R17" s="30"/>
      <c r="S17" s="68"/>
      <c r="T17" s="12"/>
      <c r="U17" s="30"/>
      <c r="V17" s="68"/>
      <c r="W17" s="12"/>
      <c r="X17" s="30"/>
      <c r="Y17" s="68"/>
      <c r="Z17" s="20"/>
      <c r="AA17" s="30"/>
      <c r="AB17" s="68"/>
      <c r="AC17" s="20"/>
      <c r="AD17" s="30"/>
      <c r="AE17" s="68"/>
      <c r="AF17" s="20"/>
    </row>
    <row r="18" spans="1:32" s="5" customFormat="1" ht="18.75">
      <c r="A18" s="30"/>
      <c r="B18" s="71"/>
      <c r="C18" s="76"/>
      <c r="D18" s="10"/>
      <c r="E18" s="30"/>
      <c r="F18" s="74"/>
      <c r="G18" s="68"/>
      <c r="H18" s="12"/>
      <c r="I18" s="30"/>
      <c r="J18" s="68"/>
      <c r="K18" s="20"/>
      <c r="L18" s="30"/>
      <c r="M18" s="68"/>
      <c r="N18" s="12"/>
      <c r="O18" s="30"/>
      <c r="P18" s="68"/>
      <c r="Q18" s="12"/>
      <c r="R18" s="30"/>
      <c r="S18" s="68"/>
      <c r="T18" s="12"/>
      <c r="U18" s="30"/>
      <c r="V18" s="68"/>
      <c r="W18" s="20"/>
      <c r="X18" s="30"/>
      <c r="Y18" s="68"/>
      <c r="Z18" s="20"/>
      <c r="AA18" s="30"/>
      <c r="AB18" s="68"/>
      <c r="AC18" s="20"/>
      <c r="AD18" s="30"/>
      <c r="AE18" s="68"/>
      <c r="AF18" s="20"/>
    </row>
    <row r="19" spans="1:32" s="5" customFormat="1" ht="18.75">
      <c r="A19" s="30"/>
      <c r="B19" s="71"/>
      <c r="C19" s="76"/>
      <c r="D19" s="10"/>
      <c r="E19" s="30"/>
      <c r="F19" s="74"/>
      <c r="G19" s="68"/>
      <c r="H19" s="20"/>
      <c r="I19" s="30"/>
      <c r="J19" s="68"/>
      <c r="K19" s="12"/>
      <c r="L19" s="30"/>
      <c r="M19" s="68"/>
      <c r="N19" s="20"/>
      <c r="O19" s="30"/>
      <c r="P19" s="68"/>
      <c r="Q19" s="12"/>
      <c r="R19" s="30"/>
      <c r="S19" s="68"/>
      <c r="T19" s="15"/>
      <c r="U19" s="30"/>
      <c r="V19" s="68"/>
      <c r="W19" s="12"/>
      <c r="X19" s="30"/>
      <c r="Y19" s="68"/>
      <c r="Z19" s="20"/>
      <c r="AA19" s="30"/>
      <c r="AB19" s="68"/>
      <c r="AC19" s="20"/>
      <c r="AD19" s="30"/>
      <c r="AE19" s="68"/>
      <c r="AF19" s="20"/>
    </row>
    <row r="20" spans="1:32" s="5" customFormat="1" ht="18.75">
      <c r="A20" s="30"/>
      <c r="B20" s="71"/>
      <c r="C20" s="76"/>
      <c r="D20" s="13"/>
      <c r="E20" s="30"/>
      <c r="F20" s="74"/>
      <c r="G20" s="68"/>
      <c r="H20" s="12"/>
      <c r="I20" s="30"/>
      <c r="J20" s="68"/>
      <c r="K20" s="12"/>
      <c r="L20" s="30"/>
      <c r="M20" s="68"/>
      <c r="N20" s="20"/>
      <c r="O20" s="30"/>
      <c r="P20" s="68"/>
      <c r="Q20" s="12"/>
      <c r="R20" s="30"/>
      <c r="S20" s="68"/>
      <c r="T20" s="12"/>
      <c r="U20" s="30"/>
      <c r="V20" s="68"/>
      <c r="W20" s="12"/>
      <c r="X20" s="30"/>
      <c r="Y20" s="68"/>
      <c r="Z20" s="20"/>
      <c r="AA20" s="30"/>
      <c r="AB20" s="68"/>
      <c r="AC20" s="20"/>
      <c r="AD20" s="30"/>
      <c r="AE20" s="68"/>
      <c r="AF20" s="20"/>
    </row>
    <row r="21" spans="1:32" s="5" customFormat="1" ht="18.75">
      <c r="A21" s="30"/>
      <c r="B21" s="71"/>
      <c r="C21" s="76"/>
      <c r="D21" s="10"/>
      <c r="E21" s="30"/>
      <c r="F21" s="74"/>
      <c r="G21" s="68"/>
      <c r="H21" s="20"/>
      <c r="I21" s="30"/>
      <c r="J21" s="68"/>
      <c r="K21" s="12"/>
      <c r="L21" s="30"/>
      <c r="M21" s="68"/>
      <c r="N21" s="12"/>
      <c r="O21" s="30"/>
      <c r="P21" s="68"/>
      <c r="Q21" s="20"/>
      <c r="R21" s="30"/>
      <c r="S21" s="68"/>
      <c r="T21" s="12"/>
      <c r="U21" s="30"/>
      <c r="V21" s="68"/>
      <c r="W21" s="12"/>
      <c r="X21" s="30"/>
      <c r="Y21" s="68"/>
      <c r="Z21" s="20"/>
      <c r="AA21" s="30"/>
      <c r="AB21" s="68"/>
      <c r="AC21" s="20"/>
      <c r="AD21" s="30"/>
      <c r="AE21" s="68"/>
      <c r="AF21" s="20"/>
    </row>
    <row r="22" spans="1:32" s="5" customFormat="1" ht="18.75">
      <c r="A22" s="30"/>
      <c r="B22" s="71"/>
      <c r="C22" s="76"/>
      <c r="D22" s="10"/>
      <c r="E22" s="30"/>
      <c r="F22" s="74"/>
      <c r="G22" s="68"/>
      <c r="H22" s="12"/>
      <c r="I22" s="30"/>
      <c r="J22" s="68"/>
      <c r="K22" s="12"/>
      <c r="L22" s="30"/>
      <c r="M22" s="68"/>
      <c r="N22" s="12"/>
      <c r="O22" s="30"/>
      <c r="P22" s="68"/>
      <c r="Q22" s="20"/>
      <c r="R22" s="30"/>
      <c r="S22" s="68"/>
      <c r="T22" s="12"/>
      <c r="U22" s="30"/>
      <c r="V22" s="68"/>
      <c r="W22" s="12"/>
      <c r="X22" s="30"/>
      <c r="Y22" s="68"/>
      <c r="Z22" s="20"/>
      <c r="AA22" s="30"/>
      <c r="AB22" s="68"/>
      <c r="AC22" s="20"/>
      <c r="AD22" s="30"/>
      <c r="AE22" s="68"/>
      <c r="AF22" s="20"/>
    </row>
    <row r="23" spans="1:32" s="5" customFormat="1" ht="18.75">
      <c r="A23" s="30"/>
      <c r="B23" s="71"/>
      <c r="C23" s="76"/>
      <c r="D23" s="10"/>
      <c r="E23" s="30"/>
      <c r="F23" s="74"/>
      <c r="G23" s="68"/>
      <c r="H23" s="12"/>
      <c r="I23" s="30"/>
      <c r="J23" s="68"/>
      <c r="K23" s="12"/>
      <c r="L23" s="30"/>
      <c r="M23" s="68"/>
      <c r="N23" s="12"/>
      <c r="O23" s="30"/>
      <c r="P23" s="68"/>
      <c r="Q23" s="12"/>
      <c r="R23" s="30"/>
      <c r="S23" s="68"/>
      <c r="T23" s="12"/>
      <c r="U23" s="30"/>
      <c r="V23" s="68"/>
      <c r="W23" s="12"/>
      <c r="X23" s="30"/>
      <c r="Y23" s="68"/>
      <c r="Z23" s="20"/>
      <c r="AA23" s="30"/>
      <c r="AB23" s="68"/>
      <c r="AC23" s="20"/>
      <c r="AD23" s="30"/>
      <c r="AE23" s="68"/>
      <c r="AF23" s="20"/>
    </row>
    <row r="24" spans="1:32" s="5" customFormat="1" ht="18.75">
      <c r="A24" s="30"/>
      <c r="B24" s="71"/>
      <c r="C24" s="76"/>
      <c r="D24" s="10"/>
      <c r="E24" s="30"/>
      <c r="F24" s="74"/>
      <c r="G24" s="68"/>
      <c r="H24" s="12"/>
      <c r="I24" s="30"/>
      <c r="J24" s="68"/>
      <c r="K24" s="12"/>
      <c r="L24" s="30"/>
      <c r="M24" s="68"/>
      <c r="N24" s="15"/>
      <c r="O24" s="30"/>
      <c r="P24" s="68"/>
      <c r="Q24" s="12"/>
      <c r="R24" s="30"/>
      <c r="S24" s="68"/>
      <c r="T24" s="12"/>
      <c r="U24" s="30"/>
      <c r="V24" s="68"/>
      <c r="W24" s="12"/>
      <c r="X24" s="30"/>
      <c r="Y24" s="68"/>
      <c r="Z24" s="20"/>
      <c r="AA24" s="30"/>
      <c r="AB24" s="68"/>
      <c r="AC24" s="20"/>
      <c r="AD24" s="30"/>
      <c r="AE24" s="68"/>
      <c r="AF24" s="20"/>
    </row>
    <row r="25" spans="1:32" s="5" customFormat="1" ht="18.75">
      <c r="A25" s="30"/>
      <c r="B25" s="71"/>
      <c r="C25" s="76"/>
      <c r="D25" s="10"/>
      <c r="E25" s="30"/>
      <c r="F25" s="74"/>
      <c r="G25" s="68"/>
      <c r="H25" s="12"/>
      <c r="I25" s="30"/>
      <c r="J25" s="68"/>
      <c r="K25" s="12"/>
      <c r="L25" s="30"/>
      <c r="M25" s="68"/>
      <c r="N25" s="12"/>
      <c r="O25" s="30"/>
      <c r="P25" s="68"/>
      <c r="Q25" s="12"/>
      <c r="R25" s="30"/>
      <c r="S25" s="68"/>
      <c r="T25" s="12"/>
      <c r="U25" s="30"/>
      <c r="V25" s="68"/>
      <c r="W25" s="12"/>
      <c r="X25" s="30"/>
      <c r="Y25" s="68"/>
      <c r="Z25" s="20"/>
      <c r="AA25" s="30"/>
      <c r="AB25" s="68"/>
      <c r="AC25" s="20"/>
      <c r="AD25" s="30"/>
      <c r="AE25" s="68"/>
      <c r="AF25" s="20"/>
    </row>
    <row r="26" spans="1:32" s="5" customFormat="1" ht="18.75">
      <c r="A26" s="30"/>
      <c r="B26" s="71"/>
      <c r="C26" s="76"/>
      <c r="D26" s="10"/>
      <c r="E26" s="30"/>
      <c r="F26" s="74"/>
      <c r="G26" s="68"/>
      <c r="H26" s="12"/>
      <c r="I26" s="30"/>
      <c r="J26" s="68"/>
      <c r="K26" s="12"/>
      <c r="L26" s="30"/>
      <c r="M26" s="68"/>
      <c r="N26" s="15"/>
      <c r="O26" s="30"/>
      <c r="P26" s="68"/>
      <c r="Q26" s="12"/>
      <c r="R26" s="30"/>
      <c r="S26" s="68"/>
      <c r="T26" s="12"/>
      <c r="U26" s="30"/>
      <c r="V26" s="68"/>
      <c r="W26" s="12"/>
      <c r="X26" s="30"/>
      <c r="Y26" s="68"/>
      <c r="Z26" s="20"/>
      <c r="AA26" s="30"/>
      <c r="AB26" s="68"/>
      <c r="AC26" s="20"/>
      <c r="AD26" s="30"/>
      <c r="AE26" s="68"/>
      <c r="AF26" s="20"/>
    </row>
    <row r="27" spans="1:32" s="5" customFormat="1" ht="18.75">
      <c r="A27" s="30"/>
      <c r="B27" s="71"/>
      <c r="C27" s="76"/>
      <c r="D27" s="10"/>
      <c r="E27" s="30"/>
      <c r="F27" s="74"/>
      <c r="G27" s="68"/>
      <c r="H27" s="12"/>
      <c r="I27" s="30"/>
      <c r="J27" s="68"/>
      <c r="K27" s="12"/>
      <c r="L27" s="30"/>
      <c r="M27" s="68"/>
      <c r="N27" s="12"/>
      <c r="O27" s="30"/>
      <c r="P27" s="68"/>
      <c r="Q27" s="12"/>
      <c r="R27" s="30"/>
      <c r="S27" s="68"/>
      <c r="T27" s="12"/>
      <c r="U27" s="30"/>
      <c r="V27" s="68"/>
      <c r="W27" s="12"/>
      <c r="X27" s="30"/>
      <c r="Y27" s="68"/>
      <c r="Z27" s="20"/>
      <c r="AA27" s="30"/>
      <c r="AB27" s="68"/>
      <c r="AC27" s="20"/>
      <c r="AD27" s="30"/>
      <c r="AE27" s="68"/>
      <c r="AF27" s="20"/>
    </row>
    <row r="28" spans="1:32" s="5" customFormat="1" ht="18.75">
      <c r="A28" s="30"/>
      <c r="B28" s="71"/>
      <c r="C28" s="76"/>
      <c r="D28" s="10"/>
      <c r="E28" s="30"/>
      <c r="F28" s="74"/>
      <c r="G28" s="68"/>
      <c r="H28" s="12"/>
      <c r="I28" s="30"/>
      <c r="J28" s="68"/>
      <c r="K28" s="12"/>
      <c r="L28" s="30"/>
      <c r="M28" s="68"/>
      <c r="N28" s="12"/>
      <c r="O28" s="30"/>
      <c r="P28" s="68"/>
      <c r="Q28" s="12"/>
      <c r="R28" s="30"/>
      <c r="S28" s="68"/>
      <c r="T28" s="12"/>
      <c r="U28" s="30"/>
      <c r="V28" s="68"/>
      <c r="W28" s="12"/>
      <c r="X28" s="30"/>
      <c r="Y28" s="68"/>
      <c r="Z28" s="20"/>
      <c r="AA28" s="30"/>
      <c r="AB28" s="68"/>
      <c r="AC28" s="20"/>
      <c r="AD28" s="30"/>
      <c r="AE28" s="68"/>
      <c r="AF28" s="20"/>
    </row>
    <row r="29" spans="1:32" s="5" customFormat="1" ht="18.75">
      <c r="A29" s="30"/>
      <c r="B29" s="71"/>
      <c r="C29" s="76"/>
      <c r="D29" s="12"/>
      <c r="E29" s="30"/>
      <c r="F29" s="74"/>
      <c r="G29" s="68"/>
      <c r="H29" s="20"/>
      <c r="I29" s="30"/>
      <c r="J29" s="68"/>
      <c r="K29" s="12"/>
      <c r="L29" s="30"/>
      <c r="M29" s="68"/>
      <c r="N29" s="12"/>
      <c r="O29" s="30"/>
      <c r="P29" s="68"/>
      <c r="Q29" s="20"/>
      <c r="R29" s="30"/>
      <c r="S29" s="68"/>
      <c r="T29" s="12"/>
      <c r="U29" s="30"/>
      <c r="V29" s="68"/>
      <c r="W29" s="12"/>
      <c r="X29" s="30"/>
      <c r="Y29" s="68"/>
      <c r="Z29" s="20"/>
      <c r="AA29" s="30"/>
      <c r="AB29" s="68"/>
      <c r="AC29" s="20"/>
      <c r="AD29" s="30"/>
      <c r="AE29" s="68"/>
      <c r="AF29" s="20"/>
    </row>
    <row r="30" spans="1:32" s="5" customFormat="1" ht="18.75">
      <c r="A30" s="30"/>
      <c r="B30" s="71"/>
      <c r="C30" s="76"/>
      <c r="D30" s="19"/>
      <c r="E30" s="30"/>
      <c r="F30" s="74"/>
      <c r="G30" s="68"/>
      <c r="H30" s="20"/>
      <c r="I30" s="30"/>
      <c r="J30" s="68"/>
      <c r="K30" s="12"/>
      <c r="L30" s="30"/>
      <c r="M30" s="68"/>
      <c r="N30" s="12"/>
      <c r="O30" s="30"/>
      <c r="P30" s="68"/>
      <c r="Q30" s="12"/>
      <c r="R30" s="30"/>
      <c r="S30" s="68"/>
      <c r="T30" s="12"/>
      <c r="U30" s="30"/>
      <c r="V30" s="68"/>
      <c r="W30" s="12"/>
      <c r="X30" s="30"/>
      <c r="Y30" s="68"/>
      <c r="Z30" s="20"/>
      <c r="AA30" s="30"/>
      <c r="AB30" s="68"/>
      <c r="AC30" s="20"/>
      <c r="AD30" s="30"/>
      <c r="AE30" s="68"/>
      <c r="AF30" s="20"/>
    </row>
    <row r="31" spans="1:32" s="5" customFormat="1" ht="18.75">
      <c r="A31" s="30"/>
      <c r="B31" s="71"/>
      <c r="C31" s="76"/>
      <c r="D31" s="10"/>
      <c r="E31" s="30"/>
      <c r="F31" s="74"/>
      <c r="G31" s="68"/>
      <c r="H31" s="12"/>
      <c r="I31" s="30"/>
      <c r="J31" s="68"/>
      <c r="K31" s="12"/>
      <c r="L31" s="30"/>
      <c r="M31" s="68"/>
      <c r="N31" s="12"/>
      <c r="O31" s="30"/>
      <c r="P31" s="68"/>
      <c r="Q31" s="12"/>
      <c r="R31" s="30"/>
      <c r="S31" s="68"/>
      <c r="T31" s="12"/>
      <c r="U31" s="30"/>
      <c r="V31" s="68"/>
      <c r="W31" s="12"/>
      <c r="X31" s="30"/>
      <c r="Y31" s="68"/>
      <c r="Z31" s="20"/>
      <c r="AA31" s="30"/>
      <c r="AB31" s="68"/>
      <c r="AC31" s="20"/>
      <c r="AD31" s="30"/>
      <c r="AE31" s="68"/>
      <c r="AF31" s="20"/>
    </row>
    <row r="32" spans="1:32" s="5" customFormat="1" ht="18.75">
      <c r="A32" s="30"/>
      <c r="B32" s="71"/>
      <c r="C32" s="76"/>
      <c r="D32" s="10"/>
      <c r="E32" s="30"/>
      <c r="F32" s="74"/>
      <c r="G32" s="68"/>
      <c r="H32" s="12"/>
      <c r="I32" s="30"/>
      <c r="J32" s="68"/>
      <c r="K32" s="12"/>
      <c r="L32" s="30"/>
      <c r="M32" s="68"/>
      <c r="N32" s="12"/>
      <c r="O32" s="30"/>
      <c r="P32" s="68"/>
      <c r="Q32" s="11"/>
      <c r="R32" s="30"/>
      <c r="S32" s="68"/>
      <c r="T32" s="12"/>
      <c r="U32" s="30"/>
      <c r="V32" s="68"/>
      <c r="W32" s="12"/>
      <c r="X32" s="30"/>
      <c r="Y32" s="68"/>
      <c r="Z32" s="20"/>
      <c r="AA32" s="30"/>
      <c r="AB32" s="68"/>
      <c r="AC32" s="20"/>
      <c r="AD32" s="30"/>
      <c r="AE32" s="68"/>
      <c r="AF32" s="20"/>
    </row>
    <row r="33" spans="1:34" s="5" customFormat="1" ht="18.75">
      <c r="A33" s="30"/>
      <c r="B33" s="71"/>
      <c r="C33" s="76"/>
      <c r="D33" s="12"/>
      <c r="E33" s="30"/>
      <c r="F33" s="74"/>
      <c r="G33" s="68"/>
      <c r="H33" s="12"/>
      <c r="I33" s="30"/>
      <c r="J33" s="68"/>
      <c r="K33" s="12"/>
      <c r="L33" s="30"/>
      <c r="M33" s="68"/>
      <c r="N33" s="12"/>
      <c r="O33" s="30"/>
      <c r="P33" s="68"/>
      <c r="Q33" s="12"/>
      <c r="R33" s="30"/>
      <c r="S33" s="68"/>
      <c r="T33" s="12"/>
      <c r="U33" s="30"/>
      <c r="V33" s="68"/>
      <c r="W33" s="12"/>
      <c r="X33" s="30"/>
      <c r="Y33" s="68"/>
      <c r="Z33" s="20"/>
      <c r="AA33" s="30"/>
      <c r="AB33" s="68"/>
      <c r="AC33" s="20"/>
      <c r="AD33" s="30"/>
      <c r="AE33" s="68"/>
      <c r="AF33" s="20"/>
    </row>
    <row r="34" spans="1:34" s="5" customFormat="1" ht="18.75">
      <c r="A34" s="30"/>
      <c r="B34" s="71"/>
      <c r="C34" s="76"/>
      <c r="E34" s="30"/>
      <c r="F34" s="74"/>
      <c r="G34" s="68"/>
      <c r="H34" s="12"/>
      <c r="I34" s="30"/>
      <c r="J34" s="68"/>
      <c r="K34" s="20"/>
      <c r="L34" s="30"/>
      <c r="M34" s="68"/>
      <c r="N34" s="12"/>
      <c r="O34" s="30"/>
      <c r="P34" s="68"/>
      <c r="Q34" s="12"/>
      <c r="R34" s="30"/>
      <c r="S34" s="68"/>
      <c r="T34" s="12"/>
      <c r="U34" s="30"/>
      <c r="V34" s="68"/>
      <c r="W34" s="12"/>
      <c r="X34" s="30"/>
      <c r="Y34" s="68"/>
      <c r="Z34" s="20"/>
      <c r="AA34" s="30"/>
      <c r="AB34" s="68"/>
      <c r="AC34" s="20"/>
      <c r="AD34" s="30"/>
      <c r="AE34" s="68"/>
      <c r="AF34" s="20"/>
    </row>
    <row r="35" spans="1:34" s="5" customFormat="1" ht="18.75">
      <c r="A35" s="30"/>
      <c r="B35" s="71"/>
      <c r="C35" s="76"/>
      <c r="D35" s="10"/>
      <c r="E35" s="30"/>
      <c r="F35" s="74"/>
      <c r="G35" s="68"/>
      <c r="H35" s="12"/>
      <c r="I35" s="30"/>
      <c r="J35" s="68"/>
      <c r="K35" s="12"/>
      <c r="L35" s="30"/>
      <c r="M35" s="68"/>
      <c r="N35" s="12"/>
      <c r="O35" s="30"/>
      <c r="P35" s="68"/>
      <c r="Q35" s="20"/>
      <c r="R35" s="30"/>
      <c r="S35" s="68"/>
      <c r="T35" s="12"/>
      <c r="U35" s="30"/>
      <c r="V35" s="68"/>
      <c r="W35" s="12"/>
      <c r="X35" s="30"/>
      <c r="Y35" s="68"/>
      <c r="Z35" s="20"/>
      <c r="AA35" s="30"/>
      <c r="AB35" s="68"/>
      <c r="AC35" s="20"/>
      <c r="AD35" s="30"/>
      <c r="AE35" s="68"/>
      <c r="AF35" s="20"/>
    </row>
    <row r="36" spans="1:34" s="5" customFormat="1" ht="18.75">
      <c r="A36" s="30"/>
      <c r="B36" s="71"/>
      <c r="C36" s="76"/>
      <c r="D36" s="10"/>
      <c r="E36" s="30"/>
      <c r="F36" s="74"/>
      <c r="G36" s="68"/>
      <c r="H36" s="12"/>
      <c r="I36" s="30"/>
      <c r="J36" s="68"/>
      <c r="K36" s="12"/>
      <c r="L36" s="30"/>
      <c r="M36" s="68"/>
      <c r="N36" s="12"/>
      <c r="O36" s="30"/>
      <c r="P36" s="68"/>
      <c r="Q36" s="12"/>
      <c r="R36" s="30"/>
      <c r="S36" s="68"/>
      <c r="T36" s="12"/>
      <c r="U36" s="30"/>
      <c r="V36" s="68"/>
      <c r="W36" s="12"/>
      <c r="X36" s="30"/>
      <c r="Y36" s="68"/>
      <c r="Z36" s="20"/>
      <c r="AA36" s="30"/>
      <c r="AB36" s="68"/>
      <c r="AC36" s="20"/>
      <c r="AD36" s="30"/>
      <c r="AE36" s="68"/>
      <c r="AF36" s="20"/>
    </row>
    <row r="37" spans="1:34" s="5" customFormat="1" ht="18.75">
      <c r="A37" s="30"/>
      <c r="B37" s="71"/>
      <c r="C37" s="76"/>
      <c r="D37" s="12"/>
      <c r="E37" s="30"/>
      <c r="F37" s="74"/>
      <c r="G37" s="68"/>
      <c r="H37" s="12"/>
      <c r="I37" s="30"/>
      <c r="J37" s="68"/>
      <c r="K37" s="12"/>
      <c r="L37" s="30"/>
      <c r="M37" s="68"/>
      <c r="N37" s="12"/>
      <c r="O37" s="30"/>
      <c r="P37" s="68"/>
      <c r="Q37" s="12"/>
      <c r="R37" s="30"/>
      <c r="S37" s="68"/>
      <c r="T37" s="12"/>
      <c r="U37" s="30"/>
      <c r="V37" s="68"/>
      <c r="W37" s="12"/>
      <c r="X37" s="30"/>
      <c r="Y37" s="68"/>
      <c r="Z37" s="20"/>
      <c r="AA37" s="30"/>
      <c r="AB37" s="68"/>
      <c r="AC37" s="20"/>
      <c r="AD37" s="30"/>
      <c r="AE37" s="68"/>
      <c r="AF37" s="20"/>
    </row>
    <row r="38" spans="1:34" s="5" customFormat="1" ht="18.75">
      <c r="A38" s="30"/>
      <c r="B38" s="71"/>
      <c r="C38" s="76"/>
      <c r="D38" s="29"/>
      <c r="E38" s="30"/>
      <c r="F38" s="74"/>
      <c r="G38" s="68"/>
      <c r="H38" s="12"/>
      <c r="I38" s="30"/>
      <c r="J38" s="68"/>
      <c r="K38" s="12"/>
      <c r="L38" s="30"/>
      <c r="M38" s="68"/>
      <c r="N38" s="12"/>
      <c r="O38" s="30"/>
      <c r="P38" s="68"/>
      <c r="Q38" s="12"/>
      <c r="R38" s="30"/>
      <c r="S38" s="68"/>
      <c r="T38" s="12"/>
      <c r="U38" s="30"/>
      <c r="V38" s="68"/>
      <c r="W38" s="12"/>
      <c r="X38" s="30"/>
      <c r="Y38" s="68"/>
      <c r="Z38" s="20"/>
      <c r="AA38" s="30"/>
      <c r="AB38" s="68"/>
      <c r="AC38" s="20"/>
      <c r="AD38" s="30"/>
      <c r="AE38" s="68"/>
      <c r="AF38" s="20"/>
    </row>
    <row r="39" spans="1:34" s="5" customFormat="1" ht="18.75">
      <c r="A39" s="33"/>
      <c r="B39" s="72"/>
      <c r="C39" s="77"/>
      <c r="D39" s="34"/>
      <c r="E39" s="33"/>
      <c r="F39" s="75"/>
      <c r="G39" s="69"/>
      <c r="H39" s="35"/>
      <c r="I39" s="33"/>
      <c r="J39" s="69"/>
      <c r="K39" s="35"/>
      <c r="L39" s="33"/>
      <c r="M39" s="69"/>
      <c r="N39" s="35"/>
      <c r="O39" s="33"/>
      <c r="P39" s="69"/>
      <c r="Q39" s="36"/>
      <c r="R39" s="33"/>
      <c r="S39" s="69"/>
      <c r="T39" s="35"/>
      <c r="U39" s="33"/>
      <c r="V39" s="69"/>
      <c r="W39" s="35"/>
      <c r="X39" s="33"/>
      <c r="Y39" s="69"/>
      <c r="Z39" s="37"/>
      <c r="AA39" s="33"/>
      <c r="AB39" s="69"/>
      <c r="AC39" s="37"/>
      <c r="AD39" s="33"/>
      <c r="AE39" s="69"/>
      <c r="AF39" s="37"/>
    </row>
    <row r="40" spans="1:34" s="5" customFormat="1" ht="18.75">
      <c r="A40" s="30"/>
      <c r="B40" s="71"/>
      <c r="C40" s="76"/>
      <c r="D40" s="16"/>
      <c r="E40" s="30"/>
      <c r="F40" s="74"/>
      <c r="G40" s="68"/>
      <c r="H40" s="12"/>
      <c r="I40" s="30"/>
      <c r="J40" s="68"/>
      <c r="K40" s="12"/>
      <c r="L40" s="30"/>
      <c r="M40" s="68"/>
      <c r="N40" s="12"/>
      <c r="O40" s="30"/>
      <c r="P40" s="68"/>
      <c r="Q40" s="11"/>
      <c r="R40" s="30"/>
      <c r="S40" s="68"/>
      <c r="T40" s="12"/>
      <c r="U40" s="30"/>
      <c r="V40" s="68"/>
      <c r="W40" s="12"/>
      <c r="X40" s="30"/>
      <c r="Y40" s="68"/>
      <c r="Z40" s="20"/>
      <c r="AA40" s="30"/>
      <c r="AB40" s="68"/>
      <c r="AC40" s="20"/>
      <c r="AD40" s="30"/>
      <c r="AE40" s="68"/>
      <c r="AF40" s="20"/>
    </row>
    <row r="41" spans="1:34" s="1" customFormat="1" ht="17.25">
      <c r="B41" s="47"/>
      <c r="C41" s="47"/>
      <c r="G41" s="47"/>
    </row>
    <row r="43" spans="1:34">
      <c r="A43" s="6"/>
      <c r="B43" s="48"/>
      <c r="C43" s="48"/>
      <c r="D43" s="8"/>
      <c r="E43" s="6"/>
      <c r="F43" s="7"/>
      <c r="G43" s="48"/>
      <c r="H43" s="8"/>
      <c r="I43" s="6"/>
      <c r="J43" s="7"/>
      <c r="K43" s="8"/>
      <c r="L43" s="6"/>
      <c r="M43" s="7"/>
      <c r="N43" s="8"/>
      <c r="O43" s="6"/>
      <c r="P43" s="7"/>
      <c r="Q43" s="8"/>
      <c r="R43" s="6"/>
      <c r="S43" s="7"/>
      <c r="T43" s="8"/>
      <c r="U43" s="6"/>
      <c r="V43" s="7"/>
      <c r="W43" s="8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</row>
    <row r="44" spans="1:34" ht="18.75">
      <c r="A44" s="21"/>
      <c r="B44" s="46"/>
      <c r="C44" s="46"/>
      <c r="D44" s="19"/>
      <c r="E44" s="6"/>
      <c r="F44" s="7"/>
      <c r="G44" s="46"/>
      <c r="H44" s="8"/>
      <c r="I44" s="21"/>
      <c r="J44" s="21"/>
      <c r="K44" s="19"/>
      <c r="L44" s="6"/>
      <c r="M44" s="7"/>
      <c r="N44" s="8"/>
      <c r="O44" s="6"/>
      <c r="P44" s="7"/>
      <c r="Q44" s="8"/>
      <c r="R44" s="6"/>
      <c r="S44" s="7"/>
      <c r="T44" s="8"/>
      <c r="U44" s="6"/>
      <c r="V44" s="7"/>
      <c r="W44" s="8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</row>
    <row r="45" spans="1:34" ht="18.75">
      <c r="A45" s="6"/>
      <c r="B45" s="48"/>
      <c r="C45" s="48"/>
      <c r="D45" s="8"/>
      <c r="E45" s="21"/>
      <c r="F45" s="21"/>
      <c r="G45" s="48"/>
      <c r="H45" s="19"/>
      <c r="I45" s="5"/>
      <c r="J45" s="5"/>
      <c r="K45" s="4"/>
      <c r="L45" s="6"/>
      <c r="M45" s="7"/>
      <c r="N45" s="8"/>
      <c r="O45" s="6"/>
      <c r="P45" s="7"/>
      <c r="Q45" s="8"/>
      <c r="R45" s="6"/>
      <c r="S45" s="7"/>
      <c r="T45" s="8"/>
      <c r="U45" s="6"/>
      <c r="V45" s="7"/>
      <c r="W45" s="8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</row>
    <row r="46" spans="1:34" ht="18.75">
      <c r="A46" s="6"/>
      <c r="B46" s="48"/>
      <c r="C46" s="48"/>
      <c r="D46" s="8"/>
      <c r="E46" s="21"/>
      <c r="F46" s="21"/>
      <c r="G46" s="48"/>
      <c r="H46" s="19"/>
      <c r="I46" s="5"/>
      <c r="J46" s="9"/>
      <c r="K46" s="4"/>
      <c r="L46" s="21"/>
      <c r="M46" s="22"/>
      <c r="N46" s="19"/>
      <c r="O46" s="6"/>
      <c r="P46" s="7"/>
      <c r="Q46" s="8"/>
      <c r="R46" s="6"/>
      <c r="S46" s="7"/>
      <c r="T46" s="8"/>
      <c r="U46" s="6"/>
      <c r="V46" s="7"/>
      <c r="W46" s="8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</row>
    <row r="47" spans="1:34" ht="18.75">
      <c r="A47" s="6"/>
      <c r="B47" s="48"/>
      <c r="C47" s="48"/>
      <c r="D47" s="8"/>
      <c r="E47" s="5"/>
      <c r="F47" s="5"/>
      <c r="G47" s="48"/>
      <c r="H47" s="4"/>
      <c r="I47" s="6"/>
      <c r="J47" s="7"/>
      <c r="K47" s="8"/>
      <c r="L47" s="6"/>
      <c r="M47" s="7"/>
      <c r="N47" s="8"/>
      <c r="O47" s="21"/>
      <c r="P47" s="21"/>
      <c r="Q47" s="21"/>
      <c r="R47" s="6"/>
      <c r="S47" s="7"/>
      <c r="T47" s="8"/>
      <c r="U47" s="6"/>
      <c r="V47" s="7"/>
      <c r="W47" s="8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</row>
    <row r="48" spans="1:34" ht="17.25">
      <c r="A48" s="6"/>
      <c r="B48" s="48"/>
      <c r="C48" s="48"/>
      <c r="D48" s="8"/>
      <c r="E48" s="6"/>
      <c r="F48" s="7"/>
      <c r="G48" s="48"/>
      <c r="H48" s="8"/>
      <c r="I48" s="6"/>
      <c r="J48" s="7"/>
      <c r="K48" s="8"/>
      <c r="L48" s="6"/>
      <c r="M48" s="7"/>
      <c r="N48" s="8"/>
      <c r="O48" s="5"/>
      <c r="P48" s="5"/>
      <c r="Q48" s="5"/>
      <c r="R48" s="6"/>
      <c r="S48" s="7"/>
      <c r="T48" s="8"/>
      <c r="U48" s="6"/>
      <c r="V48" s="7"/>
      <c r="W48" s="8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</row>
    <row r="49" spans="1:34" ht="18.75">
      <c r="A49" s="6"/>
      <c r="B49" s="48"/>
      <c r="C49" s="48"/>
      <c r="D49" s="8"/>
      <c r="E49" s="6"/>
      <c r="F49" s="7"/>
      <c r="G49" s="48"/>
      <c r="H49" s="8"/>
      <c r="I49" s="6"/>
      <c r="J49" s="7"/>
      <c r="K49" s="8"/>
      <c r="L49" s="6"/>
      <c r="M49" s="7"/>
      <c r="N49" s="8"/>
      <c r="O49" s="5"/>
      <c r="P49" s="9"/>
      <c r="Q49" s="4"/>
      <c r="R49" s="21"/>
      <c r="S49" s="21"/>
      <c r="T49" s="19"/>
      <c r="U49" s="6"/>
      <c r="V49" s="7"/>
      <c r="W49" s="8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</row>
    <row r="50" spans="1:34" ht="17.25">
      <c r="A50" s="6"/>
      <c r="B50" s="48"/>
      <c r="C50" s="48"/>
      <c r="D50" s="8"/>
      <c r="E50" s="5"/>
      <c r="F50" s="9"/>
      <c r="G50" s="48"/>
      <c r="H50" s="4"/>
      <c r="I50" s="6"/>
      <c r="J50" s="7"/>
      <c r="K50" s="8"/>
      <c r="L50" s="6"/>
      <c r="M50" s="7"/>
      <c r="N50" s="8"/>
      <c r="O50" s="6"/>
      <c r="P50" s="7"/>
      <c r="Q50" s="8"/>
      <c r="R50" s="5"/>
      <c r="S50" s="9"/>
      <c r="T50" s="4"/>
      <c r="U50" s="6"/>
      <c r="V50" s="7"/>
      <c r="W50" s="8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</row>
    <row r="51" spans="1:34">
      <c r="O51" s="6"/>
      <c r="P51" s="7"/>
      <c r="Q51" s="8"/>
      <c r="R51" s="6"/>
      <c r="S51" s="7"/>
      <c r="T51" s="8"/>
      <c r="U51" s="6"/>
      <c r="V51" s="7"/>
      <c r="W51" s="8"/>
    </row>
    <row r="52" spans="1:34">
      <c r="R52" s="6"/>
      <c r="S52" s="7"/>
      <c r="T52" s="8"/>
      <c r="U52" s="6"/>
      <c r="V52" s="7"/>
      <c r="W52" s="8"/>
    </row>
    <row r="53" spans="1:34">
      <c r="R53" s="6"/>
      <c r="S53" s="7"/>
      <c r="T53" s="8"/>
    </row>
  </sheetData>
  <pageMargins left="0.25" right="0.25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C25"/>
  <sheetViews>
    <sheetView workbookViewId="0">
      <selection activeCell="A25" sqref="A25"/>
    </sheetView>
  </sheetViews>
  <sheetFormatPr defaultRowHeight="15"/>
  <cols>
    <col min="1" max="1" width="146.5703125" customWidth="1"/>
  </cols>
  <sheetData>
    <row r="1" spans="1:1">
      <c r="A1" s="45" t="s">
        <v>493</v>
      </c>
    </row>
    <row r="2" spans="1:1">
      <c r="A2" t="s">
        <v>494</v>
      </c>
    </row>
    <row r="3" spans="1:1">
      <c r="A3" t="s">
        <v>495</v>
      </c>
    </row>
    <row r="5" spans="1:1">
      <c r="A5" s="45" t="s">
        <v>530</v>
      </c>
    </row>
    <row r="6" spans="1:1">
      <c r="A6" t="s">
        <v>492</v>
      </c>
    </row>
    <row r="8" spans="1:1">
      <c r="A8" s="45" t="s">
        <v>496</v>
      </c>
    </row>
    <row r="9" spans="1:1">
      <c r="A9" t="s">
        <v>497</v>
      </c>
    </row>
    <row r="10" spans="1:1">
      <c r="A10" t="str">
        <f>SUBSTITUTE(A9,"I7","M7")</f>
        <v>IF(MIN(VALUE(IF(ISBLANK(M7),H7,M7)),VALUE(IF(ISBLANK(H7),M7,H7)))=0,"",ROUND(MIN(VALUE(IF(ISBLANK(M7),H7,M7)),VALUE(IF(ISBLANK(H7),M7,H7))),2))</v>
      </c>
    </row>
    <row r="11" spans="1:1">
      <c r="A11" t="str">
        <f>SUBSTITUTE(A10,"H7","L7")</f>
        <v>IF(MIN(VALUE(IF(ISBLANK(M7),L7,M7)),VALUE(IF(ISBLANK(L7),M7,L7)))=0,"",ROUND(MIN(VALUE(IF(ISBLANK(M7),L7,M7)),VALUE(IF(ISBLANK(L7),M7,L7))),2))</v>
      </c>
    </row>
    <row r="13" spans="1:1">
      <c r="A13" t="s">
        <v>531</v>
      </c>
    </row>
    <row r="15" spans="1:1">
      <c r="A15" s="45" t="s">
        <v>566</v>
      </c>
    </row>
    <row r="16" spans="1:1">
      <c r="A16" t="s">
        <v>565</v>
      </c>
    </row>
    <row r="17" spans="1:3">
      <c r="A17" t="s">
        <v>567</v>
      </c>
    </row>
    <row r="21" spans="1:3">
      <c r="A21" t="str">
        <f>CONCATENATE("IF(MIN(IF(ISBLANK(",B21,"10),",C21,"10,",B21,"10),IF(ISBLANK(",C21,"10),",B21,"10,",C21,"10))=0,"""",MIN(IF(ISBLANK(",B21,"10),",C21,"10,",B21,"10),IF(ISBLANK(",C21,"10),",B21,"10,",C21,"10)))")</f>
        <v>IF(MIN(IF(ISBLANK(Z10),AA10,Z10),IF(ISBLANK(AA10),Z10,AA10))=0,"",MIN(IF(ISBLANK(Z10),AA10,Z10),IF(ISBLANK(AA10),Z10,AA10)))</v>
      </c>
      <c r="B21" t="s">
        <v>704</v>
      </c>
      <c r="C21" t="s">
        <v>705</v>
      </c>
    </row>
    <row r="22" spans="1:3">
      <c r="A22" t="s">
        <v>613</v>
      </c>
    </row>
    <row r="23" spans="1:3">
      <c r="A23" t="s">
        <v>625</v>
      </c>
    </row>
    <row r="24" spans="1:3">
      <c r="A24" t="s">
        <v>703</v>
      </c>
    </row>
    <row r="25" spans="1:3">
      <c r="A25" t="s">
        <v>727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W9" sqref="W9"/>
    </sheetView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Names</vt:lpstr>
      <vt:lpstr>Template</vt:lpstr>
      <vt:lpstr>Template2</vt:lpstr>
      <vt:lpstr>formulas</vt:lpstr>
      <vt:lpstr>Chart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waghornr</cp:lastModifiedBy>
  <cp:lastPrinted>2017-07-20T07:44:46Z</cp:lastPrinted>
  <dcterms:created xsi:type="dcterms:W3CDTF">2015-08-24T06:31:50Z</dcterms:created>
  <dcterms:modified xsi:type="dcterms:W3CDTF">2017-08-02T04:40:04Z</dcterms:modified>
</cp:coreProperties>
</file>